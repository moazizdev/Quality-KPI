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ar/Downloads/"/>
    </mc:Choice>
  </mc:AlternateContent>
  <xr:revisionPtr revIDLastSave="0" documentId="13_ncr:1_{1655623F-9668-F14C-9E18-5957FFAFBB40}" xr6:coauthVersionLast="47" xr6:coauthVersionMax="47" xr10:uidLastSave="{00000000-0000-0000-0000-000000000000}"/>
  <bookViews>
    <workbookView xWindow="0" yWindow="0" windowWidth="28800" windowHeight="18000" tabRatio="966" xr2:uid="{00000000-000D-0000-FFFF-FFFF00000000}"/>
  </bookViews>
  <sheets>
    <sheet name="Quality Control Dashboard   " sheetId="1" r:id="rId1"/>
    <sheet name="QC Record Production Hall 1" sheetId="2" r:id="rId2"/>
    <sheet name="QC Deviation Record Hall 1 " sheetId="3" r:id="rId3"/>
    <sheet name="QC Record Production Hall 2" sheetId="4" r:id="rId4"/>
    <sheet name="QC Deviation Record Hall 2" sheetId="5" r:id="rId5"/>
    <sheet name="QC Record Production Hall 3" sheetId="6" r:id="rId6"/>
    <sheet name="QC Deviation Record Hall 3" sheetId="7" r:id="rId7"/>
    <sheet name="CAPA" sheetId="8" r:id="rId8"/>
  </sheets>
  <definedNames>
    <definedName name="Data">'Quality Control Dashboard   '!$L$151:$L$159</definedName>
    <definedName name="_xlnm.Print_Area" localSheetId="0">'Quality Control Dashboard   '!$A$103:$D$211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111" i="7" l="1"/>
  <c r="CB111" i="7"/>
  <c r="AR58" i="1" s="1"/>
  <c r="CA111" i="7"/>
  <c r="AR57" i="1" s="1"/>
  <c r="BZ111" i="7"/>
  <c r="BY111" i="7"/>
  <c r="BX111" i="7"/>
  <c r="AR54" i="1" s="1"/>
  <c r="BW111" i="7"/>
  <c r="AR53" i="1" s="1"/>
  <c r="BU111" i="7"/>
  <c r="BT111" i="7"/>
  <c r="BS111" i="7"/>
  <c r="AQ57" i="1" s="1"/>
  <c r="BR111" i="7"/>
  <c r="BQ111" i="7"/>
  <c r="BP111" i="7"/>
  <c r="AQ54" i="1" s="1"/>
  <c r="BO111" i="7"/>
  <c r="AQ53" i="1" s="1"/>
  <c r="BM111" i="7"/>
  <c r="AP59" i="1" s="1"/>
  <c r="BL111" i="7"/>
  <c r="AP58" i="1" s="1"/>
  <c r="BK111" i="7"/>
  <c r="AP57" i="1" s="1"/>
  <c r="BJ111" i="7"/>
  <c r="BI111" i="7"/>
  <c r="AP55" i="1" s="1"/>
  <c r="BH111" i="7"/>
  <c r="AP54" i="1" s="1"/>
  <c r="BG111" i="7"/>
  <c r="AP53" i="1" s="1"/>
  <c r="BE111" i="7"/>
  <c r="AO59" i="1" s="1"/>
  <c r="BD111" i="7"/>
  <c r="AO58" i="1" s="1"/>
  <c r="BC111" i="7"/>
  <c r="AO57" i="1" s="1"/>
  <c r="BB111" i="7"/>
  <c r="BA111" i="7"/>
  <c r="AO55" i="1" s="1"/>
  <c r="AZ111" i="7"/>
  <c r="AO54" i="1" s="1"/>
  <c r="AY111" i="7"/>
  <c r="AO53" i="1" s="1"/>
  <c r="AW111" i="7"/>
  <c r="AV111" i="7"/>
  <c r="AU111" i="7"/>
  <c r="AN57" i="1" s="1"/>
  <c r="AT111" i="7"/>
  <c r="AN56" i="1" s="1"/>
  <c r="AS111" i="7"/>
  <c r="AN55" i="1" s="1"/>
  <c r="AR111" i="7"/>
  <c r="AN54" i="1" s="1"/>
  <c r="AQ111" i="7"/>
  <c r="AN53" i="1" s="1"/>
  <c r="AO111" i="7"/>
  <c r="AM59" i="1" s="1"/>
  <c r="AN111" i="7"/>
  <c r="AM111" i="7"/>
  <c r="AM57" i="1" s="1"/>
  <c r="AL111" i="7"/>
  <c r="AM56" i="1" s="1"/>
  <c r="AK111" i="7"/>
  <c r="AM55" i="1" s="1"/>
  <c r="AJ111" i="7"/>
  <c r="AM54" i="1" s="1"/>
  <c r="AI111" i="7"/>
  <c r="AG111" i="7"/>
  <c r="AL59" i="1" s="1"/>
  <c r="AF111" i="7"/>
  <c r="AL58" i="1" s="1"/>
  <c r="AE111" i="7"/>
  <c r="AD111" i="7"/>
  <c r="AL56" i="1" s="1"/>
  <c r="AC111" i="7"/>
  <c r="AB111" i="7"/>
  <c r="AL54" i="1" s="1"/>
  <c r="AA111" i="7"/>
  <c r="Y111" i="7"/>
  <c r="X111" i="7"/>
  <c r="W111" i="7"/>
  <c r="AK57" i="1" s="1"/>
  <c r="V111" i="7"/>
  <c r="AK56" i="1" s="1"/>
  <c r="U111" i="7"/>
  <c r="AK55" i="1" s="1"/>
  <c r="T111" i="7"/>
  <c r="AK54" i="1" s="1"/>
  <c r="S111" i="7"/>
  <c r="AK53" i="1" s="1"/>
  <c r="Q111" i="7"/>
  <c r="P111" i="7"/>
  <c r="AJ58" i="1" s="1"/>
  <c r="O111" i="7"/>
  <c r="AJ57" i="1" s="1"/>
  <c r="N111" i="7"/>
  <c r="AJ56" i="1" s="1"/>
  <c r="M111" i="7"/>
  <c r="AJ55" i="1" s="1"/>
  <c r="L111" i="7"/>
  <c r="AJ54" i="1" s="1"/>
  <c r="K111" i="7"/>
  <c r="AJ53" i="1" s="1"/>
  <c r="I111" i="7"/>
  <c r="AI59" i="1" s="1"/>
  <c r="H111" i="7"/>
  <c r="AI58" i="1" s="1"/>
  <c r="G111" i="7"/>
  <c r="AI57" i="1" s="1"/>
  <c r="F111" i="7"/>
  <c r="AI56" i="1" s="1"/>
  <c r="E111" i="7"/>
  <c r="AI55" i="1" s="1"/>
  <c r="D111" i="7"/>
  <c r="AI54" i="1" s="1"/>
  <c r="C111" i="7"/>
  <c r="AI53" i="1" s="1"/>
  <c r="CD110" i="7"/>
  <c r="L220" i="7" s="1"/>
  <c r="BV110" i="7"/>
  <c r="K220" i="7" s="1"/>
  <c r="BN110" i="7"/>
  <c r="J220" i="7" s="1"/>
  <c r="BF110" i="7"/>
  <c r="I220" i="7" s="1"/>
  <c r="AX110" i="7"/>
  <c r="H220" i="7" s="1"/>
  <c r="AP110" i="7"/>
  <c r="G220" i="7" s="1"/>
  <c r="AH110" i="7"/>
  <c r="F220" i="7" s="1"/>
  <c r="Z110" i="7"/>
  <c r="E220" i="7" s="1"/>
  <c r="R110" i="7"/>
  <c r="D220" i="7" s="1"/>
  <c r="J110" i="7"/>
  <c r="C220" i="7" s="1"/>
  <c r="CD109" i="7"/>
  <c r="L219" i="7" s="1"/>
  <c r="BV109" i="7"/>
  <c r="K219" i="7" s="1"/>
  <c r="BN109" i="7"/>
  <c r="J219" i="7" s="1"/>
  <c r="BF109" i="7"/>
  <c r="I219" i="7" s="1"/>
  <c r="AX109" i="7"/>
  <c r="H219" i="7" s="1"/>
  <c r="AP109" i="7"/>
  <c r="G219" i="7" s="1"/>
  <c r="AH109" i="7"/>
  <c r="F219" i="7" s="1"/>
  <c r="Z109" i="7"/>
  <c r="E219" i="7" s="1"/>
  <c r="R109" i="7"/>
  <c r="D219" i="7" s="1"/>
  <c r="J109" i="7"/>
  <c r="C219" i="7" s="1"/>
  <c r="CD108" i="7"/>
  <c r="L218" i="7" s="1"/>
  <c r="BV108" i="7"/>
  <c r="K218" i="7" s="1"/>
  <c r="BN108" i="7"/>
  <c r="J218" i="7" s="1"/>
  <c r="BF108" i="7"/>
  <c r="I218" i="7" s="1"/>
  <c r="AX108" i="7"/>
  <c r="H218" i="7" s="1"/>
  <c r="AP108" i="7"/>
  <c r="G218" i="7" s="1"/>
  <c r="AH108" i="7"/>
  <c r="F218" i="7" s="1"/>
  <c r="Z108" i="7"/>
  <c r="E218" i="7" s="1"/>
  <c r="R108" i="7"/>
  <c r="D218" i="7" s="1"/>
  <c r="J108" i="7"/>
  <c r="C218" i="7" s="1"/>
  <c r="CD107" i="7"/>
  <c r="L217" i="7" s="1"/>
  <c r="BV107" i="7"/>
  <c r="K217" i="7" s="1"/>
  <c r="BN107" i="7"/>
  <c r="J217" i="7" s="1"/>
  <c r="BF107" i="7"/>
  <c r="I217" i="7" s="1"/>
  <c r="AX107" i="7"/>
  <c r="H217" i="7" s="1"/>
  <c r="AP107" i="7"/>
  <c r="G217" i="7" s="1"/>
  <c r="AH107" i="7"/>
  <c r="F217" i="7" s="1"/>
  <c r="Z107" i="7"/>
  <c r="E217" i="7" s="1"/>
  <c r="R107" i="7"/>
  <c r="D217" i="7" s="1"/>
  <c r="J107" i="7"/>
  <c r="C217" i="7" s="1"/>
  <c r="CD106" i="7"/>
  <c r="L216" i="7" s="1"/>
  <c r="BV106" i="7"/>
  <c r="K216" i="7" s="1"/>
  <c r="BN106" i="7"/>
  <c r="J216" i="7" s="1"/>
  <c r="BF106" i="7"/>
  <c r="I216" i="7" s="1"/>
  <c r="AX106" i="7"/>
  <c r="H216" i="7" s="1"/>
  <c r="AP106" i="7"/>
  <c r="G216" i="7" s="1"/>
  <c r="AH106" i="7"/>
  <c r="F216" i="7" s="1"/>
  <c r="Z106" i="7"/>
  <c r="E216" i="7" s="1"/>
  <c r="R106" i="7"/>
  <c r="D216" i="7" s="1"/>
  <c r="J106" i="7"/>
  <c r="C216" i="7" s="1"/>
  <c r="CD105" i="7"/>
  <c r="L215" i="7" s="1"/>
  <c r="BV105" i="7"/>
  <c r="K215" i="7" s="1"/>
  <c r="BN105" i="7"/>
  <c r="J215" i="7" s="1"/>
  <c r="BF105" i="7"/>
  <c r="I215" i="7" s="1"/>
  <c r="AX105" i="7"/>
  <c r="H215" i="7" s="1"/>
  <c r="AP105" i="7"/>
  <c r="G215" i="7" s="1"/>
  <c r="AH105" i="7"/>
  <c r="F215" i="7" s="1"/>
  <c r="Z105" i="7"/>
  <c r="E215" i="7" s="1"/>
  <c r="R105" i="7"/>
  <c r="D215" i="7" s="1"/>
  <c r="J105" i="7"/>
  <c r="C215" i="7" s="1"/>
  <c r="CD104" i="7"/>
  <c r="L214" i="7" s="1"/>
  <c r="BV104" i="7"/>
  <c r="K214" i="7" s="1"/>
  <c r="BN104" i="7"/>
  <c r="J214" i="7" s="1"/>
  <c r="BF104" i="7"/>
  <c r="I214" i="7" s="1"/>
  <c r="AX104" i="7"/>
  <c r="H214" i="7" s="1"/>
  <c r="AP104" i="7"/>
  <c r="G214" i="7" s="1"/>
  <c r="AH104" i="7"/>
  <c r="F214" i="7" s="1"/>
  <c r="Z104" i="7"/>
  <c r="E214" i="7" s="1"/>
  <c r="R104" i="7"/>
  <c r="D214" i="7" s="1"/>
  <c r="J104" i="7"/>
  <c r="C214" i="7" s="1"/>
  <c r="CD103" i="7"/>
  <c r="L213" i="7" s="1"/>
  <c r="BV103" i="7"/>
  <c r="K213" i="7" s="1"/>
  <c r="BN103" i="7"/>
  <c r="J213" i="7" s="1"/>
  <c r="BF103" i="7"/>
  <c r="I213" i="7" s="1"/>
  <c r="AX103" i="7"/>
  <c r="H213" i="7" s="1"/>
  <c r="AP103" i="7"/>
  <c r="G213" i="7" s="1"/>
  <c r="AH103" i="7"/>
  <c r="F213" i="7" s="1"/>
  <c r="Z103" i="7"/>
  <c r="E213" i="7" s="1"/>
  <c r="R103" i="7"/>
  <c r="D213" i="7" s="1"/>
  <c r="J103" i="7"/>
  <c r="C213" i="7" s="1"/>
  <c r="CD102" i="7"/>
  <c r="L212" i="7" s="1"/>
  <c r="BV102" i="7"/>
  <c r="K212" i="7" s="1"/>
  <c r="BN102" i="7"/>
  <c r="J212" i="7" s="1"/>
  <c r="BF102" i="7"/>
  <c r="I212" i="7" s="1"/>
  <c r="AX102" i="7"/>
  <c r="H212" i="7" s="1"/>
  <c r="AP102" i="7"/>
  <c r="G212" i="7" s="1"/>
  <c r="AH102" i="7"/>
  <c r="F212" i="7" s="1"/>
  <c r="Z102" i="7"/>
  <c r="E212" i="7" s="1"/>
  <c r="R102" i="7"/>
  <c r="D212" i="7" s="1"/>
  <c r="J102" i="7"/>
  <c r="C212" i="7" s="1"/>
  <c r="CD101" i="7"/>
  <c r="L211" i="7" s="1"/>
  <c r="BV101" i="7"/>
  <c r="K211" i="7" s="1"/>
  <c r="BN101" i="7"/>
  <c r="J211" i="7" s="1"/>
  <c r="BF101" i="7"/>
  <c r="I211" i="7" s="1"/>
  <c r="AX101" i="7"/>
  <c r="H211" i="7" s="1"/>
  <c r="AP101" i="7"/>
  <c r="G211" i="7" s="1"/>
  <c r="AH101" i="7"/>
  <c r="F211" i="7" s="1"/>
  <c r="Z101" i="7"/>
  <c r="E211" i="7" s="1"/>
  <c r="R101" i="7"/>
  <c r="D211" i="7" s="1"/>
  <c r="J101" i="7"/>
  <c r="C211" i="7" s="1"/>
  <c r="CD100" i="7"/>
  <c r="L210" i="7" s="1"/>
  <c r="BV100" i="7"/>
  <c r="K210" i="7" s="1"/>
  <c r="BN100" i="7"/>
  <c r="J210" i="7" s="1"/>
  <c r="BF100" i="7"/>
  <c r="I210" i="7" s="1"/>
  <c r="AX100" i="7"/>
  <c r="H210" i="7" s="1"/>
  <c r="AP100" i="7"/>
  <c r="G210" i="7" s="1"/>
  <c r="AH100" i="7"/>
  <c r="F210" i="7" s="1"/>
  <c r="Z100" i="7"/>
  <c r="E210" i="7" s="1"/>
  <c r="R100" i="7"/>
  <c r="D210" i="7" s="1"/>
  <c r="J100" i="7"/>
  <c r="C210" i="7" s="1"/>
  <c r="CD99" i="7"/>
  <c r="L209" i="7" s="1"/>
  <c r="BV99" i="7"/>
  <c r="K209" i="7" s="1"/>
  <c r="BN99" i="7"/>
  <c r="J209" i="7" s="1"/>
  <c r="BF99" i="7"/>
  <c r="I209" i="7" s="1"/>
  <c r="AX99" i="7"/>
  <c r="H209" i="7" s="1"/>
  <c r="AP99" i="7"/>
  <c r="G209" i="7" s="1"/>
  <c r="AH99" i="7"/>
  <c r="F209" i="7" s="1"/>
  <c r="Z99" i="7"/>
  <c r="E209" i="7" s="1"/>
  <c r="R99" i="7"/>
  <c r="D209" i="7" s="1"/>
  <c r="J99" i="7"/>
  <c r="C209" i="7" s="1"/>
  <c r="CD98" i="7"/>
  <c r="L208" i="7" s="1"/>
  <c r="BV98" i="7"/>
  <c r="K208" i="7" s="1"/>
  <c r="BN98" i="7"/>
  <c r="J208" i="7" s="1"/>
  <c r="BF98" i="7"/>
  <c r="I208" i="7" s="1"/>
  <c r="AX98" i="7"/>
  <c r="H208" i="7" s="1"/>
  <c r="AP98" i="7"/>
  <c r="G208" i="7" s="1"/>
  <c r="AH98" i="7"/>
  <c r="F208" i="7" s="1"/>
  <c r="Z98" i="7"/>
  <c r="E208" i="7" s="1"/>
  <c r="R98" i="7"/>
  <c r="D208" i="7" s="1"/>
  <c r="J98" i="7"/>
  <c r="C208" i="7" s="1"/>
  <c r="CD97" i="7"/>
  <c r="L207" i="7" s="1"/>
  <c r="BV97" i="7"/>
  <c r="K207" i="7" s="1"/>
  <c r="BN97" i="7"/>
  <c r="J207" i="7" s="1"/>
  <c r="BF97" i="7"/>
  <c r="I207" i="7" s="1"/>
  <c r="AX97" i="7"/>
  <c r="H207" i="7" s="1"/>
  <c r="AP97" i="7"/>
  <c r="G207" i="7" s="1"/>
  <c r="AH97" i="7"/>
  <c r="F207" i="7" s="1"/>
  <c r="Z97" i="7"/>
  <c r="E207" i="7" s="1"/>
  <c r="R97" i="7"/>
  <c r="D207" i="7" s="1"/>
  <c r="J97" i="7"/>
  <c r="C207" i="7" s="1"/>
  <c r="CD96" i="7"/>
  <c r="L206" i="7" s="1"/>
  <c r="BV96" i="7"/>
  <c r="K206" i="7" s="1"/>
  <c r="BN96" i="7"/>
  <c r="J206" i="7" s="1"/>
  <c r="BF96" i="7"/>
  <c r="I206" i="7" s="1"/>
  <c r="AX96" i="7"/>
  <c r="H206" i="7" s="1"/>
  <c r="AP96" i="7"/>
  <c r="G206" i="7" s="1"/>
  <c r="AH96" i="7"/>
  <c r="F206" i="7" s="1"/>
  <c r="Z96" i="7"/>
  <c r="E206" i="7" s="1"/>
  <c r="R96" i="7"/>
  <c r="D206" i="7" s="1"/>
  <c r="J96" i="7"/>
  <c r="C206" i="7" s="1"/>
  <c r="CD95" i="7"/>
  <c r="L205" i="7" s="1"/>
  <c r="BV95" i="7"/>
  <c r="K205" i="7" s="1"/>
  <c r="BN95" i="7"/>
  <c r="J205" i="7" s="1"/>
  <c r="BF95" i="7"/>
  <c r="I205" i="7" s="1"/>
  <c r="AX95" i="7"/>
  <c r="H205" i="7" s="1"/>
  <c r="AP95" i="7"/>
  <c r="G205" i="7" s="1"/>
  <c r="AH95" i="7"/>
  <c r="F205" i="7" s="1"/>
  <c r="Z95" i="7"/>
  <c r="E205" i="7" s="1"/>
  <c r="R95" i="7"/>
  <c r="D205" i="7" s="1"/>
  <c r="J95" i="7"/>
  <c r="C205" i="7" s="1"/>
  <c r="CD94" i="7"/>
  <c r="L204" i="7" s="1"/>
  <c r="BV94" i="7"/>
  <c r="K204" i="7" s="1"/>
  <c r="BN94" i="7"/>
  <c r="J204" i="7" s="1"/>
  <c r="BF94" i="7"/>
  <c r="I204" i="7" s="1"/>
  <c r="AX94" i="7"/>
  <c r="H204" i="7" s="1"/>
  <c r="AP94" i="7"/>
  <c r="G204" i="7" s="1"/>
  <c r="AH94" i="7"/>
  <c r="F204" i="7" s="1"/>
  <c r="Z94" i="7"/>
  <c r="E204" i="7" s="1"/>
  <c r="R94" i="7"/>
  <c r="D204" i="7" s="1"/>
  <c r="J94" i="7"/>
  <c r="C204" i="7" s="1"/>
  <c r="CD93" i="7"/>
  <c r="L203" i="7" s="1"/>
  <c r="BV93" i="7"/>
  <c r="K203" i="7" s="1"/>
  <c r="BN93" i="7"/>
  <c r="J203" i="7" s="1"/>
  <c r="BF93" i="7"/>
  <c r="I203" i="7" s="1"/>
  <c r="AX93" i="7"/>
  <c r="H203" i="7" s="1"/>
  <c r="AP93" i="7"/>
  <c r="G203" i="7" s="1"/>
  <c r="AH93" i="7"/>
  <c r="F203" i="7" s="1"/>
  <c r="Z93" i="7"/>
  <c r="E203" i="7" s="1"/>
  <c r="R93" i="7"/>
  <c r="D203" i="7" s="1"/>
  <c r="J93" i="7"/>
  <c r="C203" i="7" s="1"/>
  <c r="CD92" i="7"/>
  <c r="L202" i="7" s="1"/>
  <c r="BV92" i="7"/>
  <c r="K202" i="7" s="1"/>
  <c r="BN92" i="7"/>
  <c r="J202" i="7" s="1"/>
  <c r="BF92" i="7"/>
  <c r="I202" i="7" s="1"/>
  <c r="AX92" i="7"/>
  <c r="H202" i="7" s="1"/>
  <c r="AP92" i="7"/>
  <c r="G202" i="7" s="1"/>
  <c r="AH92" i="7"/>
  <c r="F202" i="7" s="1"/>
  <c r="Z92" i="7"/>
  <c r="E202" i="7" s="1"/>
  <c r="R92" i="7"/>
  <c r="D202" i="7" s="1"/>
  <c r="J92" i="7"/>
  <c r="C202" i="7" s="1"/>
  <c r="CD91" i="7"/>
  <c r="L201" i="7" s="1"/>
  <c r="BV91" i="7"/>
  <c r="K201" i="7" s="1"/>
  <c r="BN91" i="7"/>
  <c r="J201" i="7" s="1"/>
  <c r="BF91" i="7"/>
  <c r="I201" i="7" s="1"/>
  <c r="AX91" i="7"/>
  <c r="H201" i="7" s="1"/>
  <c r="AP91" i="7"/>
  <c r="G201" i="7" s="1"/>
  <c r="AH91" i="7"/>
  <c r="F201" i="7" s="1"/>
  <c r="Z91" i="7"/>
  <c r="E201" i="7" s="1"/>
  <c r="R91" i="7"/>
  <c r="D201" i="7" s="1"/>
  <c r="J91" i="7"/>
  <c r="C201" i="7" s="1"/>
  <c r="CD90" i="7"/>
  <c r="L200" i="7" s="1"/>
  <c r="BV90" i="7"/>
  <c r="K200" i="7" s="1"/>
  <c r="BN90" i="7"/>
  <c r="J200" i="7" s="1"/>
  <c r="BF90" i="7"/>
  <c r="I200" i="7" s="1"/>
  <c r="AX90" i="7"/>
  <c r="H200" i="7" s="1"/>
  <c r="AP90" i="7"/>
  <c r="G200" i="7" s="1"/>
  <c r="AH90" i="7"/>
  <c r="F200" i="7" s="1"/>
  <c r="Z90" i="7"/>
  <c r="E200" i="7" s="1"/>
  <c r="R90" i="7"/>
  <c r="D200" i="7" s="1"/>
  <c r="J90" i="7"/>
  <c r="C200" i="7" s="1"/>
  <c r="CD89" i="7"/>
  <c r="L199" i="7" s="1"/>
  <c r="BV89" i="7"/>
  <c r="K199" i="7" s="1"/>
  <c r="BN89" i="7"/>
  <c r="J199" i="7" s="1"/>
  <c r="BF89" i="7"/>
  <c r="I199" i="7" s="1"/>
  <c r="AX89" i="7"/>
  <c r="H199" i="7" s="1"/>
  <c r="AP89" i="7"/>
  <c r="G199" i="7" s="1"/>
  <c r="AH89" i="7"/>
  <c r="F199" i="7" s="1"/>
  <c r="Z89" i="7"/>
  <c r="E199" i="7" s="1"/>
  <c r="R89" i="7"/>
  <c r="D199" i="7" s="1"/>
  <c r="J89" i="7"/>
  <c r="C199" i="7" s="1"/>
  <c r="CD88" i="7"/>
  <c r="L198" i="7" s="1"/>
  <c r="BV88" i="7"/>
  <c r="K198" i="7" s="1"/>
  <c r="BN88" i="7"/>
  <c r="J198" i="7" s="1"/>
  <c r="BF88" i="7"/>
  <c r="I198" i="7" s="1"/>
  <c r="AX88" i="7"/>
  <c r="H198" i="7" s="1"/>
  <c r="AP88" i="7"/>
  <c r="G198" i="7" s="1"/>
  <c r="AH88" i="7"/>
  <c r="F198" i="7" s="1"/>
  <c r="Z88" i="7"/>
  <c r="E198" i="7" s="1"/>
  <c r="R88" i="7"/>
  <c r="D198" i="7" s="1"/>
  <c r="J88" i="7"/>
  <c r="C198" i="7" s="1"/>
  <c r="CD87" i="7"/>
  <c r="L197" i="7" s="1"/>
  <c r="BV87" i="7"/>
  <c r="K197" i="7" s="1"/>
  <c r="BN87" i="7"/>
  <c r="J197" i="7" s="1"/>
  <c r="BF87" i="7"/>
  <c r="I197" i="7" s="1"/>
  <c r="AX87" i="7"/>
  <c r="H197" i="7" s="1"/>
  <c r="AP87" i="7"/>
  <c r="G197" i="7" s="1"/>
  <c r="AH87" i="7"/>
  <c r="F197" i="7" s="1"/>
  <c r="Z87" i="7"/>
  <c r="E197" i="7" s="1"/>
  <c r="R87" i="7"/>
  <c r="D197" i="7" s="1"/>
  <c r="J87" i="7"/>
  <c r="C197" i="7" s="1"/>
  <c r="CD86" i="7"/>
  <c r="L196" i="7" s="1"/>
  <c r="BV86" i="7"/>
  <c r="K196" i="7" s="1"/>
  <c r="BN86" i="7"/>
  <c r="J196" i="7" s="1"/>
  <c r="BF86" i="7"/>
  <c r="I196" i="7" s="1"/>
  <c r="AX86" i="7"/>
  <c r="H196" i="7" s="1"/>
  <c r="AP86" i="7"/>
  <c r="G196" i="7" s="1"/>
  <c r="AH86" i="7"/>
  <c r="F196" i="7" s="1"/>
  <c r="Z86" i="7"/>
  <c r="E196" i="7" s="1"/>
  <c r="R86" i="7"/>
  <c r="D196" i="7" s="1"/>
  <c r="J86" i="7"/>
  <c r="C196" i="7" s="1"/>
  <c r="CD85" i="7"/>
  <c r="L195" i="7" s="1"/>
  <c r="BV85" i="7"/>
  <c r="K195" i="7" s="1"/>
  <c r="BN85" i="7"/>
  <c r="J195" i="7" s="1"/>
  <c r="BF85" i="7"/>
  <c r="I195" i="7" s="1"/>
  <c r="AX85" i="7"/>
  <c r="H195" i="7" s="1"/>
  <c r="AP85" i="7"/>
  <c r="G195" i="7" s="1"/>
  <c r="AH85" i="7"/>
  <c r="F195" i="7" s="1"/>
  <c r="Z85" i="7"/>
  <c r="E195" i="7" s="1"/>
  <c r="R85" i="7"/>
  <c r="D195" i="7" s="1"/>
  <c r="J85" i="7"/>
  <c r="C195" i="7" s="1"/>
  <c r="CD84" i="7"/>
  <c r="L194" i="7" s="1"/>
  <c r="BV84" i="7"/>
  <c r="K194" i="7" s="1"/>
  <c r="BN84" i="7"/>
  <c r="J194" i="7" s="1"/>
  <c r="BF84" i="7"/>
  <c r="I194" i="7" s="1"/>
  <c r="AX84" i="7"/>
  <c r="H194" i="7" s="1"/>
  <c r="AP84" i="7"/>
  <c r="G194" i="7" s="1"/>
  <c r="AH84" i="7"/>
  <c r="F194" i="7" s="1"/>
  <c r="Z84" i="7"/>
  <c r="E194" i="7" s="1"/>
  <c r="R84" i="7"/>
  <c r="D194" i="7" s="1"/>
  <c r="J84" i="7"/>
  <c r="C194" i="7" s="1"/>
  <c r="CD83" i="7"/>
  <c r="L193" i="7" s="1"/>
  <c r="BV83" i="7"/>
  <c r="K193" i="7" s="1"/>
  <c r="BN83" i="7"/>
  <c r="J193" i="7" s="1"/>
  <c r="BF83" i="7"/>
  <c r="I193" i="7" s="1"/>
  <c r="AX83" i="7"/>
  <c r="H193" i="7" s="1"/>
  <c r="AP83" i="7"/>
  <c r="G193" i="7" s="1"/>
  <c r="AH83" i="7"/>
  <c r="F193" i="7" s="1"/>
  <c r="Z83" i="7"/>
  <c r="E193" i="7" s="1"/>
  <c r="R83" i="7"/>
  <c r="D193" i="7" s="1"/>
  <c r="J83" i="7"/>
  <c r="C193" i="7" s="1"/>
  <c r="CD82" i="7"/>
  <c r="L192" i="7" s="1"/>
  <c r="BV82" i="7"/>
  <c r="K192" i="7" s="1"/>
  <c r="BN82" i="7"/>
  <c r="J192" i="7" s="1"/>
  <c r="BF82" i="7"/>
  <c r="I192" i="7" s="1"/>
  <c r="AX82" i="7"/>
  <c r="H192" i="7" s="1"/>
  <c r="AP82" i="7"/>
  <c r="G192" i="7" s="1"/>
  <c r="AH82" i="7"/>
  <c r="F192" i="7" s="1"/>
  <c r="Z82" i="7"/>
  <c r="E192" i="7" s="1"/>
  <c r="R82" i="7"/>
  <c r="D192" i="7" s="1"/>
  <c r="J82" i="7"/>
  <c r="C192" i="7" s="1"/>
  <c r="CD81" i="7"/>
  <c r="L191" i="7" s="1"/>
  <c r="BV81" i="7"/>
  <c r="K191" i="7" s="1"/>
  <c r="BN81" i="7"/>
  <c r="J191" i="7" s="1"/>
  <c r="BF81" i="7"/>
  <c r="I191" i="7" s="1"/>
  <c r="AX81" i="7"/>
  <c r="H191" i="7" s="1"/>
  <c r="AP81" i="7"/>
  <c r="G191" i="7" s="1"/>
  <c r="AH81" i="7"/>
  <c r="F191" i="7" s="1"/>
  <c r="Z81" i="7"/>
  <c r="E191" i="7" s="1"/>
  <c r="R81" i="7"/>
  <c r="D191" i="7" s="1"/>
  <c r="J81" i="7"/>
  <c r="C191" i="7" s="1"/>
  <c r="CD80" i="7"/>
  <c r="L190" i="7" s="1"/>
  <c r="BV80" i="7"/>
  <c r="K190" i="7" s="1"/>
  <c r="BN80" i="7"/>
  <c r="J190" i="7" s="1"/>
  <c r="BF80" i="7"/>
  <c r="I190" i="7" s="1"/>
  <c r="AX80" i="7"/>
  <c r="H190" i="7" s="1"/>
  <c r="AP80" i="7"/>
  <c r="G190" i="7" s="1"/>
  <c r="AH80" i="7"/>
  <c r="F190" i="7" s="1"/>
  <c r="Z80" i="7"/>
  <c r="E190" i="7" s="1"/>
  <c r="R80" i="7"/>
  <c r="D190" i="7" s="1"/>
  <c r="J80" i="7"/>
  <c r="C190" i="7" s="1"/>
  <c r="CD79" i="7"/>
  <c r="L189" i="7" s="1"/>
  <c r="BV79" i="7"/>
  <c r="K189" i="7" s="1"/>
  <c r="BN79" i="7"/>
  <c r="J189" i="7" s="1"/>
  <c r="BF79" i="7"/>
  <c r="I189" i="7" s="1"/>
  <c r="AX79" i="7"/>
  <c r="H189" i="7" s="1"/>
  <c r="AP79" i="7"/>
  <c r="G189" i="7" s="1"/>
  <c r="AH79" i="7"/>
  <c r="F189" i="7" s="1"/>
  <c r="Z79" i="7"/>
  <c r="E189" i="7" s="1"/>
  <c r="R79" i="7"/>
  <c r="D189" i="7" s="1"/>
  <c r="J79" i="7"/>
  <c r="C189" i="7" s="1"/>
  <c r="CD78" i="7"/>
  <c r="L188" i="7" s="1"/>
  <c r="BV78" i="7"/>
  <c r="K188" i="7" s="1"/>
  <c r="BN78" i="7"/>
  <c r="J188" i="7" s="1"/>
  <c r="BF78" i="7"/>
  <c r="I188" i="7" s="1"/>
  <c r="AX78" i="7"/>
  <c r="H188" i="7" s="1"/>
  <c r="AP78" i="7"/>
  <c r="G188" i="7" s="1"/>
  <c r="AH78" i="7"/>
  <c r="F188" i="7" s="1"/>
  <c r="Z78" i="7"/>
  <c r="E188" i="7" s="1"/>
  <c r="R78" i="7"/>
  <c r="D188" i="7" s="1"/>
  <c r="J78" i="7"/>
  <c r="C188" i="7" s="1"/>
  <c r="CD77" i="7"/>
  <c r="L187" i="7" s="1"/>
  <c r="BV77" i="7"/>
  <c r="K187" i="7" s="1"/>
  <c r="BN77" i="7"/>
  <c r="J187" i="7" s="1"/>
  <c r="BF77" i="7"/>
  <c r="I187" i="7" s="1"/>
  <c r="AX77" i="7"/>
  <c r="H187" i="7" s="1"/>
  <c r="AP77" i="7"/>
  <c r="G187" i="7" s="1"/>
  <c r="AH77" i="7"/>
  <c r="F187" i="7" s="1"/>
  <c r="Z77" i="7"/>
  <c r="E187" i="7" s="1"/>
  <c r="R77" i="7"/>
  <c r="D187" i="7" s="1"/>
  <c r="J77" i="7"/>
  <c r="C187" i="7" s="1"/>
  <c r="CD76" i="7"/>
  <c r="L186" i="7" s="1"/>
  <c r="BV76" i="7"/>
  <c r="K186" i="7" s="1"/>
  <c r="BN76" i="7"/>
  <c r="J186" i="7" s="1"/>
  <c r="BF76" i="7"/>
  <c r="I186" i="7" s="1"/>
  <c r="AX76" i="7"/>
  <c r="H186" i="7" s="1"/>
  <c r="AP76" i="7"/>
  <c r="G186" i="7" s="1"/>
  <c r="AH76" i="7"/>
  <c r="F186" i="7" s="1"/>
  <c r="Z76" i="7"/>
  <c r="E186" i="7" s="1"/>
  <c r="R76" i="7"/>
  <c r="D186" i="7" s="1"/>
  <c r="J76" i="7"/>
  <c r="C186" i="7" s="1"/>
  <c r="CD75" i="7"/>
  <c r="L185" i="7" s="1"/>
  <c r="BV75" i="7"/>
  <c r="K185" i="7" s="1"/>
  <c r="BN75" i="7"/>
  <c r="J185" i="7" s="1"/>
  <c r="BF75" i="7"/>
  <c r="I185" i="7" s="1"/>
  <c r="AX75" i="7"/>
  <c r="H185" i="7" s="1"/>
  <c r="AP75" i="7"/>
  <c r="G185" i="7" s="1"/>
  <c r="AH75" i="7"/>
  <c r="F185" i="7" s="1"/>
  <c r="Z75" i="7"/>
  <c r="E185" i="7" s="1"/>
  <c r="R75" i="7"/>
  <c r="D185" i="7" s="1"/>
  <c r="J75" i="7"/>
  <c r="C185" i="7" s="1"/>
  <c r="CD74" i="7"/>
  <c r="L184" i="7" s="1"/>
  <c r="BV74" i="7"/>
  <c r="K184" i="7" s="1"/>
  <c r="BN74" i="7"/>
  <c r="J184" i="7" s="1"/>
  <c r="BF74" i="7"/>
  <c r="I184" i="7" s="1"/>
  <c r="AX74" i="7"/>
  <c r="H184" i="7" s="1"/>
  <c r="AP74" i="7"/>
  <c r="G184" i="7" s="1"/>
  <c r="AH74" i="7"/>
  <c r="F184" i="7" s="1"/>
  <c r="Z74" i="7"/>
  <c r="E184" i="7" s="1"/>
  <c r="R74" i="7"/>
  <c r="D184" i="7" s="1"/>
  <c r="J74" i="7"/>
  <c r="C184" i="7" s="1"/>
  <c r="CD73" i="7"/>
  <c r="L183" i="7" s="1"/>
  <c r="BV73" i="7"/>
  <c r="K183" i="7" s="1"/>
  <c r="BN73" i="7"/>
  <c r="J183" i="7" s="1"/>
  <c r="BF73" i="7"/>
  <c r="I183" i="7" s="1"/>
  <c r="AX73" i="7"/>
  <c r="H183" i="7" s="1"/>
  <c r="AP73" i="7"/>
  <c r="G183" i="7" s="1"/>
  <c r="AH73" i="7"/>
  <c r="F183" i="7" s="1"/>
  <c r="Z73" i="7"/>
  <c r="E183" i="7" s="1"/>
  <c r="R73" i="7"/>
  <c r="D183" i="7" s="1"/>
  <c r="J73" i="7"/>
  <c r="C183" i="7" s="1"/>
  <c r="CD72" i="7"/>
  <c r="L182" i="7" s="1"/>
  <c r="BV72" i="7"/>
  <c r="K182" i="7" s="1"/>
  <c r="BN72" i="7"/>
  <c r="J182" i="7" s="1"/>
  <c r="BF72" i="7"/>
  <c r="I182" i="7" s="1"/>
  <c r="AX72" i="7"/>
  <c r="H182" i="7" s="1"/>
  <c r="AP72" i="7"/>
  <c r="G182" i="7" s="1"/>
  <c r="AH72" i="7"/>
  <c r="F182" i="7" s="1"/>
  <c r="Z72" i="7"/>
  <c r="E182" i="7" s="1"/>
  <c r="R72" i="7"/>
  <c r="D182" i="7" s="1"/>
  <c r="J72" i="7"/>
  <c r="C182" i="7" s="1"/>
  <c r="CD71" i="7"/>
  <c r="L181" i="7" s="1"/>
  <c r="BV71" i="7"/>
  <c r="K181" i="7" s="1"/>
  <c r="BN71" i="7"/>
  <c r="J181" i="7" s="1"/>
  <c r="BF71" i="7"/>
  <c r="I181" i="7" s="1"/>
  <c r="AX71" i="7"/>
  <c r="H181" i="7" s="1"/>
  <c r="AP71" i="7"/>
  <c r="G181" i="7" s="1"/>
  <c r="AH71" i="7"/>
  <c r="F181" i="7" s="1"/>
  <c r="Z71" i="7"/>
  <c r="E181" i="7" s="1"/>
  <c r="R71" i="7"/>
  <c r="D181" i="7" s="1"/>
  <c r="J71" i="7"/>
  <c r="C181" i="7" s="1"/>
  <c r="CD70" i="7"/>
  <c r="L180" i="7" s="1"/>
  <c r="BV70" i="7"/>
  <c r="K180" i="7" s="1"/>
  <c r="BN70" i="7"/>
  <c r="J180" i="7" s="1"/>
  <c r="BF70" i="7"/>
  <c r="I180" i="7" s="1"/>
  <c r="AX70" i="7"/>
  <c r="H180" i="7" s="1"/>
  <c r="AP70" i="7"/>
  <c r="G180" i="7" s="1"/>
  <c r="AH70" i="7"/>
  <c r="F180" i="7" s="1"/>
  <c r="Z70" i="7"/>
  <c r="E180" i="7" s="1"/>
  <c r="R70" i="7"/>
  <c r="D180" i="7" s="1"/>
  <c r="J70" i="7"/>
  <c r="C180" i="7" s="1"/>
  <c r="CD69" i="7"/>
  <c r="L179" i="7" s="1"/>
  <c r="BV69" i="7"/>
  <c r="K179" i="7" s="1"/>
  <c r="BN69" i="7"/>
  <c r="J179" i="7" s="1"/>
  <c r="BF69" i="7"/>
  <c r="I179" i="7" s="1"/>
  <c r="AX69" i="7"/>
  <c r="H179" i="7" s="1"/>
  <c r="AP69" i="7"/>
  <c r="G179" i="7" s="1"/>
  <c r="AH69" i="7"/>
  <c r="F179" i="7" s="1"/>
  <c r="Z69" i="7"/>
  <c r="E179" i="7" s="1"/>
  <c r="R69" i="7"/>
  <c r="D179" i="7" s="1"/>
  <c r="J69" i="7"/>
  <c r="C179" i="7" s="1"/>
  <c r="CD68" i="7"/>
  <c r="L178" i="7" s="1"/>
  <c r="BV68" i="7"/>
  <c r="K178" i="7" s="1"/>
  <c r="BN68" i="7"/>
  <c r="J178" i="7" s="1"/>
  <c r="BF68" i="7"/>
  <c r="I178" i="7" s="1"/>
  <c r="AX68" i="7"/>
  <c r="H178" i="7" s="1"/>
  <c r="AP68" i="7"/>
  <c r="G178" i="7" s="1"/>
  <c r="AH68" i="7"/>
  <c r="F178" i="7" s="1"/>
  <c r="Z68" i="7"/>
  <c r="E178" i="7" s="1"/>
  <c r="R68" i="7"/>
  <c r="D178" i="7" s="1"/>
  <c r="J68" i="7"/>
  <c r="C178" i="7" s="1"/>
  <c r="CD67" i="7"/>
  <c r="L177" i="7" s="1"/>
  <c r="BV67" i="7"/>
  <c r="K177" i="7" s="1"/>
  <c r="BN67" i="7"/>
  <c r="J177" i="7" s="1"/>
  <c r="BF67" i="7"/>
  <c r="I177" i="7" s="1"/>
  <c r="AX67" i="7"/>
  <c r="H177" i="7" s="1"/>
  <c r="AP67" i="7"/>
  <c r="G177" i="7" s="1"/>
  <c r="AH67" i="7"/>
  <c r="F177" i="7" s="1"/>
  <c r="Z67" i="7"/>
  <c r="E177" i="7" s="1"/>
  <c r="R67" i="7"/>
  <c r="D177" i="7" s="1"/>
  <c r="J67" i="7"/>
  <c r="C177" i="7" s="1"/>
  <c r="CD66" i="7"/>
  <c r="L176" i="7" s="1"/>
  <c r="BV66" i="7"/>
  <c r="K176" i="7" s="1"/>
  <c r="BN66" i="7"/>
  <c r="J176" i="7" s="1"/>
  <c r="BF66" i="7"/>
  <c r="I176" i="7" s="1"/>
  <c r="AX66" i="7"/>
  <c r="H176" i="7" s="1"/>
  <c r="AP66" i="7"/>
  <c r="G176" i="7" s="1"/>
  <c r="AH66" i="7"/>
  <c r="F176" i="7" s="1"/>
  <c r="Z66" i="7"/>
  <c r="E176" i="7" s="1"/>
  <c r="R66" i="7"/>
  <c r="D176" i="7" s="1"/>
  <c r="J66" i="7"/>
  <c r="C176" i="7" s="1"/>
  <c r="CD65" i="7"/>
  <c r="L175" i="7" s="1"/>
  <c r="BV65" i="7"/>
  <c r="K175" i="7" s="1"/>
  <c r="BN65" i="7"/>
  <c r="J175" i="7" s="1"/>
  <c r="BF65" i="7"/>
  <c r="I175" i="7" s="1"/>
  <c r="AX65" i="7"/>
  <c r="H175" i="7" s="1"/>
  <c r="AP65" i="7"/>
  <c r="G175" i="7" s="1"/>
  <c r="AH65" i="7"/>
  <c r="F175" i="7" s="1"/>
  <c r="Z65" i="7"/>
  <c r="E175" i="7" s="1"/>
  <c r="R65" i="7"/>
  <c r="D175" i="7" s="1"/>
  <c r="J65" i="7"/>
  <c r="C175" i="7" s="1"/>
  <c r="CD64" i="7"/>
  <c r="L174" i="7" s="1"/>
  <c r="BV64" i="7"/>
  <c r="K174" i="7" s="1"/>
  <c r="BN64" i="7"/>
  <c r="J174" i="7" s="1"/>
  <c r="BF64" i="7"/>
  <c r="I174" i="7" s="1"/>
  <c r="AX64" i="7"/>
  <c r="H174" i="7" s="1"/>
  <c r="AP64" i="7"/>
  <c r="G174" i="7" s="1"/>
  <c r="AH64" i="7"/>
  <c r="F174" i="7" s="1"/>
  <c r="Z64" i="7"/>
  <c r="E174" i="7" s="1"/>
  <c r="R64" i="7"/>
  <c r="D174" i="7" s="1"/>
  <c r="J64" i="7"/>
  <c r="C174" i="7" s="1"/>
  <c r="CD63" i="7"/>
  <c r="L173" i="7" s="1"/>
  <c r="BV63" i="7"/>
  <c r="K173" i="7" s="1"/>
  <c r="BN63" i="7"/>
  <c r="J173" i="7" s="1"/>
  <c r="BF63" i="7"/>
  <c r="I173" i="7" s="1"/>
  <c r="AX63" i="7"/>
  <c r="H173" i="7" s="1"/>
  <c r="AP63" i="7"/>
  <c r="G173" i="7" s="1"/>
  <c r="AH63" i="7"/>
  <c r="F173" i="7" s="1"/>
  <c r="Z63" i="7"/>
  <c r="E173" i="7" s="1"/>
  <c r="R63" i="7"/>
  <c r="D173" i="7" s="1"/>
  <c r="J63" i="7"/>
  <c r="C173" i="7" s="1"/>
  <c r="CD62" i="7"/>
  <c r="L172" i="7" s="1"/>
  <c r="BV62" i="7"/>
  <c r="K172" i="7" s="1"/>
  <c r="BN62" i="7"/>
  <c r="J172" i="7" s="1"/>
  <c r="BF62" i="7"/>
  <c r="I172" i="7" s="1"/>
  <c r="AX62" i="7"/>
  <c r="H172" i="7" s="1"/>
  <c r="AP62" i="7"/>
  <c r="G172" i="7" s="1"/>
  <c r="AH62" i="7"/>
  <c r="F172" i="7" s="1"/>
  <c r="Z62" i="7"/>
  <c r="E172" i="7" s="1"/>
  <c r="R62" i="7"/>
  <c r="D172" i="7" s="1"/>
  <c r="J62" i="7"/>
  <c r="C172" i="7" s="1"/>
  <c r="CD61" i="7"/>
  <c r="L171" i="7" s="1"/>
  <c r="BV61" i="7"/>
  <c r="K171" i="7" s="1"/>
  <c r="BN61" i="7"/>
  <c r="J171" i="7" s="1"/>
  <c r="BF61" i="7"/>
  <c r="I171" i="7" s="1"/>
  <c r="AX61" i="7"/>
  <c r="H171" i="7" s="1"/>
  <c r="AP61" i="7"/>
  <c r="G171" i="7" s="1"/>
  <c r="AH61" i="7"/>
  <c r="F171" i="7" s="1"/>
  <c r="Z61" i="7"/>
  <c r="E171" i="7" s="1"/>
  <c r="R61" i="7"/>
  <c r="D171" i="7" s="1"/>
  <c r="J61" i="7"/>
  <c r="C171" i="7" s="1"/>
  <c r="CD60" i="7"/>
  <c r="L170" i="7" s="1"/>
  <c r="BV60" i="7"/>
  <c r="K170" i="7" s="1"/>
  <c r="BN60" i="7"/>
  <c r="J170" i="7" s="1"/>
  <c r="BF60" i="7"/>
  <c r="I170" i="7" s="1"/>
  <c r="AX60" i="7"/>
  <c r="H170" i="7" s="1"/>
  <c r="AP60" i="7"/>
  <c r="G170" i="7" s="1"/>
  <c r="AH60" i="7"/>
  <c r="F170" i="7" s="1"/>
  <c r="Z60" i="7"/>
  <c r="E170" i="7" s="1"/>
  <c r="R60" i="7"/>
  <c r="D170" i="7" s="1"/>
  <c r="J60" i="7"/>
  <c r="C170" i="7" s="1"/>
  <c r="CD59" i="7"/>
  <c r="L169" i="7" s="1"/>
  <c r="BV59" i="7"/>
  <c r="K169" i="7" s="1"/>
  <c r="BN59" i="7"/>
  <c r="J169" i="7" s="1"/>
  <c r="BF59" i="7"/>
  <c r="I169" i="7" s="1"/>
  <c r="AX59" i="7"/>
  <c r="H169" i="7" s="1"/>
  <c r="AP59" i="7"/>
  <c r="G169" i="7" s="1"/>
  <c r="AH59" i="7"/>
  <c r="F169" i="7" s="1"/>
  <c r="Z59" i="7"/>
  <c r="E169" i="7" s="1"/>
  <c r="R59" i="7"/>
  <c r="D169" i="7" s="1"/>
  <c r="J59" i="7"/>
  <c r="C169" i="7" s="1"/>
  <c r="CD58" i="7"/>
  <c r="L168" i="7" s="1"/>
  <c r="BV58" i="7"/>
  <c r="K168" i="7" s="1"/>
  <c r="BN58" i="7"/>
  <c r="J168" i="7" s="1"/>
  <c r="BF58" i="7"/>
  <c r="I168" i="7" s="1"/>
  <c r="AX58" i="7"/>
  <c r="H168" i="7" s="1"/>
  <c r="AP58" i="7"/>
  <c r="G168" i="7" s="1"/>
  <c r="AH58" i="7"/>
  <c r="F168" i="7" s="1"/>
  <c r="Z58" i="7"/>
  <c r="E168" i="7" s="1"/>
  <c r="R58" i="7"/>
  <c r="D168" i="7" s="1"/>
  <c r="J58" i="7"/>
  <c r="C168" i="7" s="1"/>
  <c r="CD57" i="7"/>
  <c r="L167" i="7" s="1"/>
  <c r="BV57" i="7"/>
  <c r="K167" i="7" s="1"/>
  <c r="BN57" i="7"/>
  <c r="J167" i="7" s="1"/>
  <c r="BF57" i="7"/>
  <c r="I167" i="7" s="1"/>
  <c r="AX57" i="7"/>
  <c r="H167" i="7" s="1"/>
  <c r="AP57" i="7"/>
  <c r="G167" i="7" s="1"/>
  <c r="AH57" i="7"/>
  <c r="F167" i="7" s="1"/>
  <c r="Z57" i="7"/>
  <c r="E167" i="7" s="1"/>
  <c r="R57" i="7"/>
  <c r="D167" i="7" s="1"/>
  <c r="J57" i="7"/>
  <c r="C167" i="7" s="1"/>
  <c r="CD56" i="7"/>
  <c r="L166" i="7" s="1"/>
  <c r="BV56" i="7"/>
  <c r="K166" i="7" s="1"/>
  <c r="BN56" i="7"/>
  <c r="J166" i="7" s="1"/>
  <c r="BF56" i="7"/>
  <c r="I166" i="7" s="1"/>
  <c r="AX56" i="7"/>
  <c r="H166" i="7" s="1"/>
  <c r="AP56" i="7"/>
  <c r="G166" i="7" s="1"/>
  <c r="AH56" i="7"/>
  <c r="F166" i="7" s="1"/>
  <c r="Z56" i="7"/>
  <c r="E166" i="7" s="1"/>
  <c r="R56" i="7"/>
  <c r="D166" i="7" s="1"/>
  <c r="J56" i="7"/>
  <c r="C166" i="7" s="1"/>
  <c r="CD55" i="7"/>
  <c r="L165" i="7" s="1"/>
  <c r="BV55" i="7"/>
  <c r="K165" i="7" s="1"/>
  <c r="BN55" i="7"/>
  <c r="J165" i="7" s="1"/>
  <c r="BF55" i="7"/>
  <c r="I165" i="7" s="1"/>
  <c r="AX55" i="7"/>
  <c r="H165" i="7" s="1"/>
  <c r="AP55" i="7"/>
  <c r="G165" i="7" s="1"/>
  <c r="AH55" i="7"/>
  <c r="F165" i="7" s="1"/>
  <c r="Z55" i="7"/>
  <c r="E165" i="7" s="1"/>
  <c r="R55" i="7"/>
  <c r="D165" i="7" s="1"/>
  <c r="J55" i="7"/>
  <c r="C165" i="7" s="1"/>
  <c r="CD54" i="7"/>
  <c r="L164" i="7" s="1"/>
  <c r="BV54" i="7"/>
  <c r="K164" i="7" s="1"/>
  <c r="BN54" i="7"/>
  <c r="J164" i="7" s="1"/>
  <c r="BF54" i="7"/>
  <c r="I164" i="7" s="1"/>
  <c r="AX54" i="7"/>
  <c r="H164" i="7" s="1"/>
  <c r="AP54" i="7"/>
  <c r="G164" i="7" s="1"/>
  <c r="AH54" i="7"/>
  <c r="F164" i="7" s="1"/>
  <c r="Z54" i="7"/>
  <c r="E164" i="7" s="1"/>
  <c r="R54" i="7"/>
  <c r="D164" i="7" s="1"/>
  <c r="J54" i="7"/>
  <c r="C164" i="7" s="1"/>
  <c r="CD53" i="7"/>
  <c r="L163" i="7" s="1"/>
  <c r="BV53" i="7"/>
  <c r="K163" i="7" s="1"/>
  <c r="BN53" i="7"/>
  <c r="J163" i="7" s="1"/>
  <c r="BF53" i="7"/>
  <c r="I163" i="7" s="1"/>
  <c r="AX53" i="7"/>
  <c r="H163" i="7" s="1"/>
  <c r="AP53" i="7"/>
  <c r="G163" i="7" s="1"/>
  <c r="AH53" i="7"/>
  <c r="F163" i="7" s="1"/>
  <c r="Z53" i="7"/>
  <c r="E163" i="7" s="1"/>
  <c r="R53" i="7"/>
  <c r="D163" i="7" s="1"/>
  <c r="J53" i="7"/>
  <c r="C163" i="7" s="1"/>
  <c r="CD52" i="7"/>
  <c r="L162" i="7" s="1"/>
  <c r="BV52" i="7"/>
  <c r="K162" i="7" s="1"/>
  <c r="BN52" i="7"/>
  <c r="J162" i="7" s="1"/>
  <c r="BF52" i="7"/>
  <c r="I162" i="7" s="1"/>
  <c r="AX52" i="7"/>
  <c r="H162" i="7" s="1"/>
  <c r="AP52" i="7"/>
  <c r="G162" i="7" s="1"/>
  <c r="AH52" i="7"/>
  <c r="F162" i="7" s="1"/>
  <c r="Z52" i="7"/>
  <c r="E162" i="7" s="1"/>
  <c r="R52" i="7"/>
  <c r="D162" i="7" s="1"/>
  <c r="J52" i="7"/>
  <c r="C162" i="7" s="1"/>
  <c r="CD51" i="7"/>
  <c r="L161" i="7" s="1"/>
  <c r="BV51" i="7"/>
  <c r="K161" i="7" s="1"/>
  <c r="BN51" i="7"/>
  <c r="J161" i="7" s="1"/>
  <c r="BF51" i="7"/>
  <c r="I161" i="7" s="1"/>
  <c r="AX51" i="7"/>
  <c r="H161" i="7" s="1"/>
  <c r="AP51" i="7"/>
  <c r="G161" i="7" s="1"/>
  <c r="AH51" i="7"/>
  <c r="F161" i="7" s="1"/>
  <c r="Z51" i="7"/>
  <c r="E161" i="7" s="1"/>
  <c r="R51" i="7"/>
  <c r="D161" i="7" s="1"/>
  <c r="J51" i="7"/>
  <c r="C161" i="7" s="1"/>
  <c r="CD50" i="7"/>
  <c r="L160" i="7" s="1"/>
  <c r="BV50" i="7"/>
  <c r="K160" i="7" s="1"/>
  <c r="BN50" i="7"/>
  <c r="J160" i="7" s="1"/>
  <c r="BF50" i="7"/>
  <c r="I160" i="7" s="1"/>
  <c r="AX50" i="7"/>
  <c r="H160" i="7" s="1"/>
  <c r="AP50" i="7"/>
  <c r="G160" i="7" s="1"/>
  <c r="AH50" i="7"/>
  <c r="F160" i="7" s="1"/>
  <c r="Z50" i="7"/>
  <c r="E160" i="7" s="1"/>
  <c r="R50" i="7"/>
  <c r="D160" i="7" s="1"/>
  <c r="J50" i="7"/>
  <c r="C160" i="7" s="1"/>
  <c r="CD49" i="7"/>
  <c r="L159" i="7" s="1"/>
  <c r="BV49" i="7"/>
  <c r="K159" i="7" s="1"/>
  <c r="BN49" i="7"/>
  <c r="J159" i="7" s="1"/>
  <c r="BF49" i="7"/>
  <c r="I159" i="7" s="1"/>
  <c r="AX49" i="7"/>
  <c r="H159" i="7" s="1"/>
  <c r="AP49" i="7"/>
  <c r="G159" i="7" s="1"/>
  <c r="AH49" i="7"/>
  <c r="F159" i="7" s="1"/>
  <c r="Z49" i="7"/>
  <c r="E159" i="7" s="1"/>
  <c r="R49" i="7"/>
  <c r="D159" i="7" s="1"/>
  <c r="J49" i="7"/>
  <c r="C159" i="7" s="1"/>
  <c r="CD48" i="7"/>
  <c r="L158" i="7" s="1"/>
  <c r="BV48" i="7"/>
  <c r="K158" i="7" s="1"/>
  <c r="BN48" i="7"/>
  <c r="J158" i="7" s="1"/>
  <c r="BF48" i="7"/>
  <c r="I158" i="7" s="1"/>
  <c r="AX48" i="7"/>
  <c r="H158" i="7" s="1"/>
  <c r="AP48" i="7"/>
  <c r="G158" i="7" s="1"/>
  <c r="AH48" i="7"/>
  <c r="F158" i="7" s="1"/>
  <c r="Z48" i="7"/>
  <c r="E158" i="7" s="1"/>
  <c r="R48" i="7"/>
  <c r="D158" i="7" s="1"/>
  <c r="J48" i="7"/>
  <c r="C158" i="7" s="1"/>
  <c r="CD47" i="7"/>
  <c r="L157" i="7" s="1"/>
  <c r="BV47" i="7"/>
  <c r="K157" i="7" s="1"/>
  <c r="BN47" i="7"/>
  <c r="J157" i="7" s="1"/>
  <c r="BF47" i="7"/>
  <c r="I157" i="7" s="1"/>
  <c r="AX47" i="7"/>
  <c r="H157" i="7" s="1"/>
  <c r="AP47" i="7"/>
  <c r="G157" i="7" s="1"/>
  <c r="AH47" i="7"/>
  <c r="F157" i="7" s="1"/>
  <c r="Z47" i="7"/>
  <c r="E157" i="7" s="1"/>
  <c r="R47" i="7"/>
  <c r="D157" i="7" s="1"/>
  <c r="J47" i="7"/>
  <c r="C157" i="7" s="1"/>
  <c r="CD46" i="7"/>
  <c r="L156" i="7" s="1"/>
  <c r="BV46" i="7"/>
  <c r="K156" i="7" s="1"/>
  <c r="BN46" i="7"/>
  <c r="J156" i="7" s="1"/>
  <c r="BF46" i="7"/>
  <c r="I156" i="7" s="1"/>
  <c r="AX46" i="7"/>
  <c r="H156" i="7" s="1"/>
  <c r="AP46" i="7"/>
  <c r="G156" i="7" s="1"/>
  <c r="AH46" i="7"/>
  <c r="F156" i="7" s="1"/>
  <c r="Z46" i="7"/>
  <c r="E156" i="7" s="1"/>
  <c r="R46" i="7"/>
  <c r="D156" i="7" s="1"/>
  <c r="J46" i="7"/>
  <c r="C156" i="7" s="1"/>
  <c r="CD45" i="7"/>
  <c r="L155" i="7" s="1"/>
  <c r="BV45" i="7"/>
  <c r="K155" i="7" s="1"/>
  <c r="BN45" i="7"/>
  <c r="J155" i="7" s="1"/>
  <c r="BF45" i="7"/>
  <c r="I155" i="7" s="1"/>
  <c r="AX45" i="7"/>
  <c r="H155" i="7" s="1"/>
  <c r="AP45" i="7"/>
  <c r="G155" i="7" s="1"/>
  <c r="AH45" i="7"/>
  <c r="F155" i="7" s="1"/>
  <c r="Z45" i="7"/>
  <c r="E155" i="7" s="1"/>
  <c r="R45" i="7"/>
  <c r="D155" i="7" s="1"/>
  <c r="J45" i="7"/>
  <c r="C155" i="7" s="1"/>
  <c r="CD44" i="7"/>
  <c r="L154" i="7" s="1"/>
  <c r="BV44" i="7"/>
  <c r="K154" i="7" s="1"/>
  <c r="BN44" i="7"/>
  <c r="J154" i="7" s="1"/>
  <c r="BF44" i="7"/>
  <c r="I154" i="7" s="1"/>
  <c r="AX44" i="7"/>
  <c r="H154" i="7" s="1"/>
  <c r="AP44" i="7"/>
  <c r="G154" i="7" s="1"/>
  <c r="AH44" i="7"/>
  <c r="F154" i="7" s="1"/>
  <c r="Z44" i="7"/>
  <c r="E154" i="7" s="1"/>
  <c r="R44" i="7"/>
  <c r="D154" i="7" s="1"/>
  <c r="J44" i="7"/>
  <c r="C154" i="7" s="1"/>
  <c r="CD43" i="7"/>
  <c r="L153" i="7" s="1"/>
  <c r="BV43" i="7"/>
  <c r="K153" i="7" s="1"/>
  <c r="BN43" i="7"/>
  <c r="J153" i="7" s="1"/>
  <c r="BF43" i="7"/>
  <c r="I153" i="7" s="1"/>
  <c r="AX43" i="7"/>
  <c r="H153" i="7" s="1"/>
  <c r="AP43" i="7"/>
  <c r="G153" i="7" s="1"/>
  <c r="AH43" i="7"/>
  <c r="F153" i="7" s="1"/>
  <c r="Z43" i="7"/>
  <c r="E153" i="7" s="1"/>
  <c r="R43" i="7"/>
  <c r="D153" i="7" s="1"/>
  <c r="J43" i="7"/>
  <c r="C153" i="7" s="1"/>
  <c r="CD42" i="7"/>
  <c r="L152" i="7" s="1"/>
  <c r="BV42" i="7"/>
  <c r="K152" i="7" s="1"/>
  <c r="BN42" i="7"/>
  <c r="J152" i="7" s="1"/>
  <c r="BF42" i="7"/>
  <c r="I152" i="7" s="1"/>
  <c r="AX42" i="7"/>
  <c r="H152" i="7" s="1"/>
  <c r="AP42" i="7"/>
  <c r="G152" i="7" s="1"/>
  <c r="AH42" i="7"/>
  <c r="F152" i="7" s="1"/>
  <c r="Z42" i="7"/>
  <c r="E152" i="7" s="1"/>
  <c r="R42" i="7"/>
  <c r="D152" i="7" s="1"/>
  <c r="J42" i="7"/>
  <c r="C152" i="7" s="1"/>
  <c r="CD41" i="7"/>
  <c r="L151" i="7" s="1"/>
  <c r="BV41" i="7"/>
  <c r="K151" i="7" s="1"/>
  <c r="BN41" i="7"/>
  <c r="J151" i="7" s="1"/>
  <c r="BF41" i="7"/>
  <c r="I151" i="7" s="1"/>
  <c r="AX41" i="7"/>
  <c r="H151" i="7" s="1"/>
  <c r="AP41" i="7"/>
  <c r="G151" i="7" s="1"/>
  <c r="AH41" i="7"/>
  <c r="F151" i="7" s="1"/>
  <c r="Z41" i="7"/>
  <c r="E151" i="7" s="1"/>
  <c r="R41" i="7"/>
  <c r="D151" i="7" s="1"/>
  <c r="J41" i="7"/>
  <c r="C151" i="7" s="1"/>
  <c r="CD40" i="7"/>
  <c r="L150" i="7" s="1"/>
  <c r="BV40" i="7"/>
  <c r="K150" i="7" s="1"/>
  <c r="BN40" i="7"/>
  <c r="J150" i="7" s="1"/>
  <c r="BF40" i="7"/>
  <c r="I150" i="7" s="1"/>
  <c r="AX40" i="7"/>
  <c r="H150" i="7" s="1"/>
  <c r="AP40" i="7"/>
  <c r="G150" i="7" s="1"/>
  <c r="AH40" i="7"/>
  <c r="F150" i="7" s="1"/>
  <c r="Z40" i="7"/>
  <c r="E150" i="7" s="1"/>
  <c r="R40" i="7"/>
  <c r="D150" i="7" s="1"/>
  <c r="J40" i="7"/>
  <c r="C150" i="7" s="1"/>
  <c r="CD39" i="7"/>
  <c r="L149" i="7" s="1"/>
  <c r="BV39" i="7"/>
  <c r="K149" i="7" s="1"/>
  <c r="BN39" i="7"/>
  <c r="J149" i="7" s="1"/>
  <c r="BF39" i="7"/>
  <c r="I149" i="7" s="1"/>
  <c r="AX39" i="7"/>
  <c r="H149" i="7" s="1"/>
  <c r="AP39" i="7"/>
  <c r="G149" i="7" s="1"/>
  <c r="AH39" i="7"/>
  <c r="F149" i="7" s="1"/>
  <c r="Z39" i="7"/>
  <c r="E149" i="7" s="1"/>
  <c r="R39" i="7"/>
  <c r="D149" i="7" s="1"/>
  <c r="J39" i="7"/>
  <c r="C149" i="7" s="1"/>
  <c r="CD38" i="7"/>
  <c r="L148" i="7" s="1"/>
  <c r="BV38" i="7"/>
  <c r="K148" i="7" s="1"/>
  <c r="BN38" i="7"/>
  <c r="J148" i="7" s="1"/>
  <c r="BF38" i="7"/>
  <c r="I148" i="7" s="1"/>
  <c r="AX38" i="7"/>
  <c r="H148" i="7" s="1"/>
  <c r="AP38" i="7"/>
  <c r="G148" i="7" s="1"/>
  <c r="AH38" i="7"/>
  <c r="F148" i="7" s="1"/>
  <c r="Z38" i="7"/>
  <c r="E148" i="7" s="1"/>
  <c r="R38" i="7"/>
  <c r="D148" i="7" s="1"/>
  <c r="J38" i="7"/>
  <c r="C148" i="7" s="1"/>
  <c r="CD37" i="7"/>
  <c r="L147" i="7" s="1"/>
  <c r="BV37" i="7"/>
  <c r="K147" i="7" s="1"/>
  <c r="BN37" i="7"/>
  <c r="J147" i="7" s="1"/>
  <c r="BF37" i="7"/>
  <c r="I147" i="7" s="1"/>
  <c r="AX37" i="7"/>
  <c r="H147" i="7" s="1"/>
  <c r="AP37" i="7"/>
  <c r="G147" i="7" s="1"/>
  <c r="AH37" i="7"/>
  <c r="F147" i="7" s="1"/>
  <c r="Z37" i="7"/>
  <c r="E147" i="7" s="1"/>
  <c r="R37" i="7"/>
  <c r="D147" i="7" s="1"/>
  <c r="J37" i="7"/>
  <c r="C147" i="7" s="1"/>
  <c r="CD36" i="7"/>
  <c r="L146" i="7" s="1"/>
  <c r="BV36" i="7"/>
  <c r="K146" i="7" s="1"/>
  <c r="BN36" i="7"/>
  <c r="J146" i="7" s="1"/>
  <c r="BF36" i="7"/>
  <c r="I146" i="7" s="1"/>
  <c r="AX36" i="7"/>
  <c r="H146" i="7" s="1"/>
  <c r="AP36" i="7"/>
  <c r="G146" i="7" s="1"/>
  <c r="AH36" i="7"/>
  <c r="F146" i="7" s="1"/>
  <c r="Z36" i="7"/>
  <c r="E146" i="7" s="1"/>
  <c r="R36" i="7"/>
  <c r="D146" i="7" s="1"/>
  <c r="J36" i="7"/>
  <c r="C146" i="7" s="1"/>
  <c r="CD35" i="7"/>
  <c r="L145" i="7" s="1"/>
  <c r="BV35" i="7"/>
  <c r="K145" i="7" s="1"/>
  <c r="BN35" i="7"/>
  <c r="J145" i="7" s="1"/>
  <c r="BF35" i="7"/>
  <c r="I145" i="7" s="1"/>
  <c r="AX35" i="7"/>
  <c r="H145" i="7" s="1"/>
  <c r="AP35" i="7"/>
  <c r="G145" i="7" s="1"/>
  <c r="AH35" i="7"/>
  <c r="F145" i="7" s="1"/>
  <c r="Z35" i="7"/>
  <c r="E145" i="7" s="1"/>
  <c r="R35" i="7"/>
  <c r="D145" i="7" s="1"/>
  <c r="J35" i="7"/>
  <c r="C145" i="7" s="1"/>
  <c r="CD34" i="7"/>
  <c r="L144" i="7" s="1"/>
  <c r="BV34" i="7"/>
  <c r="K144" i="7" s="1"/>
  <c r="BN34" i="7"/>
  <c r="J144" i="7" s="1"/>
  <c r="BF34" i="7"/>
  <c r="I144" i="7" s="1"/>
  <c r="AX34" i="7"/>
  <c r="H144" i="7" s="1"/>
  <c r="AP34" i="7"/>
  <c r="G144" i="7" s="1"/>
  <c r="AH34" i="7"/>
  <c r="F144" i="7" s="1"/>
  <c r="Z34" i="7"/>
  <c r="E144" i="7" s="1"/>
  <c r="R34" i="7"/>
  <c r="D144" i="7" s="1"/>
  <c r="J34" i="7"/>
  <c r="C144" i="7" s="1"/>
  <c r="CD33" i="7"/>
  <c r="L143" i="7" s="1"/>
  <c r="BV33" i="7"/>
  <c r="K143" i="7" s="1"/>
  <c r="BN33" i="7"/>
  <c r="J143" i="7" s="1"/>
  <c r="BF33" i="7"/>
  <c r="I143" i="7" s="1"/>
  <c r="AX33" i="7"/>
  <c r="H143" i="7" s="1"/>
  <c r="AP33" i="7"/>
  <c r="G143" i="7" s="1"/>
  <c r="AH33" i="7"/>
  <c r="F143" i="7" s="1"/>
  <c r="Z33" i="7"/>
  <c r="E143" i="7" s="1"/>
  <c r="R33" i="7"/>
  <c r="D143" i="7" s="1"/>
  <c r="J33" i="7"/>
  <c r="C143" i="7" s="1"/>
  <c r="CD32" i="7"/>
  <c r="L142" i="7" s="1"/>
  <c r="BV32" i="7"/>
  <c r="K142" i="7" s="1"/>
  <c r="BN32" i="7"/>
  <c r="J142" i="7" s="1"/>
  <c r="BF32" i="7"/>
  <c r="I142" i="7" s="1"/>
  <c r="AX32" i="7"/>
  <c r="H142" i="7" s="1"/>
  <c r="AP32" i="7"/>
  <c r="G142" i="7" s="1"/>
  <c r="AH32" i="7"/>
  <c r="F142" i="7" s="1"/>
  <c r="Z32" i="7"/>
  <c r="E142" i="7" s="1"/>
  <c r="R32" i="7"/>
  <c r="D142" i="7" s="1"/>
  <c r="J32" i="7"/>
  <c r="C142" i="7" s="1"/>
  <c r="CD31" i="7"/>
  <c r="L141" i="7" s="1"/>
  <c r="BV31" i="7"/>
  <c r="K141" i="7" s="1"/>
  <c r="BN31" i="7"/>
  <c r="J141" i="7" s="1"/>
  <c r="BF31" i="7"/>
  <c r="I141" i="7" s="1"/>
  <c r="AX31" i="7"/>
  <c r="H141" i="7" s="1"/>
  <c r="AP31" i="7"/>
  <c r="G141" i="7" s="1"/>
  <c r="AH31" i="7"/>
  <c r="F141" i="7" s="1"/>
  <c r="Z31" i="7"/>
  <c r="E141" i="7" s="1"/>
  <c r="R31" i="7"/>
  <c r="D141" i="7" s="1"/>
  <c r="J31" i="7"/>
  <c r="C141" i="7" s="1"/>
  <c r="CD30" i="7"/>
  <c r="L140" i="7" s="1"/>
  <c r="BV30" i="7"/>
  <c r="K140" i="7" s="1"/>
  <c r="BN30" i="7"/>
  <c r="J140" i="7" s="1"/>
  <c r="BF30" i="7"/>
  <c r="I140" i="7" s="1"/>
  <c r="AX30" i="7"/>
  <c r="H140" i="7" s="1"/>
  <c r="AP30" i="7"/>
  <c r="G140" i="7" s="1"/>
  <c r="AH30" i="7"/>
  <c r="F140" i="7" s="1"/>
  <c r="Z30" i="7"/>
  <c r="E140" i="7" s="1"/>
  <c r="R30" i="7"/>
  <c r="D140" i="7" s="1"/>
  <c r="J30" i="7"/>
  <c r="C140" i="7" s="1"/>
  <c r="CD29" i="7"/>
  <c r="L139" i="7" s="1"/>
  <c r="BV29" i="7"/>
  <c r="K139" i="7" s="1"/>
  <c r="BN29" i="7"/>
  <c r="J139" i="7" s="1"/>
  <c r="BF29" i="7"/>
  <c r="I139" i="7" s="1"/>
  <c r="AX29" i="7"/>
  <c r="H139" i="7" s="1"/>
  <c r="AP29" i="7"/>
  <c r="G139" i="7" s="1"/>
  <c r="AH29" i="7"/>
  <c r="F139" i="7" s="1"/>
  <c r="Z29" i="7"/>
  <c r="E139" i="7" s="1"/>
  <c r="R29" i="7"/>
  <c r="D139" i="7" s="1"/>
  <c r="J29" i="7"/>
  <c r="C139" i="7" s="1"/>
  <c r="CD28" i="7"/>
  <c r="L138" i="7" s="1"/>
  <c r="BV28" i="7"/>
  <c r="K138" i="7" s="1"/>
  <c r="BN28" i="7"/>
  <c r="J138" i="7" s="1"/>
  <c r="BF28" i="7"/>
  <c r="I138" i="7" s="1"/>
  <c r="AX28" i="7"/>
  <c r="H138" i="7" s="1"/>
  <c r="AP28" i="7"/>
  <c r="G138" i="7" s="1"/>
  <c r="AH28" i="7"/>
  <c r="F138" i="7" s="1"/>
  <c r="Z28" i="7"/>
  <c r="E138" i="7" s="1"/>
  <c r="R28" i="7"/>
  <c r="D138" i="7" s="1"/>
  <c r="J28" i="7"/>
  <c r="C138" i="7" s="1"/>
  <c r="CD27" i="7"/>
  <c r="L137" i="7" s="1"/>
  <c r="BV27" i="7"/>
  <c r="K137" i="7" s="1"/>
  <c r="BN27" i="7"/>
  <c r="J137" i="7" s="1"/>
  <c r="BF27" i="7"/>
  <c r="I137" i="7" s="1"/>
  <c r="AX27" i="7"/>
  <c r="H137" i="7" s="1"/>
  <c r="AP27" i="7"/>
  <c r="G137" i="7" s="1"/>
  <c r="AH27" i="7"/>
  <c r="F137" i="7" s="1"/>
  <c r="Z27" i="7"/>
  <c r="E137" i="7" s="1"/>
  <c r="R27" i="7"/>
  <c r="D137" i="7" s="1"/>
  <c r="J27" i="7"/>
  <c r="C137" i="7" s="1"/>
  <c r="CD26" i="7"/>
  <c r="L136" i="7" s="1"/>
  <c r="BV26" i="7"/>
  <c r="K136" i="7" s="1"/>
  <c r="BN26" i="7"/>
  <c r="J136" i="7" s="1"/>
  <c r="BF26" i="7"/>
  <c r="I136" i="7" s="1"/>
  <c r="AX26" i="7"/>
  <c r="H136" i="7" s="1"/>
  <c r="AP26" i="7"/>
  <c r="G136" i="7" s="1"/>
  <c r="AH26" i="7"/>
  <c r="F136" i="7" s="1"/>
  <c r="Z26" i="7"/>
  <c r="E136" i="7" s="1"/>
  <c r="R26" i="7"/>
  <c r="D136" i="7" s="1"/>
  <c r="J26" i="7"/>
  <c r="C136" i="7" s="1"/>
  <c r="CD25" i="7"/>
  <c r="L135" i="7" s="1"/>
  <c r="BV25" i="7"/>
  <c r="K135" i="7" s="1"/>
  <c r="BN25" i="7"/>
  <c r="J135" i="7" s="1"/>
  <c r="BF25" i="7"/>
  <c r="I135" i="7" s="1"/>
  <c r="AX25" i="7"/>
  <c r="H135" i="7" s="1"/>
  <c r="AP25" i="7"/>
  <c r="G135" i="7" s="1"/>
  <c r="AH25" i="7"/>
  <c r="F135" i="7" s="1"/>
  <c r="Z25" i="7"/>
  <c r="E135" i="7" s="1"/>
  <c r="R25" i="7"/>
  <c r="D135" i="7" s="1"/>
  <c r="J25" i="7"/>
  <c r="C135" i="7" s="1"/>
  <c r="CD24" i="7"/>
  <c r="L134" i="7" s="1"/>
  <c r="BV24" i="7"/>
  <c r="K134" i="7" s="1"/>
  <c r="BN24" i="7"/>
  <c r="J134" i="7" s="1"/>
  <c r="BF24" i="7"/>
  <c r="I134" i="7" s="1"/>
  <c r="AX24" i="7"/>
  <c r="H134" i="7" s="1"/>
  <c r="AP24" i="7"/>
  <c r="G134" i="7" s="1"/>
  <c r="AH24" i="7"/>
  <c r="F134" i="7" s="1"/>
  <c r="Z24" i="7"/>
  <c r="E134" i="7" s="1"/>
  <c r="R24" i="7"/>
  <c r="D134" i="7" s="1"/>
  <c r="J24" i="7"/>
  <c r="C134" i="7" s="1"/>
  <c r="CD23" i="7"/>
  <c r="L133" i="7" s="1"/>
  <c r="BV23" i="7"/>
  <c r="K133" i="7" s="1"/>
  <c r="BN23" i="7"/>
  <c r="J133" i="7" s="1"/>
  <c r="BF23" i="7"/>
  <c r="I133" i="7" s="1"/>
  <c r="AX23" i="7"/>
  <c r="H133" i="7" s="1"/>
  <c r="AP23" i="7"/>
  <c r="G133" i="7" s="1"/>
  <c r="AH23" i="7"/>
  <c r="F133" i="7" s="1"/>
  <c r="Z23" i="7"/>
  <c r="E133" i="7" s="1"/>
  <c r="R23" i="7"/>
  <c r="D133" i="7" s="1"/>
  <c r="J23" i="7"/>
  <c r="C133" i="7" s="1"/>
  <c r="CD22" i="7"/>
  <c r="L132" i="7" s="1"/>
  <c r="BV22" i="7"/>
  <c r="K132" i="7" s="1"/>
  <c r="BN22" i="7"/>
  <c r="J132" i="7" s="1"/>
  <c r="BF22" i="7"/>
  <c r="I132" i="7" s="1"/>
  <c r="AX22" i="7"/>
  <c r="H132" i="7" s="1"/>
  <c r="AP22" i="7"/>
  <c r="G132" i="7" s="1"/>
  <c r="AH22" i="7"/>
  <c r="F132" i="7" s="1"/>
  <c r="Z22" i="7"/>
  <c r="E132" i="7" s="1"/>
  <c r="R22" i="7"/>
  <c r="D132" i="7" s="1"/>
  <c r="J22" i="7"/>
  <c r="C132" i="7" s="1"/>
  <c r="CD21" i="7"/>
  <c r="L131" i="7" s="1"/>
  <c r="BV21" i="7"/>
  <c r="K131" i="7" s="1"/>
  <c r="BN21" i="7"/>
  <c r="J131" i="7" s="1"/>
  <c r="BF21" i="7"/>
  <c r="I131" i="7" s="1"/>
  <c r="AX21" i="7"/>
  <c r="H131" i="7" s="1"/>
  <c r="AP21" i="7"/>
  <c r="G131" i="7" s="1"/>
  <c r="AH21" i="7"/>
  <c r="F131" i="7" s="1"/>
  <c r="Z21" i="7"/>
  <c r="E131" i="7" s="1"/>
  <c r="R21" i="7"/>
  <c r="D131" i="7" s="1"/>
  <c r="J21" i="7"/>
  <c r="C131" i="7" s="1"/>
  <c r="CD20" i="7"/>
  <c r="L130" i="7" s="1"/>
  <c r="BV20" i="7"/>
  <c r="K130" i="7" s="1"/>
  <c r="BN20" i="7"/>
  <c r="J130" i="7" s="1"/>
  <c r="BF20" i="7"/>
  <c r="I130" i="7" s="1"/>
  <c r="AX20" i="7"/>
  <c r="H130" i="7" s="1"/>
  <c r="AP20" i="7"/>
  <c r="G130" i="7" s="1"/>
  <c r="AH20" i="7"/>
  <c r="F130" i="7" s="1"/>
  <c r="Z20" i="7"/>
  <c r="E130" i="7" s="1"/>
  <c r="R20" i="7"/>
  <c r="D130" i="7" s="1"/>
  <c r="J20" i="7"/>
  <c r="C130" i="7" s="1"/>
  <c r="CD19" i="7"/>
  <c r="L129" i="7" s="1"/>
  <c r="BV19" i="7"/>
  <c r="K129" i="7" s="1"/>
  <c r="BN19" i="7"/>
  <c r="J129" i="7" s="1"/>
  <c r="BF19" i="7"/>
  <c r="I129" i="7" s="1"/>
  <c r="AX19" i="7"/>
  <c r="H129" i="7" s="1"/>
  <c r="AP19" i="7"/>
  <c r="G129" i="7" s="1"/>
  <c r="AH19" i="7"/>
  <c r="F129" i="7" s="1"/>
  <c r="Z19" i="7"/>
  <c r="E129" i="7" s="1"/>
  <c r="R19" i="7"/>
  <c r="D129" i="7" s="1"/>
  <c r="J19" i="7"/>
  <c r="C129" i="7" s="1"/>
  <c r="CD18" i="7"/>
  <c r="L128" i="7" s="1"/>
  <c r="BV18" i="7"/>
  <c r="K128" i="7" s="1"/>
  <c r="BN18" i="7"/>
  <c r="J128" i="7" s="1"/>
  <c r="BF18" i="7"/>
  <c r="I128" i="7" s="1"/>
  <c r="AX18" i="7"/>
  <c r="H128" i="7" s="1"/>
  <c r="AP18" i="7"/>
  <c r="G128" i="7" s="1"/>
  <c r="AH18" i="7"/>
  <c r="F128" i="7" s="1"/>
  <c r="Z18" i="7"/>
  <c r="E128" i="7" s="1"/>
  <c r="R18" i="7"/>
  <c r="D128" i="7" s="1"/>
  <c r="J18" i="7"/>
  <c r="C128" i="7" s="1"/>
  <c r="CD17" i="7"/>
  <c r="L127" i="7" s="1"/>
  <c r="BV17" i="7"/>
  <c r="K127" i="7" s="1"/>
  <c r="BN17" i="7"/>
  <c r="J127" i="7" s="1"/>
  <c r="BF17" i="7"/>
  <c r="I127" i="7" s="1"/>
  <c r="AX17" i="7"/>
  <c r="H127" i="7" s="1"/>
  <c r="AP17" i="7"/>
  <c r="G127" i="7" s="1"/>
  <c r="AH17" i="7"/>
  <c r="F127" i="7" s="1"/>
  <c r="Z17" i="7"/>
  <c r="E127" i="7" s="1"/>
  <c r="R17" i="7"/>
  <c r="D127" i="7" s="1"/>
  <c r="J17" i="7"/>
  <c r="C127" i="7" s="1"/>
  <c r="CD16" i="7"/>
  <c r="L126" i="7" s="1"/>
  <c r="BV16" i="7"/>
  <c r="K126" i="7" s="1"/>
  <c r="BN16" i="7"/>
  <c r="J126" i="7" s="1"/>
  <c r="BF16" i="7"/>
  <c r="I126" i="7" s="1"/>
  <c r="AX16" i="7"/>
  <c r="H126" i="7" s="1"/>
  <c r="AP16" i="7"/>
  <c r="G126" i="7" s="1"/>
  <c r="AH16" i="7"/>
  <c r="F126" i="7" s="1"/>
  <c r="Z16" i="7"/>
  <c r="E126" i="7" s="1"/>
  <c r="R16" i="7"/>
  <c r="D126" i="7" s="1"/>
  <c r="J16" i="7"/>
  <c r="C126" i="7" s="1"/>
  <c r="CD15" i="7"/>
  <c r="L125" i="7" s="1"/>
  <c r="BV15" i="7"/>
  <c r="K125" i="7" s="1"/>
  <c r="BN15" i="7"/>
  <c r="J125" i="7" s="1"/>
  <c r="BF15" i="7"/>
  <c r="I125" i="7" s="1"/>
  <c r="AX15" i="7"/>
  <c r="H125" i="7" s="1"/>
  <c r="AP15" i="7"/>
  <c r="G125" i="7" s="1"/>
  <c r="AH15" i="7"/>
  <c r="F125" i="7" s="1"/>
  <c r="Z15" i="7"/>
  <c r="E125" i="7" s="1"/>
  <c r="R15" i="7"/>
  <c r="D125" i="7" s="1"/>
  <c r="J15" i="7"/>
  <c r="C125" i="7" s="1"/>
  <c r="CD14" i="7"/>
  <c r="L124" i="7" s="1"/>
  <c r="BV14" i="7"/>
  <c r="K124" i="7" s="1"/>
  <c r="BN14" i="7"/>
  <c r="J124" i="7" s="1"/>
  <c r="BF14" i="7"/>
  <c r="I124" i="7" s="1"/>
  <c r="AX14" i="7"/>
  <c r="H124" i="7" s="1"/>
  <c r="AP14" i="7"/>
  <c r="G124" i="7" s="1"/>
  <c r="AH14" i="7"/>
  <c r="F124" i="7" s="1"/>
  <c r="Z14" i="7"/>
  <c r="E124" i="7" s="1"/>
  <c r="R14" i="7"/>
  <c r="D124" i="7" s="1"/>
  <c r="J14" i="7"/>
  <c r="C124" i="7" s="1"/>
  <c r="CD13" i="7"/>
  <c r="L123" i="7" s="1"/>
  <c r="BV13" i="7"/>
  <c r="K123" i="7" s="1"/>
  <c r="BN13" i="7"/>
  <c r="J123" i="7" s="1"/>
  <c r="BF13" i="7"/>
  <c r="I123" i="7" s="1"/>
  <c r="AX13" i="7"/>
  <c r="H123" i="7" s="1"/>
  <c r="AP13" i="7"/>
  <c r="G123" i="7" s="1"/>
  <c r="AH13" i="7"/>
  <c r="F123" i="7" s="1"/>
  <c r="Z13" i="7"/>
  <c r="E123" i="7" s="1"/>
  <c r="R13" i="7"/>
  <c r="D123" i="7" s="1"/>
  <c r="J13" i="7"/>
  <c r="C123" i="7" s="1"/>
  <c r="CD12" i="7"/>
  <c r="L122" i="7" s="1"/>
  <c r="BV12" i="7"/>
  <c r="K122" i="7" s="1"/>
  <c r="BN12" i="7"/>
  <c r="J122" i="7" s="1"/>
  <c r="BF12" i="7"/>
  <c r="I122" i="7" s="1"/>
  <c r="AX12" i="7"/>
  <c r="H122" i="7" s="1"/>
  <c r="AP12" i="7"/>
  <c r="G122" i="7" s="1"/>
  <c r="AH12" i="7"/>
  <c r="F122" i="7" s="1"/>
  <c r="Z12" i="7"/>
  <c r="E122" i="7" s="1"/>
  <c r="R12" i="7"/>
  <c r="D122" i="7" s="1"/>
  <c r="J12" i="7"/>
  <c r="C122" i="7" s="1"/>
  <c r="CD11" i="7"/>
  <c r="L121" i="7" s="1"/>
  <c r="BV11" i="7"/>
  <c r="K121" i="7" s="1"/>
  <c r="BN11" i="7"/>
  <c r="J121" i="7" s="1"/>
  <c r="BF11" i="7"/>
  <c r="I121" i="7" s="1"/>
  <c r="AX11" i="7"/>
  <c r="H121" i="7" s="1"/>
  <c r="AP11" i="7"/>
  <c r="G121" i="7" s="1"/>
  <c r="AH11" i="7"/>
  <c r="F121" i="7" s="1"/>
  <c r="Z11" i="7"/>
  <c r="E121" i="7" s="1"/>
  <c r="R11" i="7"/>
  <c r="D121" i="7" s="1"/>
  <c r="J11" i="7"/>
  <c r="C121" i="7" s="1"/>
  <c r="CD10" i="7"/>
  <c r="L120" i="7" s="1"/>
  <c r="BV10" i="7"/>
  <c r="K120" i="7" s="1"/>
  <c r="BN10" i="7"/>
  <c r="J120" i="7" s="1"/>
  <c r="BF10" i="7"/>
  <c r="I120" i="7" s="1"/>
  <c r="AX10" i="7"/>
  <c r="H120" i="7" s="1"/>
  <c r="AP10" i="7"/>
  <c r="G120" i="7" s="1"/>
  <c r="AH10" i="7"/>
  <c r="F120" i="7" s="1"/>
  <c r="Z10" i="7"/>
  <c r="E120" i="7" s="1"/>
  <c r="R10" i="7"/>
  <c r="D120" i="7" s="1"/>
  <c r="J10" i="7"/>
  <c r="C120" i="7" s="1"/>
  <c r="CD9" i="7"/>
  <c r="L119" i="7" s="1"/>
  <c r="BV9" i="7"/>
  <c r="K119" i="7" s="1"/>
  <c r="BN9" i="7"/>
  <c r="J119" i="7" s="1"/>
  <c r="BF9" i="7"/>
  <c r="I119" i="7" s="1"/>
  <c r="AX9" i="7"/>
  <c r="H119" i="7" s="1"/>
  <c r="AP9" i="7"/>
  <c r="G119" i="7" s="1"/>
  <c r="AH9" i="7"/>
  <c r="F119" i="7" s="1"/>
  <c r="Z9" i="7"/>
  <c r="E119" i="7" s="1"/>
  <c r="R9" i="7"/>
  <c r="D119" i="7" s="1"/>
  <c r="J9" i="7"/>
  <c r="C119" i="7" s="1"/>
  <c r="CD8" i="7"/>
  <c r="BV8" i="7"/>
  <c r="K118" i="7" s="1"/>
  <c r="BN8" i="7"/>
  <c r="BF8" i="7"/>
  <c r="AX8" i="7"/>
  <c r="AP8" i="7"/>
  <c r="AH8" i="7"/>
  <c r="Z8" i="7"/>
  <c r="R8" i="7"/>
  <c r="J8" i="7"/>
  <c r="C118" i="7" s="1"/>
  <c r="CC111" i="5"/>
  <c r="AC59" i="1" s="1"/>
  <c r="CB111" i="5"/>
  <c r="AC58" i="1" s="1"/>
  <c r="CA111" i="5"/>
  <c r="AC57" i="1" s="1"/>
  <c r="BZ111" i="5"/>
  <c r="AC56" i="1" s="1"/>
  <c r="BY111" i="5"/>
  <c r="AC55" i="1" s="1"/>
  <c r="BX111" i="5"/>
  <c r="AC54" i="1" s="1"/>
  <c r="BW111" i="5"/>
  <c r="AC53" i="1" s="1"/>
  <c r="BU111" i="5"/>
  <c r="AB59" i="1" s="1"/>
  <c r="BT111" i="5"/>
  <c r="AB58" i="1" s="1"/>
  <c r="BS111" i="5"/>
  <c r="AB57" i="1" s="1"/>
  <c r="BR111" i="5"/>
  <c r="AB56" i="1" s="1"/>
  <c r="BQ111" i="5"/>
  <c r="AB55" i="1" s="1"/>
  <c r="BP111" i="5"/>
  <c r="AB54" i="1" s="1"/>
  <c r="BO111" i="5"/>
  <c r="BM111" i="5"/>
  <c r="AA59" i="1" s="1"/>
  <c r="BL111" i="5"/>
  <c r="AA58" i="1" s="1"/>
  <c r="BK111" i="5"/>
  <c r="AA57" i="1" s="1"/>
  <c r="BJ111" i="5"/>
  <c r="AA56" i="1" s="1"/>
  <c r="BI111" i="5"/>
  <c r="AA55" i="1" s="1"/>
  <c r="BH111" i="5"/>
  <c r="AA54" i="1" s="1"/>
  <c r="BG111" i="5"/>
  <c r="AA53" i="1" s="1"/>
  <c r="BE111" i="5"/>
  <c r="Z59" i="1" s="1"/>
  <c r="BD111" i="5"/>
  <c r="Z58" i="1" s="1"/>
  <c r="BC111" i="5"/>
  <c r="Z57" i="1" s="1"/>
  <c r="BB111" i="5"/>
  <c r="Z56" i="1" s="1"/>
  <c r="BA111" i="5"/>
  <c r="Z55" i="1" s="1"/>
  <c r="AZ111" i="5"/>
  <c r="Z54" i="1" s="1"/>
  <c r="AY111" i="5"/>
  <c r="Z53" i="1" s="1"/>
  <c r="AW111" i="5"/>
  <c r="Y59" i="1" s="1"/>
  <c r="AV111" i="5"/>
  <c r="Y58" i="1" s="1"/>
  <c r="AU111" i="5"/>
  <c r="Y57" i="1" s="1"/>
  <c r="AT111" i="5"/>
  <c r="Y56" i="1" s="1"/>
  <c r="AS111" i="5"/>
  <c r="Y55" i="1" s="1"/>
  <c r="AR111" i="5"/>
  <c r="Y54" i="1" s="1"/>
  <c r="AQ111" i="5"/>
  <c r="Y53" i="1" s="1"/>
  <c r="AO111" i="5"/>
  <c r="X59" i="1" s="1"/>
  <c r="AN111" i="5"/>
  <c r="X58" i="1" s="1"/>
  <c r="AM111" i="5"/>
  <c r="X57" i="1" s="1"/>
  <c r="AL111" i="5"/>
  <c r="X56" i="1" s="1"/>
  <c r="AK111" i="5"/>
  <c r="X55" i="1" s="1"/>
  <c r="AJ111" i="5"/>
  <c r="X54" i="1" s="1"/>
  <c r="AI111" i="5"/>
  <c r="X53" i="1" s="1"/>
  <c r="AG111" i="5"/>
  <c r="W59" i="1" s="1"/>
  <c r="AF111" i="5"/>
  <c r="W58" i="1" s="1"/>
  <c r="AE111" i="5"/>
  <c r="W57" i="1" s="1"/>
  <c r="AD111" i="5"/>
  <c r="W56" i="1" s="1"/>
  <c r="AC111" i="5"/>
  <c r="W55" i="1" s="1"/>
  <c r="AB111" i="5"/>
  <c r="W54" i="1" s="1"/>
  <c r="AA111" i="5"/>
  <c r="W53" i="1" s="1"/>
  <c r="Y111" i="5"/>
  <c r="V59" i="1" s="1"/>
  <c r="X111" i="5"/>
  <c r="V58" i="1" s="1"/>
  <c r="W111" i="5"/>
  <c r="V57" i="1" s="1"/>
  <c r="V111" i="5"/>
  <c r="V56" i="1" s="1"/>
  <c r="U111" i="5"/>
  <c r="V55" i="1" s="1"/>
  <c r="T111" i="5"/>
  <c r="V54" i="1" s="1"/>
  <c r="S111" i="5"/>
  <c r="V53" i="1" s="1"/>
  <c r="Q111" i="5"/>
  <c r="U59" i="1" s="1"/>
  <c r="P111" i="5"/>
  <c r="U58" i="1" s="1"/>
  <c r="O111" i="5"/>
  <c r="U57" i="1" s="1"/>
  <c r="N111" i="5"/>
  <c r="U56" i="1" s="1"/>
  <c r="M111" i="5"/>
  <c r="U55" i="1" s="1"/>
  <c r="L111" i="5"/>
  <c r="U54" i="1" s="1"/>
  <c r="K111" i="5"/>
  <c r="U53" i="1" s="1"/>
  <c r="I111" i="5"/>
  <c r="T59" i="1" s="1"/>
  <c r="H111" i="5"/>
  <c r="T58" i="1" s="1"/>
  <c r="G111" i="5"/>
  <c r="T57" i="1" s="1"/>
  <c r="F111" i="5"/>
  <c r="T56" i="1" s="1"/>
  <c r="E111" i="5"/>
  <c r="T55" i="1" s="1"/>
  <c r="D111" i="5"/>
  <c r="T54" i="1" s="1"/>
  <c r="C111" i="5"/>
  <c r="T53" i="1" s="1"/>
  <c r="CD110" i="5"/>
  <c r="L220" i="5" s="1"/>
  <c r="BV110" i="5"/>
  <c r="K220" i="5" s="1"/>
  <c r="BN110" i="5"/>
  <c r="J220" i="5" s="1"/>
  <c r="BF110" i="5"/>
  <c r="I220" i="5" s="1"/>
  <c r="AX110" i="5"/>
  <c r="H220" i="5" s="1"/>
  <c r="AP110" i="5"/>
  <c r="G220" i="5" s="1"/>
  <c r="AH110" i="5"/>
  <c r="F220" i="5" s="1"/>
  <c r="Z110" i="5"/>
  <c r="E220" i="5" s="1"/>
  <c r="R110" i="5"/>
  <c r="D220" i="5" s="1"/>
  <c r="J110" i="5"/>
  <c r="C220" i="5" s="1"/>
  <c r="CD109" i="5"/>
  <c r="L219" i="5" s="1"/>
  <c r="BV109" i="5"/>
  <c r="K219" i="5" s="1"/>
  <c r="BN109" i="5"/>
  <c r="J219" i="5" s="1"/>
  <c r="BF109" i="5"/>
  <c r="I219" i="5" s="1"/>
  <c r="AX109" i="5"/>
  <c r="H219" i="5" s="1"/>
  <c r="AP109" i="5"/>
  <c r="G219" i="5" s="1"/>
  <c r="AH109" i="5"/>
  <c r="F219" i="5" s="1"/>
  <c r="Z109" i="5"/>
  <c r="E219" i="5" s="1"/>
  <c r="R109" i="5"/>
  <c r="D219" i="5" s="1"/>
  <c r="J109" i="5"/>
  <c r="C219" i="5" s="1"/>
  <c r="CD108" i="5"/>
  <c r="L218" i="5" s="1"/>
  <c r="BV108" i="5"/>
  <c r="K218" i="5" s="1"/>
  <c r="BN108" i="5"/>
  <c r="J218" i="5" s="1"/>
  <c r="BF108" i="5"/>
  <c r="I218" i="5" s="1"/>
  <c r="AX108" i="5"/>
  <c r="H218" i="5" s="1"/>
  <c r="AP108" i="5"/>
  <c r="G218" i="5" s="1"/>
  <c r="AH108" i="5"/>
  <c r="F218" i="5" s="1"/>
  <c r="Z108" i="5"/>
  <c r="E218" i="5" s="1"/>
  <c r="R108" i="5"/>
  <c r="D218" i="5" s="1"/>
  <c r="J108" i="5"/>
  <c r="C218" i="5" s="1"/>
  <c r="CD107" i="5"/>
  <c r="L217" i="5" s="1"/>
  <c r="BV107" i="5"/>
  <c r="K217" i="5" s="1"/>
  <c r="BN107" i="5"/>
  <c r="J217" i="5" s="1"/>
  <c r="BF107" i="5"/>
  <c r="I217" i="5" s="1"/>
  <c r="AX107" i="5"/>
  <c r="H217" i="5" s="1"/>
  <c r="AP107" i="5"/>
  <c r="G217" i="5" s="1"/>
  <c r="AH107" i="5"/>
  <c r="F217" i="5" s="1"/>
  <c r="Z107" i="5"/>
  <c r="E217" i="5" s="1"/>
  <c r="R107" i="5"/>
  <c r="D217" i="5" s="1"/>
  <c r="J107" i="5"/>
  <c r="C217" i="5" s="1"/>
  <c r="CD106" i="5"/>
  <c r="L216" i="5" s="1"/>
  <c r="BV106" i="5"/>
  <c r="K216" i="5" s="1"/>
  <c r="BN106" i="5"/>
  <c r="J216" i="5" s="1"/>
  <c r="BF106" i="5"/>
  <c r="I216" i="5" s="1"/>
  <c r="AX106" i="5"/>
  <c r="H216" i="5" s="1"/>
  <c r="AP106" i="5"/>
  <c r="G216" i="5" s="1"/>
  <c r="AH106" i="5"/>
  <c r="F216" i="5" s="1"/>
  <c r="Z106" i="5"/>
  <c r="E216" i="5" s="1"/>
  <c r="R106" i="5"/>
  <c r="D216" i="5" s="1"/>
  <c r="J106" i="5"/>
  <c r="C216" i="5" s="1"/>
  <c r="CD105" i="5"/>
  <c r="L215" i="5" s="1"/>
  <c r="BV105" i="5"/>
  <c r="K215" i="5" s="1"/>
  <c r="BN105" i="5"/>
  <c r="J215" i="5" s="1"/>
  <c r="BF105" i="5"/>
  <c r="I215" i="5" s="1"/>
  <c r="AX105" i="5"/>
  <c r="H215" i="5" s="1"/>
  <c r="AP105" i="5"/>
  <c r="G215" i="5" s="1"/>
  <c r="AH105" i="5"/>
  <c r="F215" i="5" s="1"/>
  <c r="Z105" i="5"/>
  <c r="E215" i="5" s="1"/>
  <c r="R105" i="5"/>
  <c r="D215" i="5" s="1"/>
  <c r="J105" i="5"/>
  <c r="C215" i="5" s="1"/>
  <c r="CD104" i="5"/>
  <c r="L214" i="5" s="1"/>
  <c r="BV104" i="5"/>
  <c r="K214" i="5" s="1"/>
  <c r="BN104" i="5"/>
  <c r="J214" i="5" s="1"/>
  <c r="BF104" i="5"/>
  <c r="I214" i="5" s="1"/>
  <c r="AX104" i="5"/>
  <c r="H214" i="5" s="1"/>
  <c r="AP104" i="5"/>
  <c r="G214" i="5" s="1"/>
  <c r="AH104" i="5"/>
  <c r="F214" i="5" s="1"/>
  <c r="Z104" i="5"/>
  <c r="E214" i="5" s="1"/>
  <c r="R104" i="5"/>
  <c r="D214" i="5" s="1"/>
  <c r="J104" i="5"/>
  <c r="C214" i="5" s="1"/>
  <c r="CD103" i="5"/>
  <c r="L213" i="5" s="1"/>
  <c r="BV103" i="5"/>
  <c r="K213" i="5" s="1"/>
  <c r="BN103" i="5"/>
  <c r="J213" i="5" s="1"/>
  <c r="BF103" i="5"/>
  <c r="I213" i="5" s="1"/>
  <c r="AX103" i="5"/>
  <c r="H213" i="5" s="1"/>
  <c r="AP103" i="5"/>
  <c r="G213" i="5" s="1"/>
  <c r="AH103" i="5"/>
  <c r="F213" i="5" s="1"/>
  <c r="Z103" i="5"/>
  <c r="E213" i="5" s="1"/>
  <c r="R103" i="5"/>
  <c r="D213" i="5" s="1"/>
  <c r="J103" i="5"/>
  <c r="C213" i="5" s="1"/>
  <c r="CD102" i="5"/>
  <c r="L212" i="5" s="1"/>
  <c r="BV102" i="5"/>
  <c r="K212" i="5" s="1"/>
  <c r="BN102" i="5"/>
  <c r="J212" i="5" s="1"/>
  <c r="BF102" i="5"/>
  <c r="I212" i="5" s="1"/>
  <c r="AX102" i="5"/>
  <c r="H212" i="5" s="1"/>
  <c r="AP102" i="5"/>
  <c r="G212" i="5" s="1"/>
  <c r="AH102" i="5"/>
  <c r="F212" i="5" s="1"/>
  <c r="Z102" i="5"/>
  <c r="E212" i="5" s="1"/>
  <c r="R102" i="5"/>
  <c r="D212" i="5" s="1"/>
  <c r="J102" i="5"/>
  <c r="C212" i="5" s="1"/>
  <c r="CD101" i="5"/>
  <c r="L211" i="5" s="1"/>
  <c r="BV101" i="5"/>
  <c r="K211" i="5" s="1"/>
  <c r="BN101" i="5"/>
  <c r="J211" i="5" s="1"/>
  <c r="BF101" i="5"/>
  <c r="I211" i="5" s="1"/>
  <c r="AX101" i="5"/>
  <c r="H211" i="5" s="1"/>
  <c r="AP101" i="5"/>
  <c r="G211" i="5" s="1"/>
  <c r="AH101" i="5"/>
  <c r="F211" i="5" s="1"/>
  <c r="Z101" i="5"/>
  <c r="E211" i="5" s="1"/>
  <c r="R101" i="5"/>
  <c r="D211" i="5" s="1"/>
  <c r="J101" i="5"/>
  <c r="C211" i="5" s="1"/>
  <c r="CD100" i="5"/>
  <c r="L210" i="5" s="1"/>
  <c r="BV100" i="5"/>
  <c r="K210" i="5" s="1"/>
  <c r="BN100" i="5"/>
  <c r="J210" i="5" s="1"/>
  <c r="BF100" i="5"/>
  <c r="I210" i="5" s="1"/>
  <c r="AX100" i="5"/>
  <c r="H210" i="5" s="1"/>
  <c r="AP100" i="5"/>
  <c r="G210" i="5" s="1"/>
  <c r="AH100" i="5"/>
  <c r="F210" i="5" s="1"/>
  <c r="Z100" i="5"/>
  <c r="E210" i="5" s="1"/>
  <c r="R100" i="5"/>
  <c r="D210" i="5" s="1"/>
  <c r="J100" i="5"/>
  <c r="C210" i="5" s="1"/>
  <c r="CD99" i="5"/>
  <c r="L209" i="5" s="1"/>
  <c r="BV99" i="5"/>
  <c r="K209" i="5" s="1"/>
  <c r="BN99" i="5"/>
  <c r="J209" i="5" s="1"/>
  <c r="BF99" i="5"/>
  <c r="I209" i="5" s="1"/>
  <c r="AX99" i="5"/>
  <c r="H209" i="5" s="1"/>
  <c r="AP99" i="5"/>
  <c r="G209" i="5" s="1"/>
  <c r="AH99" i="5"/>
  <c r="F209" i="5" s="1"/>
  <c r="Z99" i="5"/>
  <c r="E209" i="5" s="1"/>
  <c r="R99" i="5"/>
  <c r="D209" i="5" s="1"/>
  <c r="J99" i="5"/>
  <c r="C209" i="5" s="1"/>
  <c r="CD98" i="5"/>
  <c r="L208" i="5" s="1"/>
  <c r="BV98" i="5"/>
  <c r="K208" i="5" s="1"/>
  <c r="BN98" i="5"/>
  <c r="J208" i="5" s="1"/>
  <c r="BF98" i="5"/>
  <c r="I208" i="5" s="1"/>
  <c r="AX98" i="5"/>
  <c r="H208" i="5" s="1"/>
  <c r="AP98" i="5"/>
  <c r="G208" i="5" s="1"/>
  <c r="AH98" i="5"/>
  <c r="F208" i="5" s="1"/>
  <c r="Z98" i="5"/>
  <c r="E208" i="5" s="1"/>
  <c r="R98" i="5"/>
  <c r="D208" i="5" s="1"/>
  <c r="J98" i="5"/>
  <c r="C208" i="5" s="1"/>
  <c r="CD97" i="5"/>
  <c r="L207" i="5" s="1"/>
  <c r="BV97" i="5"/>
  <c r="K207" i="5" s="1"/>
  <c r="BN97" i="5"/>
  <c r="J207" i="5" s="1"/>
  <c r="BF97" i="5"/>
  <c r="I207" i="5" s="1"/>
  <c r="AX97" i="5"/>
  <c r="H207" i="5" s="1"/>
  <c r="AP97" i="5"/>
  <c r="G207" i="5" s="1"/>
  <c r="AH97" i="5"/>
  <c r="F207" i="5" s="1"/>
  <c r="Z97" i="5"/>
  <c r="E207" i="5" s="1"/>
  <c r="R97" i="5"/>
  <c r="D207" i="5" s="1"/>
  <c r="J97" i="5"/>
  <c r="C207" i="5" s="1"/>
  <c r="CD96" i="5"/>
  <c r="L206" i="5" s="1"/>
  <c r="BV96" i="5"/>
  <c r="K206" i="5" s="1"/>
  <c r="BN96" i="5"/>
  <c r="J206" i="5" s="1"/>
  <c r="BF96" i="5"/>
  <c r="I206" i="5" s="1"/>
  <c r="AX96" i="5"/>
  <c r="H206" i="5" s="1"/>
  <c r="AP96" i="5"/>
  <c r="G206" i="5" s="1"/>
  <c r="AH96" i="5"/>
  <c r="F206" i="5" s="1"/>
  <c r="Z96" i="5"/>
  <c r="E206" i="5" s="1"/>
  <c r="R96" i="5"/>
  <c r="D206" i="5" s="1"/>
  <c r="J96" i="5"/>
  <c r="C206" i="5" s="1"/>
  <c r="CD95" i="5"/>
  <c r="L205" i="5" s="1"/>
  <c r="BV95" i="5"/>
  <c r="K205" i="5" s="1"/>
  <c r="BN95" i="5"/>
  <c r="J205" i="5" s="1"/>
  <c r="BF95" i="5"/>
  <c r="I205" i="5" s="1"/>
  <c r="AX95" i="5"/>
  <c r="H205" i="5" s="1"/>
  <c r="AP95" i="5"/>
  <c r="G205" i="5" s="1"/>
  <c r="AH95" i="5"/>
  <c r="F205" i="5" s="1"/>
  <c r="Z95" i="5"/>
  <c r="E205" i="5" s="1"/>
  <c r="R95" i="5"/>
  <c r="D205" i="5" s="1"/>
  <c r="J95" i="5"/>
  <c r="C205" i="5" s="1"/>
  <c r="CD94" i="5"/>
  <c r="L204" i="5" s="1"/>
  <c r="BV94" i="5"/>
  <c r="K204" i="5" s="1"/>
  <c r="BN94" i="5"/>
  <c r="J204" i="5" s="1"/>
  <c r="BF94" i="5"/>
  <c r="I204" i="5" s="1"/>
  <c r="AX94" i="5"/>
  <c r="H204" i="5" s="1"/>
  <c r="AP94" i="5"/>
  <c r="G204" i="5" s="1"/>
  <c r="AH94" i="5"/>
  <c r="F204" i="5" s="1"/>
  <c r="Z94" i="5"/>
  <c r="E204" i="5" s="1"/>
  <c r="R94" i="5"/>
  <c r="D204" i="5" s="1"/>
  <c r="J94" i="5"/>
  <c r="C204" i="5" s="1"/>
  <c r="CD93" i="5"/>
  <c r="L203" i="5" s="1"/>
  <c r="BV93" i="5"/>
  <c r="K203" i="5" s="1"/>
  <c r="BN93" i="5"/>
  <c r="J203" i="5" s="1"/>
  <c r="BF93" i="5"/>
  <c r="I203" i="5" s="1"/>
  <c r="AX93" i="5"/>
  <c r="H203" i="5" s="1"/>
  <c r="AP93" i="5"/>
  <c r="G203" i="5" s="1"/>
  <c r="AH93" i="5"/>
  <c r="F203" i="5" s="1"/>
  <c r="Z93" i="5"/>
  <c r="E203" i="5" s="1"/>
  <c r="R93" i="5"/>
  <c r="D203" i="5" s="1"/>
  <c r="J93" i="5"/>
  <c r="C203" i="5" s="1"/>
  <c r="CD92" i="5"/>
  <c r="L202" i="5" s="1"/>
  <c r="BV92" i="5"/>
  <c r="K202" i="5" s="1"/>
  <c r="BN92" i="5"/>
  <c r="J202" i="5" s="1"/>
  <c r="BF92" i="5"/>
  <c r="I202" i="5" s="1"/>
  <c r="AX92" i="5"/>
  <c r="H202" i="5" s="1"/>
  <c r="AP92" i="5"/>
  <c r="G202" i="5" s="1"/>
  <c r="AH92" i="5"/>
  <c r="F202" i="5" s="1"/>
  <c r="Z92" i="5"/>
  <c r="E202" i="5" s="1"/>
  <c r="R92" i="5"/>
  <c r="D202" i="5" s="1"/>
  <c r="J92" i="5"/>
  <c r="C202" i="5" s="1"/>
  <c r="CD91" i="5"/>
  <c r="L201" i="5" s="1"/>
  <c r="BV91" i="5"/>
  <c r="K201" i="5" s="1"/>
  <c r="BN91" i="5"/>
  <c r="J201" i="5" s="1"/>
  <c r="BF91" i="5"/>
  <c r="I201" i="5" s="1"/>
  <c r="AX91" i="5"/>
  <c r="H201" i="5" s="1"/>
  <c r="AP91" i="5"/>
  <c r="G201" i="5" s="1"/>
  <c r="AH91" i="5"/>
  <c r="F201" i="5" s="1"/>
  <c r="Z91" i="5"/>
  <c r="E201" i="5" s="1"/>
  <c r="R91" i="5"/>
  <c r="D201" i="5" s="1"/>
  <c r="J91" i="5"/>
  <c r="C201" i="5" s="1"/>
  <c r="CD90" i="5"/>
  <c r="L200" i="5" s="1"/>
  <c r="BV90" i="5"/>
  <c r="K200" i="5" s="1"/>
  <c r="BN90" i="5"/>
  <c r="J200" i="5" s="1"/>
  <c r="BF90" i="5"/>
  <c r="I200" i="5" s="1"/>
  <c r="AX90" i="5"/>
  <c r="H200" i="5" s="1"/>
  <c r="AP90" i="5"/>
  <c r="G200" i="5" s="1"/>
  <c r="AH90" i="5"/>
  <c r="F200" i="5" s="1"/>
  <c r="Z90" i="5"/>
  <c r="E200" i="5" s="1"/>
  <c r="R90" i="5"/>
  <c r="D200" i="5" s="1"/>
  <c r="J90" i="5"/>
  <c r="C200" i="5" s="1"/>
  <c r="CD89" i="5"/>
  <c r="L199" i="5" s="1"/>
  <c r="BV89" i="5"/>
  <c r="K199" i="5" s="1"/>
  <c r="BN89" i="5"/>
  <c r="J199" i="5" s="1"/>
  <c r="BF89" i="5"/>
  <c r="I199" i="5" s="1"/>
  <c r="AX89" i="5"/>
  <c r="H199" i="5" s="1"/>
  <c r="AP89" i="5"/>
  <c r="G199" i="5" s="1"/>
  <c r="AH89" i="5"/>
  <c r="F199" i="5" s="1"/>
  <c r="Z89" i="5"/>
  <c r="E199" i="5" s="1"/>
  <c r="R89" i="5"/>
  <c r="D199" i="5" s="1"/>
  <c r="J89" i="5"/>
  <c r="C199" i="5" s="1"/>
  <c r="CD88" i="5"/>
  <c r="L198" i="5" s="1"/>
  <c r="BV88" i="5"/>
  <c r="K198" i="5" s="1"/>
  <c r="BN88" i="5"/>
  <c r="J198" i="5" s="1"/>
  <c r="BF88" i="5"/>
  <c r="I198" i="5" s="1"/>
  <c r="AX88" i="5"/>
  <c r="H198" i="5" s="1"/>
  <c r="AP88" i="5"/>
  <c r="G198" i="5" s="1"/>
  <c r="AH88" i="5"/>
  <c r="F198" i="5" s="1"/>
  <c r="Z88" i="5"/>
  <c r="E198" i="5" s="1"/>
  <c r="R88" i="5"/>
  <c r="D198" i="5" s="1"/>
  <c r="J88" i="5"/>
  <c r="C198" i="5" s="1"/>
  <c r="CD87" i="5"/>
  <c r="L197" i="5" s="1"/>
  <c r="BV87" i="5"/>
  <c r="K197" i="5" s="1"/>
  <c r="BN87" i="5"/>
  <c r="J197" i="5" s="1"/>
  <c r="BF87" i="5"/>
  <c r="I197" i="5" s="1"/>
  <c r="AX87" i="5"/>
  <c r="H197" i="5" s="1"/>
  <c r="AP87" i="5"/>
  <c r="G197" i="5" s="1"/>
  <c r="AH87" i="5"/>
  <c r="F197" i="5" s="1"/>
  <c r="Z87" i="5"/>
  <c r="E197" i="5" s="1"/>
  <c r="R87" i="5"/>
  <c r="D197" i="5" s="1"/>
  <c r="J87" i="5"/>
  <c r="C197" i="5" s="1"/>
  <c r="CD86" i="5"/>
  <c r="L196" i="5" s="1"/>
  <c r="BV86" i="5"/>
  <c r="K196" i="5" s="1"/>
  <c r="BN86" i="5"/>
  <c r="J196" i="5" s="1"/>
  <c r="BF86" i="5"/>
  <c r="I196" i="5" s="1"/>
  <c r="AX86" i="5"/>
  <c r="H196" i="5" s="1"/>
  <c r="AP86" i="5"/>
  <c r="G196" i="5" s="1"/>
  <c r="AH86" i="5"/>
  <c r="F196" i="5" s="1"/>
  <c r="Z86" i="5"/>
  <c r="E196" i="5" s="1"/>
  <c r="R86" i="5"/>
  <c r="D196" i="5" s="1"/>
  <c r="J86" i="5"/>
  <c r="C196" i="5" s="1"/>
  <c r="CD85" i="5"/>
  <c r="L195" i="5" s="1"/>
  <c r="BV85" i="5"/>
  <c r="K195" i="5" s="1"/>
  <c r="BN85" i="5"/>
  <c r="J195" i="5" s="1"/>
  <c r="BF85" i="5"/>
  <c r="I195" i="5" s="1"/>
  <c r="AX85" i="5"/>
  <c r="H195" i="5" s="1"/>
  <c r="AP85" i="5"/>
  <c r="G195" i="5" s="1"/>
  <c r="AH85" i="5"/>
  <c r="F195" i="5" s="1"/>
  <c r="Z85" i="5"/>
  <c r="E195" i="5" s="1"/>
  <c r="R85" i="5"/>
  <c r="D195" i="5" s="1"/>
  <c r="J85" i="5"/>
  <c r="C195" i="5" s="1"/>
  <c r="CD84" i="5"/>
  <c r="L194" i="5" s="1"/>
  <c r="BV84" i="5"/>
  <c r="K194" i="5" s="1"/>
  <c r="BN84" i="5"/>
  <c r="J194" i="5" s="1"/>
  <c r="BF84" i="5"/>
  <c r="I194" i="5" s="1"/>
  <c r="AX84" i="5"/>
  <c r="H194" i="5" s="1"/>
  <c r="AP84" i="5"/>
  <c r="G194" i="5" s="1"/>
  <c r="AH84" i="5"/>
  <c r="F194" i="5" s="1"/>
  <c r="Z84" i="5"/>
  <c r="E194" i="5" s="1"/>
  <c r="R84" i="5"/>
  <c r="D194" i="5" s="1"/>
  <c r="J84" i="5"/>
  <c r="C194" i="5" s="1"/>
  <c r="CD83" i="5"/>
  <c r="L193" i="5" s="1"/>
  <c r="BV83" i="5"/>
  <c r="K193" i="5" s="1"/>
  <c r="BN83" i="5"/>
  <c r="J193" i="5" s="1"/>
  <c r="BF83" i="5"/>
  <c r="I193" i="5" s="1"/>
  <c r="AX83" i="5"/>
  <c r="H193" i="5" s="1"/>
  <c r="AP83" i="5"/>
  <c r="G193" i="5" s="1"/>
  <c r="AH83" i="5"/>
  <c r="F193" i="5" s="1"/>
  <c r="Z83" i="5"/>
  <c r="E193" i="5" s="1"/>
  <c r="R83" i="5"/>
  <c r="D193" i="5" s="1"/>
  <c r="J83" i="5"/>
  <c r="C193" i="5" s="1"/>
  <c r="CD82" i="5"/>
  <c r="L192" i="5" s="1"/>
  <c r="BV82" i="5"/>
  <c r="K192" i="5" s="1"/>
  <c r="BN82" i="5"/>
  <c r="J192" i="5" s="1"/>
  <c r="BF82" i="5"/>
  <c r="I192" i="5" s="1"/>
  <c r="AX82" i="5"/>
  <c r="H192" i="5" s="1"/>
  <c r="AP82" i="5"/>
  <c r="G192" i="5" s="1"/>
  <c r="AH82" i="5"/>
  <c r="F192" i="5" s="1"/>
  <c r="Z82" i="5"/>
  <c r="E192" i="5" s="1"/>
  <c r="R82" i="5"/>
  <c r="D192" i="5" s="1"/>
  <c r="J82" i="5"/>
  <c r="C192" i="5" s="1"/>
  <c r="CD81" i="5"/>
  <c r="L191" i="5" s="1"/>
  <c r="BV81" i="5"/>
  <c r="K191" i="5" s="1"/>
  <c r="BN81" i="5"/>
  <c r="J191" i="5" s="1"/>
  <c r="BF81" i="5"/>
  <c r="I191" i="5" s="1"/>
  <c r="AX81" i="5"/>
  <c r="H191" i="5" s="1"/>
  <c r="AP81" i="5"/>
  <c r="G191" i="5" s="1"/>
  <c r="AH81" i="5"/>
  <c r="F191" i="5" s="1"/>
  <c r="Z81" i="5"/>
  <c r="E191" i="5" s="1"/>
  <c r="R81" i="5"/>
  <c r="D191" i="5" s="1"/>
  <c r="J81" i="5"/>
  <c r="C191" i="5" s="1"/>
  <c r="CD80" i="5"/>
  <c r="L190" i="5" s="1"/>
  <c r="BV80" i="5"/>
  <c r="K190" i="5" s="1"/>
  <c r="BN80" i="5"/>
  <c r="J190" i="5" s="1"/>
  <c r="BF80" i="5"/>
  <c r="I190" i="5" s="1"/>
  <c r="AX80" i="5"/>
  <c r="H190" i="5" s="1"/>
  <c r="AP80" i="5"/>
  <c r="G190" i="5" s="1"/>
  <c r="AH80" i="5"/>
  <c r="F190" i="5" s="1"/>
  <c r="Z80" i="5"/>
  <c r="E190" i="5" s="1"/>
  <c r="R80" i="5"/>
  <c r="D190" i="5" s="1"/>
  <c r="J80" i="5"/>
  <c r="C190" i="5" s="1"/>
  <c r="CD79" i="5"/>
  <c r="L189" i="5" s="1"/>
  <c r="BV79" i="5"/>
  <c r="K189" i="5" s="1"/>
  <c r="BN79" i="5"/>
  <c r="J189" i="5" s="1"/>
  <c r="BF79" i="5"/>
  <c r="I189" i="5" s="1"/>
  <c r="AX79" i="5"/>
  <c r="H189" i="5" s="1"/>
  <c r="AP79" i="5"/>
  <c r="G189" i="5" s="1"/>
  <c r="AH79" i="5"/>
  <c r="F189" i="5" s="1"/>
  <c r="Z79" i="5"/>
  <c r="E189" i="5" s="1"/>
  <c r="R79" i="5"/>
  <c r="D189" i="5" s="1"/>
  <c r="J79" i="5"/>
  <c r="C189" i="5" s="1"/>
  <c r="CD78" i="5"/>
  <c r="L188" i="5" s="1"/>
  <c r="BV78" i="5"/>
  <c r="K188" i="5" s="1"/>
  <c r="BN78" i="5"/>
  <c r="J188" i="5" s="1"/>
  <c r="BF78" i="5"/>
  <c r="I188" i="5" s="1"/>
  <c r="AX78" i="5"/>
  <c r="H188" i="5" s="1"/>
  <c r="AP78" i="5"/>
  <c r="G188" i="5" s="1"/>
  <c r="AH78" i="5"/>
  <c r="F188" i="5" s="1"/>
  <c r="Z78" i="5"/>
  <c r="E188" i="5" s="1"/>
  <c r="R78" i="5"/>
  <c r="D188" i="5" s="1"/>
  <c r="J78" i="5"/>
  <c r="C188" i="5" s="1"/>
  <c r="CD77" i="5"/>
  <c r="L187" i="5" s="1"/>
  <c r="BV77" i="5"/>
  <c r="K187" i="5" s="1"/>
  <c r="BN77" i="5"/>
  <c r="J187" i="5" s="1"/>
  <c r="BF77" i="5"/>
  <c r="I187" i="5" s="1"/>
  <c r="AX77" i="5"/>
  <c r="H187" i="5" s="1"/>
  <c r="AP77" i="5"/>
  <c r="G187" i="5" s="1"/>
  <c r="AH77" i="5"/>
  <c r="F187" i="5" s="1"/>
  <c r="Z77" i="5"/>
  <c r="E187" i="5" s="1"/>
  <c r="R77" i="5"/>
  <c r="D187" i="5" s="1"/>
  <c r="J77" i="5"/>
  <c r="C187" i="5" s="1"/>
  <c r="CD76" i="5"/>
  <c r="L186" i="5" s="1"/>
  <c r="BV76" i="5"/>
  <c r="K186" i="5" s="1"/>
  <c r="BN76" i="5"/>
  <c r="J186" i="5" s="1"/>
  <c r="BF76" i="5"/>
  <c r="I186" i="5" s="1"/>
  <c r="AX76" i="5"/>
  <c r="H186" i="5" s="1"/>
  <c r="AP76" i="5"/>
  <c r="G186" i="5" s="1"/>
  <c r="AH76" i="5"/>
  <c r="F186" i="5" s="1"/>
  <c r="Z76" i="5"/>
  <c r="E186" i="5" s="1"/>
  <c r="R76" i="5"/>
  <c r="D186" i="5" s="1"/>
  <c r="J76" i="5"/>
  <c r="C186" i="5" s="1"/>
  <c r="CD75" i="5"/>
  <c r="L185" i="5" s="1"/>
  <c r="BV75" i="5"/>
  <c r="K185" i="5" s="1"/>
  <c r="BN75" i="5"/>
  <c r="J185" i="5" s="1"/>
  <c r="BF75" i="5"/>
  <c r="I185" i="5" s="1"/>
  <c r="AX75" i="5"/>
  <c r="H185" i="5" s="1"/>
  <c r="AP75" i="5"/>
  <c r="G185" i="5" s="1"/>
  <c r="AH75" i="5"/>
  <c r="F185" i="5" s="1"/>
  <c r="Z75" i="5"/>
  <c r="E185" i="5" s="1"/>
  <c r="R75" i="5"/>
  <c r="D185" i="5" s="1"/>
  <c r="J75" i="5"/>
  <c r="C185" i="5" s="1"/>
  <c r="CD74" i="5"/>
  <c r="L184" i="5" s="1"/>
  <c r="BV74" i="5"/>
  <c r="K184" i="5" s="1"/>
  <c r="BN74" i="5"/>
  <c r="J184" i="5" s="1"/>
  <c r="BF74" i="5"/>
  <c r="I184" i="5" s="1"/>
  <c r="AX74" i="5"/>
  <c r="H184" i="5" s="1"/>
  <c r="AP74" i="5"/>
  <c r="G184" i="5" s="1"/>
  <c r="AH74" i="5"/>
  <c r="F184" i="5" s="1"/>
  <c r="Z74" i="5"/>
  <c r="E184" i="5" s="1"/>
  <c r="R74" i="5"/>
  <c r="D184" i="5" s="1"/>
  <c r="J74" i="5"/>
  <c r="C184" i="5" s="1"/>
  <c r="CD73" i="5"/>
  <c r="L183" i="5" s="1"/>
  <c r="BV73" i="5"/>
  <c r="K183" i="5" s="1"/>
  <c r="BN73" i="5"/>
  <c r="J183" i="5" s="1"/>
  <c r="BF73" i="5"/>
  <c r="I183" i="5" s="1"/>
  <c r="AX73" i="5"/>
  <c r="H183" i="5" s="1"/>
  <c r="AP73" i="5"/>
  <c r="G183" i="5" s="1"/>
  <c r="AH73" i="5"/>
  <c r="F183" i="5" s="1"/>
  <c r="Z73" i="5"/>
  <c r="E183" i="5" s="1"/>
  <c r="R73" i="5"/>
  <c r="D183" i="5" s="1"/>
  <c r="J73" i="5"/>
  <c r="C183" i="5" s="1"/>
  <c r="CD72" i="5"/>
  <c r="L182" i="5" s="1"/>
  <c r="BV72" i="5"/>
  <c r="K182" i="5" s="1"/>
  <c r="BN72" i="5"/>
  <c r="J182" i="5" s="1"/>
  <c r="BF72" i="5"/>
  <c r="I182" i="5" s="1"/>
  <c r="AX72" i="5"/>
  <c r="H182" i="5" s="1"/>
  <c r="AP72" i="5"/>
  <c r="G182" i="5" s="1"/>
  <c r="AH72" i="5"/>
  <c r="F182" i="5" s="1"/>
  <c r="Z72" i="5"/>
  <c r="E182" i="5" s="1"/>
  <c r="R72" i="5"/>
  <c r="D182" i="5" s="1"/>
  <c r="J72" i="5"/>
  <c r="C182" i="5" s="1"/>
  <c r="CD71" i="5"/>
  <c r="L181" i="5" s="1"/>
  <c r="BV71" i="5"/>
  <c r="K181" i="5" s="1"/>
  <c r="BN71" i="5"/>
  <c r="J181" i="5" s="1"/>
  <c r="BF71" i="5"/>
  <c r="I181" i="5" s="1"/>
  <c r="AX71" i="5"/>
  <c r="H181" i="5" s="1"/>
  <c r="AP71" i="5"/>
  <c r="G181" i="5" s="1"/>
  <c r="AH71" i="5"/>
  <c r="F181" i="5" s="1"/>
  <c r="Z71" i="5"/>
  <c r="E181" i="5" s="1"/>
  <c r="R71" i="5"/>
  <c r="D181" i="5" s="1"/>
  <c r="J71" i="5"/>
  <c r="C181" i="5" s="1"/>
  <c r="CD70" i="5"/>
  <c r="L180" i="5" s="1"/>
  <c r="BV70" i="5"/>
  <c r="K180" i="5" s="1"/>
  <c r="BN70" i="5"/>
  <c r="J180" i="5" s="1"/>
  <c r="BF70" i="5"/>
  <c r="I180" i="5" s="1"/>
  <c r="AX70" i="5"/>
  <c r="H180" i="5" s="1"/>
  <c r="AP70" i="5"/>
  <c r="G180" i="5" s="1"/>
  <c r="AH70" i="5"/>
  <c r="F180" i="5" s="1"/>
  <c r="Z70" i="5"/>
  <c r="E180" i="5" s="1"/>
  <c r="R70" i="5"/>
  <c r="D180" i="5" s="1"/>
  <c r="J70" i="5"/>
  <c r="C180" i="5" s="1"/>
  <c r="CD69" i="5"/>
  <c r="L179" i="5" s="1"/>
  <c r="BV69" i="5"/>
  <c r="K179" i="5" s="1"/>
  <c r="BN69" i="5"/>
  <c r="J179" i="5" s="1"/>
  <c r="BF69" i="5"/>
  <c r="I179" i="5" s="1"/>
  <c r="AX69" i="5"/>
  <c r="H179" i="5" s="1"/>
  <c r="AP69" i="5"/>
  <c r="G179" i="5" s="1"/>
  <c r="AH69" i="5"/>
  <c r="F179" i="5" s="1"/>
  <c r="Z69" i="5"/>
  <c r="E179" i="5" s="1"/>
  <c r="R69" i="5"/>
  <c r="D179" i="5" s="1"/>
  <c r="J69" i="5"/>
  <c r="C179" i="5" s="1"/>
  <c r="CD68" i="5"/>
  <c r="L178" i="5" s="1"/>
  <c r="BV68" i="5"/>
  <c r="K178" i="5" s="1"/>
  <c r="BN68" i="5"/>
  <c r="J178" i="5" s="1"/>
  <c r="BF68" i="5"/>
  <c r="I178" i="5" s="1"/>
  <c r="AX68" i="5"/>
  <c r="H178" i="5" s="1"/>
  <c r="AP68" i="5"/>
  <c r="G178" i="5" s="1"/>
  <c r="AH68" i="5"/>
  <c r="F178" i="5" s="1"/>
  <c r="Z68" i="5"/>
  <c r="E178" i="5" s="1"/>
  <c r="R68" i="5"/>
  <c r="D178" i="5" s="1"/>
  <c r="J68" i="5"/>
  <c r="C178" i="5" s="1"/>
  <c r="CD67" i="5"/>
  <c r="L177" i="5" s="1"/>
  <c r="BV67" i="5"/>
  <c r="K177" i="5" s="1"/>
  <c r="BN67" i="5"/>
  <c r="J177" i="5" s="1"/>
  <c r="BF67" i="5"/>
  <c r="I177" i="5" s="1"/>
  <c r="AX67" i="5"/>
  <c r="H177" i="5" s="1"/>
  <c r="AP67" i="5"/>
  <c r="G177" i="5" s="1"/>
  <c r="AH67" i="5"/>
  <c r="F177" i="5" s="1"/>
  <c r="Z67" i="5"/>
  <c r="E177" i="5" s="1"/>
  <c r="R67" i="5"/>
  <c r="D177" i="5" s="1"/>
  <c r="J67" i="5"/>
  <c r="C177" i="5" s="1"/>
  <c r="CD66" i="5"/>
  <c r="L176" i="5" s="1"/>
  <c r="BV66" i="5"/>
  <c r="K176" i="5" s="1"/>
  <c r="BN66" i="5"/>
  <c r="J176" i="5" s="1"/>
  <c r="BF66" i="5"/>
  <c r="I176" i="5" s="1"/>
  <c r="AX66" i="5"/>
  <c r="H176" i="5" s="1"/>
  <c r="AP66" i="5"/>
  <c r="G176" i="5" s="1"/>
  <c r="AH66" i="5"/>
  <c r="F176" i="5" s="1"/>
  <c r="Z66" i="5"/>
  <c r="E176" i="5" s="1"/>
  <c r="R66" i="5"/>
  <c r="D176" i="5" s="1"/>
  <c r="J66" i="5"/>
  <c r="C176" i="5" s="1"/>
  <c r="CD65" i="5"/>
  <c r="L175" i="5" s="1"/>
  <c r="BV65" i="5"/>
  <c r="K175" i="5" s="1"/>
  <c r="BN65" i="5"/>
  <c r="J175" i="5" s="1"/>
  <c r="BF65" i="5"/>
  <c r="I175" i="5" s="1"/>
  <c r="AX65" i="5"/>
  <c r="H175" i="5" s="1"/>
  <c r="AP65" i="5"/>
  <c r="G175" i="5" s="1"/>
  <c r="AH65" i="5"/>
  <c r="F175" i="5" s="1"/>
  <c r="Z65" i="5"/>
  <c r="E175" i="5" s="1"/>
  <c r="R65" i="5"/>
  <c r="D175" i="5" s="1"/>
  <c r="J65" i="5"/>
  <c r="C175" i="5" s="1"/>
  <c r="CD64" i="5"/>
  <c r="L174" i="5" s="1"/>
  <c r="BV64" i="5"/>
  <c r="K174" i="5" s="1"/>
  <c r="BN64" i="5"/>
  <c r="J174" i="5" s="1"/>
  <c r="BF64" i="5"/>
  <c r="I174" i="5" s="1"/>
  <c r="AX64" i="5"/>
  <c r="H174" i="5" s="1"/>
  <c r="AP64" i="5"/>
  <c r="G174" i="5" s="1"/>
  <c r="AH64" i="5"/>
  <c r="F174" i="5" s="1"/>
  <c r="Z64" i="5"/>
  <c r="E174" i="5" s="1"/>
  <c r="R64" i="5"/>
  <c r="D174" i="5" s="1"/>
  <c r="J64" i="5"/>
  <c r="C174" i="5" s="1"/>
  <c r="CD63" i="5"/>
  <c r="L173" i="5" s="1"/>
  <c r="BV63" i="5"/>
  <c r="K173" i="5" s="1"/>
  <c r="BN63" i="5"/>
  <c r="J173" i="5" s="1"/>
  <c r="BF63" i="5"/>
  <c r="I173" i="5" s="1"/>
  <c r="AX63" i="5"/>
  <c r="H173" i="5" s="1"/>
  <c r="AP63" i="5"/>
  <c r="G173" i="5" s="1"/>
  <c r="AH63" i="5"/>
  <c r="F173" i="5" s="1"/>
  <c r="Z63" i="5"/>
  <c r="E173" i="5" s="1"/>
  <c r="R63" i="5"/>
  <c r="D173" i="5" s="1"/>
  <c r="J63" i="5"/>
  <c r="C173" i="5" s="1"/>
  <c r="CD62" i="5"/>
  <c r="L172" i="5" s="1"/>
  <c r="BV62" i="5"/>
  <c r="K172" i="5" s="1"/>
  <c r="BN62" i="5"/>
  <c r="J172" i="5" s="1"/>
  <c r="BF62" i="5"/>
  <c r="I172" i="5" s="1"/>
  <c r="AX62" i="5"/>
  <c r="H172" i="5" s="1"/>
  <c r="AP62" i="5"/>
  <c r="G172" i="5" s="1"/>
  <c r="AH62" i="5"/>
  <c r="F172" i="5" s="1"/>
  <c r="Z62" i="5"/>
  <c r="E172" i="5" s="1"/>
  <c r="R62" i="5"/>
  <c r="D172" i="5" s="1"/>
  <c r="J62" i="5"/>
  <c r="C172" i="5" s="1"/>
  <c r="CD61" i="5"/>
  <c r="L171" i="5" s="1"/>
  <c r="BV61" i="5"/>
  <c r="K171" i="5" s="1"/>
  <c r="BN61" i="5"/>
  <c r="J171" i="5" s="1"/>
  <c r="BF61" i="5"/>
  <c r="I171" i="5" s="1"/>
  <c r="AX61" i="5"/>
  <c r="H171" i="5" s="1"/>
  <c r="AP61" i="5"/>
  <c r="G171" i="5" s="1"/>
  <c r="AH61" i="5"/>
  <c r="F171" i="5" s="1"/>
  <c r="Z61" i="5"/>
  <c r="E171" i="5" s="1"/>
  <c r="R61" i="5"/>
  <c r="D171" i="5" s="1"/>
  <c r="J61" i="5"/>
  <c r="C171" i="5" s="1"/>
  <c r="CD60" i="5"/>
  <c r="L170" i="5" s="1"/>
  <c r="BV60" i="5"/>
  <c r="K170" i="5" s="1"/>
  <c r="BN60" i="5"/>
  <c r="J170" i="5" s="1"/>
  <c r="BF60" i="5"/>
  <c r="I170" i="5" s="1"/>
  <c r="AX60" i="5"/>
  <c r="H170" i="5" s="1"/>
  <c r="AP60" i="5"/>
  <c r="G170" i="5" s="1"/>
  <c r="AH60" i="5"/>
  <c r="F170" i="5" s="1"/>
  <c r="Z60" i="5"/>
  <c r="E170" i="5" s="1"/>
  <c r="R60" i="5"/>
  <c r="D170" i="5" s="1"/>
  <c r="J60" i="5"/>
  <c r="C170" i="5" s="1"/>
  <c r="CD59" i="5"/>
  <c r="L169" i="5" s="1"/>
  <c r="BV59" i="5"/>
  <c r="K169" i="5" s="1"/>
  <c r="BN59" i="5"/>
  <c r="J169" i="5" s="1"/>
  <c r="BF59" i="5"/>
  <c r="I169" i="5" s="1"/>
  <c r="AX59" i="5"/>
  <c r="H169" i="5" s="1"/>
  <c r="AP59" i="5"/>
  <c r="G169" i="5" s="1"/>
  <c r="AH59" i="5"/>
  <c r="F169" i="5" s="1"/>
  <c r="Z59" i="5"/>
  <c r="E169" i="5" s="1"/>
  <c r="R59" i="5"/>
  <c r="D169" i="5" s="1"/>
  <c r="J59" i="5"/>
  <c r="C169" i="5" s="1"/>
  <c r="CD58" i="5"/>
  <c r="L168" i="5" s="1"/>
  <c r="BV58" i="5"/>
  <c r="K168" i="5" s="1"/>
  <c r="BN58" i="5"/>
  <c r="J168" i="5" s="1"/>
  <c r="BF58" i="5"/>
  <c r="I168" i="5" s="1"/>
  <c r="AX58" i="5"/>
  <c r="H168" i="5" s="1"/>
  <c r="AP58" i="5"/>
  <c r="G168" i="5" s="1"/>
  <c r="AH58" i="5"/>
  <c r="F168" i="5" s="1"/>
  <c r="Z58" i="5"/>
  <c r="E168" i="5" s="1"/>
  <c r="R58" i="5"/>
  <c r="D168" i="5" s="1"/>
  <c r="J58" i="5"/>
  <c r="C168" i="5" s="1"/>
  <c r="CD57" i="5"/>
  <c r="L167" i="5" s="1"/>
  <c r="BV57" i="5"/>
  <c r="K167" i="5" s="1"/>
  <c r="BN57" i="5"/>
  <c r="J167" i="5" s="1"/>
  <c r="BF57" i="5"/>
  <c r="I167" i="5" s="1"/>
  <c r="AX57" i="5"/>
  <c r="H167" i="5" s="1"/>
  <c r="AP57" i="5"/>
  <c r="G167" i="5" s="1"/>
  <c r="AH57" i="5"/>
  <c r="F167" i="5" s="1"/>
  <c r="Z57" i="5"/>
  <c r="E167" i="5" s="1"/>
  <c r="R57" i="5"/>
  <c r="D167" i="5" s="1"/>
  <c r="J57" i="5"/>
  <c r="C167" i="5" s="1"/>
  <c r="CD56" i="5"/>
  <c r="L166" i="5" s="1"/>
  <c r="BV56" i="5"/>
  <c r="K166" i="5" s="1"/>
  <c r="BN56" i="5"/>
  <c r="J166" i="5" s="1"/>
  <c r="BF56" i="5"/>
  <c r="I166" i="5" s="1"/>
  <c r="AX56" i="5"/>
  <c r="H166" i="5" s="1"/>
  <c r="AP56" i="5"/>
  <c r="G166" i="5" s="1"/>
  <c r="AH56" i="5"/>
  <c r="F166" i="5" s="1"/>
  <c r="Z56" i="5"/>
  <c r="E166" i="5" s="1"/>
  <c r="R56" i="5"/>
  <c r="D166" i="5" s="1"/>
  <c r="J56" i="5"/>
  <c r="C166" i="5" s="1"/>
  <c r="CD55" i="5"/>
  <c r="L165" i="5" s="1"/>
  <c r="BV55" i="5"/>
  <c r="K165" i="5" s="1"/>
  <c r="BN55" i="5"/>
  <c r="J165" i="5" s="1"/>
  <c r="BF55" i="5"/>
  <c r="I165" i="5" s="1"/>
  <c r="AX55" i="5"/>
  <c r="H165" i="5" s="1"/>
  <c r="AP55" i="5"/>
  <c r="G165" i="5" s="1"/>
  <c r="AH55" i="5"/>
  <c r="F165" i="5" s="1"/>
  <c r="Z55" i="5"/>
  <c r="E165" i="5" s="1"/>
  <c r="R55" i="5"/>
  <c r="D165" i="5" s="1"/>
  <c r="J55" i="5"/>
  <c r="C165" i="5" s="1"/>
  <c r="CD54" i="5"/>
  <c r="L164" i="5" s="1"/>
  <c r="BV54" i="5"/>
  <c r="K164" i="5" s="1"/>
  <c r="BN54" i="5"/>
  <c r="J164" i="5" s="1"/>
  <c r="BF54" i="5"/>
  <c r="I164" i="5" s="1"/>
  <c r="AX54" i="5"/>
  <c r="H164" i="5" s="1"/>
  <c r="AP54" i="5"/>
  <c r="G164" i="5" s="1"/>
  <c r="AH54" i="5"/>
  <c r="F164" i="5" s="1"/>
  <c r="Z54" i="5"/>
  <c r="E164" i="5" s="1"/>
  <c r="R54" i="5"/>
  <c r="D164" i="5" s="1"/>
  <c r="J54" i="5"/>
  <c r="C164" i="5" s="1"/>
  <c r="CD53" i="5"/>
  <c r="L163" i="5" s="1"/>
  <c r="BV53" i="5"/>
  <c r="K163" i="5" s="1"/>
  <c r="BN53" i="5"/>
  <c r="J163" i="5" s="1"/>
  <c r="BF53" i="5"/>
  <c r="I163" i="5" s="1"/>
  <c r="AX53" i="5"/>
  <c r="H163" i="5" s="1"/>
  <c r="AP53" i="5"/>
  <c r="G163" i="5" s="1"/>
  <c r="AH53" i="5"/>
  <c r="F163" i="5" s="1"/>
  <c r="Z53" i="5"/>
  <c r="E163" i="5" s="1"/>
  <c r="R53" i="5"/>
  <c r="D163" i="5" s="1"/>
  <c r="J53" i="5"/>
  <c r="C163" i="5" s="1"/>
  <c r="CD52" i="5"/>
  <c r="L162" i="5" s="1"/>
  <c r="BV52" i="5"/>
  <c r="K162" i="5" s="1"/>
  <c r="BN52" i="5"/>
  <c r="J162" i="5" s="1"/>
  <c r="BF52" i="5"/>
  <c r="I162" i="5" s="1"/>
  <c r="AX52" i="5"/>
  <c r="H162" i="5" s="1"/>
  <c r="AP52" i="5"/>
  <c r="G162" i="5" s="1"/>
  <c r="AH52" i="5"/>
  <c r="F162" i="5" s="1"/>
  <c r="Z52" i="5"/>
  <c r="E162" i="5" s="1"/>
  <c r="R52" i="5"/>
  <c r="D162" i="5" s="1"/>
  <c r="J52" i="5"/>
  <c r="C162" i="5" s="1"/>
  <c r="CD51" i="5"/>
  <c r="L161" i="5" s="1"/>
  <c r="BV51" i="5"/>
  <c r="K161" i="5" s="1"/>
  <c r="BN51" i="5"/>
  <c r="J161" i="5" s="1"/>
  <c r="BF51" i="5"/>
  <c r="I161" i="5" s="1"/>
  <c r="AX51" i="5"/>
  <c r="H161" i="5" s="1"/>
  <c r="AP51" i="5"/>
  <c r="G161" i="5" s="1"/>
  <c r="AH51" i="5"/>
  <c r="F161" i="5" s="1"/>
  <c r="Z51" i="5"/>
  <c r="E161" i="5" s="1"/>
  <c r="R51" i="5"/>
  <c r="D161" i="5" s="1"/>
  <c r="J51" i="5"/>
  <c r="C161" i="5" s="1"/>
  <c r="CD50" i="5"/>
  <c r="L160" i="5" s="1"/>
  <c r="BV50" i="5"/>
  <c r="K160" i="5" s="1"/>
  <c r="BN50" i="5"/>
  <c r="J160" i="5" s="1"/>
  <c r="BF50" i="5"/>
  <c r="I160" i="5" s="1"/>
  <c r="AX50" i="5"/>
  <c r="H160" i="5" s="1"/>
  <c r="AP50" i="5"/>
  <c r="G160" i="5" s="1"/>
  <c r="AH50" i="5"/>
  <c r="F160" i="5" s="1"/>
  <c r="Z50" i="5"/>
  <c r="E160" i="5" s="1"/>
  <c r="R50" i="5"/>
  <c r="D160" i="5" s="1"/>
  <c r="J50" i="5"/>
  <c r="C160" i="5" s="1"/>
  <c r="CD49" i="5"/>
  <c r="L159" i="5" s="1"/>
  <c r="BV49" i="5"/>
  <c r="K159" i="5" s="1"/>
  <c r="BN49" i="5"/>
  <c r="J159" i="5" s="1"/>
  <c r="BF49" i="5"/>
  <c r="I159" i="5" s="1"/>
  <c r="AX49" i="5"/>
  <c r="H159" i="5" s="1"/>
  <c r="AP49" i="5"/>
  <c r="G159" i="5" s="1"/>
  <c r="AH49" i="5"/>
  <c r="F159" i="5" s="1"/>
  <c r="Z49" i="5"/>
  <c r="E159" i="5" s="1"/>
  <c r="R49" i="5"/>
  <c r="D159" i="5" s="1"/>
  <c r="J49" i="5"/>
  <c r="C159" i="5" s="1"/>
  <c r="CD48" i="5"/>
  <c r="L158" i="5" s="1"/>
  <c r="BV48" i="5"/>
  <c r="K158" i="5" s="1"/>
  <c r="BN48" i="5"/>
  <c r="J158" i="5" s="1"/>
  <c r="BF48" i="5"/>
  <c r="I158" i="5" s="1"/>
  <c r="AX48" i="5"/>
  <c r="H158" i="5" s="1"/>
  <c r="AP48" i="5"/>
  <c r="G158" i="5" s="1"/>
  <c r="AH48" i="5"/>
  <c r="F158" i="5" s="1"/>
  <c r="Z48" i="5"/>
  <c r="E158" i="5" s="1"/>
  <c r="R48" i="5"/>
  <c r="D158" i="5" s="1"/>
  <c r="J48" i="5"/>
  <c r="C158" i="5" s="1"/>
  <c r="CD47" i="5"/>
  <c r="L157" i="5" s="1"/>
  <c r="BV47" i="5"/>
  <c r="K157" i="5" s="1"/>
  <c r="BN47" i="5"/>
  <c r="J157" i="5" s="1"/>
  <c r="BF47" i="5"/>
  <c r="I157" i="5" s="1"/>
  <c r="AX47" i="5"/>
  <c r="H157" i="5" s="1"/>
  <c r="AP47" i="5"/>
  <c r="G157" i="5" s="1"/>
  <c r="AH47" i="5"/>
  <c r="F157" i="5" s="1"/>
  <c r="Z47" i="5"/>
  <c r="E157" i="5" s="1"/>
  <c r="R47" i="5"/>
  <c r="D157" i="5" s="1"/>
  <c r="J47" i="5"/>
  <c r="C157" i="5" s="1"/>
  <c r="CD46" i="5"/>
  <c r="L156" i="5" s="1"/>
  <c r="BV46" i="5"/>
  <c r="K156" i="5" s="1"/>
  <c r="BN46" i="5"/>
  <c r="J156" i="5" s="1"/>
  <c r="BF46" i="5"/>
  <c r="I156" i="5" s="1"/>
  <c r="AX46" i="5"/>
  <c r="H156" i="5" s="1"/>
  <c r="AP46" i="5"/>
  <c r="G156" i="5" s="1"/>
  <c r="AH46" i="5"/>
  <c r="F156" i="5" s="1"/>
  <c r="Z46" i="5"/>
  <c r="E156" i="5" s="1"/>
  <c r="R46" i="5"/>
  <c r="D156" i="5" s="1"/>
  <c r="J46" i="5"/>
  <c r="C156" i="5" s="1"/>
  <c r="CD45" i="5"/>
  <c r="L155" i="5" s="1"/>
  <c r="BV45" i="5"/>
  <c r="K155" i="5" s="1"/>
  <c r="BN45" i="5"/>
  <c r="J155" i="5" s="1"/>
  <c r="BF45" i="5"/>
  <c r="I155" i="5" s="1"/>
  <c r="AX45" i="5"/>
  <c r="H155" i="5" s="1"/>
  <c r="AP45" i="5"/>
  <c r="G155" i="5" s="1"/>
  <c r="AH45" i="5"/>
  <c r="F155" i="5" s="1"/>
  <c r="Z45" i="5"/>
  <c r="E155" i="5" s="1"/>
  <c r="R45" i="5"/>
  <c r="D155" i="5" s="1"/>
  <c r="J45" i="5"/>
  <c r="C155" i="5" s="1"/>
  <c r="CD44" i="5"/>
  <c r="L154" i="5" s="1"/>
  <c r="BV44" i="5"/>
  <c r="K154" i="5" s="1"/>
  <c r="BN44" i="5"/>
  <c r="J154" i="5" s="1"/>
  <c r="BF44" i="5"/>
  <c r="I154" i="5" s="1"/>
  <c r="AX44" i="5"/>
  <c r="H154" i="5" s="1"/>
  <c r="AP44" i="5"/>
  <c r="G154" i="5" s="1"/>
  <c r="AH44" i="5"/>
  <c r="F154" i="5" s="1"/>
  <c r="Z44" i="5"/>
  <c r="E154" i="5" s="1"/>
  <c r="R44" i="5"/>
  <c r="D154" i="5" s="1"/>
  <c r="J44" i="5"/>
  <c r="C154" i="5" s="1"/>
  <c r="CD43" i="5"/>
  <c r="L153" i="5" s="1"/>
  <c r="BV43" i="5"/>
  <c r="K153" i="5" s="1"/>
  <c r="BN43" i="5"/>
  <c r="J153" i="5" s="1"/>
  <c r="BF43" i="5"/>
  <c r="I153" i="5" s="1"/>
  <c r="AX43" i="5"/>
  <c r="H153" i="5" s="1"/>
  <c r="AP43" i="5"/>
  <c r="G153" i="5" s="1"/>
  <c r="AH43" i="5"/>
  <c r="F153" i="5" s="1"/>
  <c r="Z43" i="5"/>
  <c r="E153" i="5" s="1"/>
  <c r="R43" i="5"/>
  <c r="D153" i="5" s="1"/>
  <c r="J43" i="5"/>
  <c r="C153" i="5" s="1"/>
  <c r="CD42" i="5"/>
  <c r="L152" i="5" s="1"/>
  <c r="BV42" i="5"/>
  <c r="K152" i="5" s="1"/>
  <c r="BN42" i="5"/>
  <c r="J152" i="5" s="1"/>
  <c r="BF42" i="5"/>
  <c r="I152" i="5" s="1"/>
  <c r="AX42" i="5"/>
  <c r="H152" i="5" s="1"/>
  <c r="AP42" i="5"/>
  <c r="G152" i="5" s="1"/>
  <c r="AH42" i="5"/>
  <c r="F152" i="5" s="1"/>
  <c r="Z42" i="5"/>
  <c r="E152" i="5" s="1"/>
  <c r="R42" i="5"/>
  <c r="D152" i="5" s="1"/>
  <c r="J42" i="5"/>
  <c r="C152" i="5" s="1"/>
  <c r="CD41" i="5"/>
  <c r="L151" i="5" s="1"/>
  <c r="BV41" i="5"/>
  <c r="K151" i="5" s="1"/>
  <c r="BN41" i="5"/>
  <c r="J151" i="5" s="1"/>
  <c r="BF41" i="5"/>
  <c r="I151" i="5" s="1"/>
  <c r="AX41" i="5"/>
  <c r="H151" i="5" s="1"/>
  <c r="AP41" i="5"/>
  <c r="G151" i="5" s="1"/>
  <c r="AH41" i="5"/>
  <c r="F151" i="5" s="1"/>
  <c r="Z41" i="5"/>
  <c r="E151" i="5" s="1"/>
  <c r="R41" i="5"/>
  <c r="D151" i="5" s="1"/>
  <c r="J41" i="5"/>
  <c r="C151" i="5" s="1"/>
  <c r="CD40" i="5"/>
  <c r="L150" i="5" s="1"/>
  <c r="BV40" i="5"/>
  <c r="K150" i="5" s="1"/>
  <c r="BN40" i="5"/>
  <c r="J150" i="5" s="1"/>
  <c r="BF40" i="5"/>
  <c r="I150" i="5" s="1"/>
  <c r="AX40" i="5"/>
  <c r="H150" i="5" s="1"/>
  <c r="AP40" i="5"/>
  <c r="G150" i="5" s="1"/>
  <c r="AH40" i="5"/>
  <c r="F150" i="5" s="1"/>
  <c r="Z40" i="5"/>
  <c r="E150" i="5" s="1"/>
  <c r="R40" i="5"/>
  <c r="D150" i="5" s="1"/>
  <c r="J40" i="5"/>
  <c r="C150" i="5" s="1"/>
  <c r="CD39" i="5"/>
  <c r="L149" i="5" s="1"/>
  <c r="BV39" i="5"/>
  <c r="K149" i="5" s="1"/>
  <c r="BN39" i="5"/>
  <c r="J149" i="5" s="1"/>
  <c r="BF39" i="5"/>
  <c r="I149" i="5" s="1"/>
  <c r="AX39" i="5"/>
  <c r="H149" i="5" s="1"/>
  <c r="AP39" i="5"/>
  <c r="G149" i="5" s="1"/>
  <c r="AH39" i="5"/>
  <c r="F149" i="5" s="1"/>
  <c r="Z39" i="5"/>
  <c r="E149" i="5" s="1"/>
  <c r="R39" i="5"/>
  <c r="D149" i="5" s="1"/>
  <c r="J39" i="5"/>
  <c r="C149" i="5" s="1"/>
  <c r="CD38" i="5"/>
  <c r="L148" i="5" s="1"/>
  <c r="BV38" i="5"/>
  <c r="K148" i="5" s="1"/>
  <c r="BN38" i="5"/>
  <c r="J148" i="5" s="1"/>
  <c r="BF38" i="5"/>
  <c r="I148" i="5" s="1"/>
  <c r="AX38" i="5"/>
  <c r="H148" i="5" s="1"/>
  <c r="AP38" i="5"/>
  <c r="G148" i="5" s="1"/>
  <c r="AH38" i="5"/>
  <c r="F148" i="5" s="1"/>
  <c r="Z38" i="5"/>
  <c r="E148" i="5" s="1"/>
  <c r="R38" i="5"/>
  <c r="D148" i="5" s="1"/>
  <c r="J38" i="5"/>
  <c r="C148" i="5" s="1"/>
  <c r="CD37" i="5"/>
  <c r="L147" i="5" s="1"/>
  <c r="BV37" i="5"/>
  <c r="K147" i="5" s="1"/>
  <c r="BN37" i="5"/>
  <c r="J147" i="5" s="1"/>
  <c r="BF37" i="5"/>
  <c r="I147" i="5" s="1"/>
  <c r="AX37" i="5"/>
  <c r="H147" i="5" s="1"/>
  <c r="AP37" i="5"/>
  <c r="G147" i="5" s="1"/>
  <c r="AH37" i="5"/>
  <c r="F147" i="5" s="1"/>
  <c r="Z37" i="5"/>
  <c r="E147" i="5" s="1"/>
  <c r="R37" i="5"/>
  <c r="D147" i="5" s="1"/>
  <c r="J37" i="5"/>
  <c r="C147" i="5" s="1"/>
  <c r="CD36" i="5"/>
  <c r="L146" i="5" s="1"/>
  <c r="BV36" i="5"/>
  <c r="K146" i="5" s="1"/>
  <c r="BN36" i="5"/>
  <c r="J146" i="5" s="1"/>
  <c r="BF36" i="5"/>
  <c r="I146" i="5" s="1"/>
  <c r="AX36" i="5"/>
  <c r="H146" i="5" s="1"/>
  <c r="AP36" i="5"/>
  <c r="G146" i="5" s="1"/>
  <c r="AH36" i="5"/>
  <c r="F146" i="5" s="1"/>
  <c r="Z36" i="5"/>
  <c r="E146" i="5" s="1"/>
  <c r="R36" i="5"/>
  <c r="D146" i="5" s="1"/>
  <c r="J36" i="5"/>
  <c r="C146" i="5" s="1"/>
  <c r="CD35" i="5"/>
  <c r="L145" i="5" s="1"/>
  <c r="BV35" i="5"/>
  <c r="K145" i="5" s="1"/>
  <c r="BN35" i="5"/>
  <c r="J145" i="5" s="1"/>
  <c r="BF35" i="5"/>
  <c r="I145" i="5" s="1"/>
  <c r="AX35" i="5"/>
  <c r="H145" i="5" s="1"/>
  <c r="AP35" i="5"/>
  <c r="G145" i="5" s="1"/>
  <c r="AH35" i="5"/>
  <c r="F145" i="5" s="1"/>
  <c r="Z35" i="5"/>
  <c r="E145" i="5" s="1"/>
  <c r="R35" i="5"/>
  <c r="D145" i="5" s="1"/>
  <c r="J35" i="5"/>
  <c r="C145" i="5" s="1"/>
  <c r="CD34" i="5"/>
  <c r="L144" i="5" s="1"/>
  <c r="BV34" i="5"/>
  <c r="K144" i="5" s="1"/>
  <c r="BN34" i="5"/>
  <c r="J144" i="5" s="1"/>
  <c r="BF34" i="5"/>
  <c r="I144" i="5" s="1"/>
  <c r="AX34" i="5"/>
  <c r="H144" i="5" s="1"/>
  <c r="AP34" i="5"/>
  <c r="G144" i="5" s="1"/>
  <c r="AH34" i="5"/>
  <c r="F144" i="5" s="1"/>
  <c r="Z34" i="5"/>
  <c r="E144" i="5" s="1"/>
  <c r="R34" i="5"/>
  <c r="D144" i="5" s="1"/>
  <c r="J34" i="5"/>
  <c r="C144" i="5" s="1"/>
  <c r="CD33" i="5"/>
  <c r="L143" i="5" s="1"/>
  <c r="BV33" i="5"/>
  <c r="K143" i="5" s="1"/>
  <c r="BN33" i="5"/>
  <c r="J143" i="5" s="1"/>
  <c r="BF33" i="5"/>
  <c r="I143" i="5" s="1"/>
  <c r="AX33" i="5"/>
  <c r="H143" i="5" s="1"/>
  <c r="AP33" i="5"/>
  <c r="G143" i="5" s="1"/>
  <c r="AH33" i="5"/>
  <c r="F143" i="5" s="1"/>
  <c r="Z33" i="5"/>
  <c r="E143" i="5" s="1"/>
  <c r="R33" i="5"/>
  <c r="D143" i="5" s="1"/>
  <c r="J33" i="5"/>
  <c r="C143" i="5" s="1"/>
  <c r="CD32" i="5"/>
  <c r="L142" i="5" s="1"/>
  <c r="BV32" i="5"/>
  <c r="K142" i="5" s="1"/>
  <c r="BN32" i="5"/>
  <c r="J142" i="5" s="1"/>
  <c r="BF32" i="5"/>
  <c r="I142" i="5" s="1"/>
  <c r="AX32" i="5"/>
  <c r="H142" i="5" s="1"/>
  <c r="AP32" i="5"/>
  <c r="G142" i="5" s="1"/>
  <c r="AH32" i="5"/>
  <c r="F142" i="5" s="1"/>
  <c r="Z32" i="5"/>
  <c r="E142" i="5" s="1"/>
  <c r="R32" i="5"/>
  <c r="D142" i="5" s="1"/>
  <c r="J32" i="5"/>
  <c r="C142" i="5" s="1"/>
  <c r="CD31" i="5"/>
  <c r="L141" i="5" s="1"/>
  <c r="BV31" i="5"/>
  <c r="K141" i="5" s="1"/>
  <c r="BN31" i="5"/>
  <c r="J141" i="5" s="1"/>
  <c r="BF31" i="5"/>
  <c r="I141" i="5" s="1"/>
  <c r="AX31" i="5"/>
  <c r="H141" i="5" s="1"/>
  <c r="AP31" i="5"/>
  <c r="G141" i="5" s="1"/>
  <c r="AH31" i="5"/>
  <c r="F141" i="5" s="1"/>
  <c r="Z31" i="5"/>
  <c r="E141" i="5" s="1"/>
  <c r="R31" i="5"/>
  <c r="D141" i="5" s="1"/>
  <c r="J31" i="5"/>
  <c r="C141" i="5" s="1"/>
  <c r="CD30" i="5"/>
  <c r="L140" i="5" s="1"/>
  <c r="BV30" i="5"/>
  <c r="K140" i="5" s="1"/>
  <c r="BN30" i="5"/>
  <c r="J140" i="5" s="1"/>
  <c r="BF30" i="5"/>
  <c r="I140" i="5" s="1"/>
  <c r="AX30" i="5"/>
  <c r="H140" i="5" s="1"/>
  <c r="AP30" i="5"/>
  <c r="G140" i="5" s="1"/>
  <c r="AH30" i="5"/>
  <c r="F140" i="5" s="1"/>
  <c r="Z30" i="5"/>
  <c r="E140" i="5" s="1"/>
  <c r="R30" i="5"/>
  <c r="D140" i="5" s="1"/>
  <c r="J30" i="5"/>
  <c r="C140" i="5" s="1"/>
  <c r="CD29" i="5"/>
  <c r="L139" i="5" s="1"/>
  <c r="BV29" i="5"/>
  <c r="K139" i="5" s="1"/>
  <c r="BN29" i="5"/>
  <c r="J139" i="5" s="1"/>
  <c r="BF29" i="5"/>
  <c r="I139" i="5" s="1"/>
  <c r="AX29" i="5"/>
  <c r="H139" i="5" s="1"/>
  <c r="AP29" i="5"/>
  <c r="G139" i="5" s="1"/>
  <c r="AH29" i="5"/>
  <c r="F139" i="5" s="1"/>
  <c r="Z29" i="5"/>
  <c r="E139" i="5" s="1"/>
  <c r="R29" i="5"/>
  <c r="D139" i="5" s="1"/>
  <c r="J29" i="5"/>
  <c r="C139" i="5" s="1"/>
  <c r="CD28" i="5"/>
  <c r="L138" i="5" s="1"/>
  <c r="BV28" i="5"/>
  <c r="K138" i="5" s="1"/>
  <c r="BN28" i="5"/>
  <c r="J138" i="5" s="1"/>
  <c r="BF28" i="5"/>
  <c r="I138" i="5" s="1"/>
  <c r="AX28" i="5"/>
  <c r="H138" i="5" s="1"/>
  <c r="AP28" i="5"/>
  <c r="G138" i="5" s="1"/>
  <c r="AH28" i="5"/>
  <c r="F138" i="5" s="1"/>
  <c r="Z28" i="5"/>
  <c r="E138" i="5" s="1"/>
  <c r="R28" i="5"/>
  <c r="D138" i="5" s="1"/>
  <c r="J28" i="5"/>
  <c r="C138" i="5" s="1"/>
  <c r="CD27" i="5"/>
  <c r="L137" i="5" s="1"/>
  <c r="BV27" i="5"/>
  <c r="K137" i="5" s="1"/>
  <c r="BN27" i="5"/>
  <c r="J137" i="5" s="1"/>
  <c r="BF27" i="5"/>
  <c r="I137" i="5" s="1"/>
  <c r="AX27" i="5"/>
  <c r="H137" i="5" s="1"/>
  <c r="AP27" i="5"/>
  <c r="G137" i="5" s="1"/>
  <c r="AH27" i="5"/>
  <c r="F137" i="5" s="1"/>
  <c r="Z27" i="5"/>
  <c r="E137" i="5" s="1"/>
  <c r="R27" i="5"/>
  <c r="D137" i="5" s="1"/>
  <c r="J27" i="5"/>
  <c r="C137" i="5" s="1"/>
  <c r="CD26" i="5"/>
  <c r="L136" i="5" s="1"/>
  <c r="BV26" i="5"/>
  <c r="K136" i="5" s="1"/>
  <c r="BN26" i="5"/>
  <c r="J136" i="5" s="1"/>
  <c r="BF26" i="5"/>
  <c r="I136" i="5" s="1"/>
  <c r="AX26" i="5"/>
  <c r="H136" i="5" s="1"/>
  <c r="AP26" i="5"/>
  <c r="G136" i="5" s="1"/>
  <c r="AH26" i="5"/>
  <c r="F136" i="5" s="1"/>
  <c r="Z26" i="5"/>
  <c r="E136" i="5" s="1"/>
  <c r="R26" i="5"/>
  <c r="D136" i="5" s="1"/>
  <c r="J26" i="5"/>
  <c r="C136" i="5" s="1"/>
  <c r="CD25" i="5"/>
  <c r="L135" i="5" s="1"/>
  <c r="BV25" i="5"/>
  <c r="K135" i="5" s="1"/>
  <c r="BN25" i="5"/>
  <c r="J135" i="5" s="1"/>
  <c r="BF25" i="5"/>
  <c r="I135" i="5" s="1"/>
  <c r="AX25" i="5"/>
  <c r="H135" i="5" s="1"/>
  <c r="AP25" i="5"/>
  <c r="G135" i="5" s="1"/>
  <c r="AH25" i="5"/>
  <c r="F135" i="5" s="1"/>
  <c r="Z25" i="5"/>
  <c r="E135" i="5" s="1"/>
  <c r="R25" i="5"/>
  <c r="D135" i="5" s="1"/>
  <c r="J25" i="5"/>
  <c r="C135" i="5" s="1"/>
  <c r="CD24" i="5"/>
  <c r="L134" i="5" s="1"/>
  <c r="BV24" i="5"/>
  <c r="K134" i="5" s="1"/>
  <c r="BN24" i="5"/>
  <c r="J134" i="5" s="1"/>
  <c r="BF24" i="5"/>
  <c r="I134" i="5" s="1"/>
  <c r="AX24" i="5"/>
  <c r="H134" i="5" s="1"/>
  <c r="AP24" i="5"/>
  <c r="G134" i="5" s="1"/>
  <c r="AH24" i="5"/>
  <c r="F134" i="5" s="1"/>
  <c r="Z24" i="5"/>
  <c r="E134" i="5" s="1"/>
  <c r="R24" i="5"/>
  <c r="D134" i="5" s="1"/>
  <c r="J24" i="5"/>
  <c r="C134" i="5" s="1"/>
  <c r="CD23" i="5"/>
  <c r="L133" i="5" s="1"/>
  <c r="BV23" i="5"/>
  <c r="K133" i="5" s="1"/>
  <c r="BN23" i="5"/>
  <c r="J133" i="5" s="1"/>
  <c r="BF23" i="5"/>
  <c r="I133" i="5" s="1"/>
  <c r="AX23" i="5"/>
  <c r="H133" i="5" s="1"/>
  <c r="AP23" i="5"/>
  <c r="G133" i="5" s="1"/>
  <c r="AH23" i="5"/>
  <c r="F133" i="5" s="1"/>
  <c r="Z23" i="5"/>
  <c r="E133" i="5" s="1"/>
  <c r="R23" i="5"/>
  <c r="D133" i="5" s="1"/>
  <c r="J23" i="5"/>
  <c r="C133" i="5" s="1"/>
  <c r="CD22" i="5"/>
  <c r="L132" i="5" s="1"/>
  <c r="BV22" i="5"/>
  <c r="K132" i="5" s="1"/>
  <c r="BN22" i="5"/>
  <c r="J132" i="5" s="1"/>
  <c r="BF22" i="5"/>
  <c r="I132" i="5" s="1"/>
  <c r="AX22" i="5"/>
  <c r="H132" i="5" s="1"/>
  <c r="AP22" i="5"/>
  <c r="G132" i="5" s="1"/>
  <c r="AH22" i="5"/>
  <c r="F132" i="5" s="1"/>
  <c r="Z22" i="5"/>
  <c r="E132" i="5" s="1"/>
  <c r="R22" i="5"/>
  <c r="D132" i="5" s="1"/>
  <c r="J22" i="5"/>
  <c r="C132" i="5" s="1"/>
  <c r="CD21" i="5"/>
  <c r="L131" i="5" s="1"/>
  <c r="BV21" i="5"/>
  <c r="K131" i="5" s="1"/>
  <c r="BN21" i="5"/>
  <c r="J131" i="5" s="1"/>
  <c r="BF21" i="5"/>
  <c r="I131" i="5" s="1"/>
  <c r="AX21" i="5"/>
  <c r="H131" i="5" s="1"/>
  <c r="AP21" i="5"/>
  <c r="G131" i="5" s="1"/>
  <c r="AH21" i="5"/>
  <c r="F131" i="5" s="1"/>
  <c r="Z21" i="5"/>
  <c r="E131" i="5" s="1"/>
  <c r="R21" i="5"/>
  <c r="D131" i="5" s="1"/>
  <c r="J21" i="5"/>
  <c r="C131" i="5" s="1"/>
  <c r="CD20" i="5"/>
  <c r="L130" i="5" s="1"/>
  <c r="BV20" i="5"/>
  <c r="K130" i="5" s="1"/>
  <c r="BN20" i="5"/>
  <c r="J130" i="5" s="1"/>
  <c r="BF20" i="5"/>
  <c r="I130" i="5" s="1"/>
  <c r="AX20" i="5"/>
  <c r="H130" i="5" s="1"/>
  <c r="AP20" i="5"/>
  <c r="G130" i="5" s="1"/>
  <c r="AH20" i="5"/>
  <c r="F130" i="5" s="1"/>
  <c r="Z20" i="5"/>
  <c r="E130" i="5" s="1"/>
  <c r="R20" i="5"/>
  <c r="D130" i="5" s="1"/>
  <c r="J20" i="5"/>
  <c r="C130" i="5" s="1"/>
  <c r="CD19" i="5"/>
  <c r="L129" i="5" s="1"/>
  <c r="BV19" i="5"/>
  <c r="K129" i="5" s="1"/>
  <c r="BN19" i="5"/>
  <c r="J129" i="5" s="1"/>
  <c r="BF19" i="5"/>
  <c r="I129" i="5" s="1"/>
  <c r="AX19" i="5"/>
  <c r="H129" i="5" s="1"/>
  <c r="AP19" i="5"/>
  <c r="G129" i="5" s="1"/>
  <c r="AH19" i="5"/>
  <c r="F129" i="5" s="1"/>
  <c r="Z19" i="5"/>
  <c r="E129" i="5" s="1"/>
  <c r="R19" i="5"/>
  <c r="D129" i="5" s="1"/>
  <c r="J19" i="5"/>
  <c r="C129" i="5" s="1"/>
  <c r="CD18" i="5"/>
  <c r="L128" i="5" s="1"/>
  <c r="BV18" i="5"/>
  <c r="K128" i="5" s="1"/>
  <c r="BN18" i="5"/>
  <c r="J128" i="5" s="1"/>
  <c r="BF18" i="5"/>
  <c r="I128" i="5" s="1"/>
  <c r="AX18" i="5"/>
  <c r="H128" i="5" s="1"/>
  <c r="AP18" i="5"/>
  <c r="G128" i="5" s="1"/>
  <c r="AH18" i="5"/>
  <c r="F128" i="5" s="1"/>
  <c r="Z18" i="5"/>
  <c r="E128" i="5" s="1"/>
  <c r="R18" i="5"/>
  <c r="D128" i="5" s="1"/>
  <c r="J18" i="5"/>
  <c r="C128" i="5" s="1"/>
  <c r="CD17" i="5"/>
  <c r="L127" i="5" s="1"/>
  <c r="BV17" i="5"/>
  <c r="K127" i="5" s="1"/>
  <c r="BN17" i="5"/>
  <c r="J127" i="5" s="1"/>
  <c r="BF17" i="5"/>
  <c r="I127" i="5" s="1"/>
  <c r="AX17" i="5"/>
  <c r="H127" i="5" s="1"/>
  <c r="AP17" i="5"/>
  <c r="G127" i="5" s="1"/>
  <c r="AH17" i="5"/>
  <c r="F127" i="5" s="1"/>
  <c r="Z17" i="5"/>
  <c r="E127" i="5" s="1"/>
  <c r="R17" i="5"/>
  <c r="D127" i="5" s="1"/>
  <c r="J17" i="5"/>
  <c r="C127" i="5" s="1"/>
  <c r="CD16" i="5"/>
  <c r="L126" i="5" s="1"/>
  <c r="BV16" i="5"/>
  <c r="K126" i="5" s="1"/>
  <c r="BN16" i="5"/>
  <c r="J126" i="5" s="1"/>
  <c r="BF16" i="5"/>
  <c r="I126" i="5" s="1"/>
  <c r="AX16" i="5"/>
  <c r="H126" i="5" s="1"/>
  <c r="AP16" i="5"/>
  <c r="G126" i="5" s="1"/>
  <c r="AH16" i="5"/>
  <c r="F126" i="5" s="1"/>
  <c r="Z16" i="5"/>
  <c r="E126" i="5" s="1"/>
  <c r="R16" i="5"/>
  <c r="D126" i="5" s="1"/>
  <c r="J16" i="5"/>
  <c r="C126" i="5" s="1"/>
  <c r="CD15" i="5"/>
  <c r="L125" i="5" s="1"/>
  <c r="BV15" i="5"/>
  <c r="K125" i="5" s="1"/>
  <c r="BN15" i="5"/>
  <c r="J125" i="5" s="1"/>
  <c r="BF15" i="5"/>
  <c r="I125" i="5" s="1"/>
  <c r="AX15" i="5"/>
  <c r="H125" i="5" s="1"/>
  <c r="AP15" i="5"/>
  <c r="G125" i="5" s="1"/>
  <c r="AH15" i="5"/>
  <c r="F125" i="5" s="1"/>
  <c r="Z15" i="5"/>
  <c r="E125" i="5" s="1"/>
  <c r="R15" i="5"/>
  <c r="D125" i="5" s="1"/>
  <c r="J15" i="5"/>
  <c r="C125" i="5" s="1"/>
  <c r="CD14" i="5"/>
  <c r="L124" i="5" s="1"/>
  <c r="BV14" i="5"/>
  <c r="K124" i="5" s="1"/>
  <c r="BN14" i="5"/>
  <c r="J124" i="5" s="1"/>
  <c r="BF14" i="5"/>
  <c r="I124" i="5" s="1"/>
  <c r="AX14" i="5"/>
  <c r="H124" i="5" s="1"/>
  <c r="AP14" i="5"/>
  <c r="G124" i="5" s="1"/>
  <c r="AH14" i="5"/>
  <c r="F124" i="5" s="1"/>
  <c r="Z14" i="5"/>
  <c r="E124" i="5" s="1"/>
  <c r="R14" i="5"/>
  <c r="D124" i="5" s="1"/>
  <c r="J14" i="5"/>
  <c r="C124" i="5" s="1"/>
  <c r="CD13" i="5"/>
  <c r="L123" i="5" s="1"/>
  <c r="BV13" i="5"/>
  <c r="K123" i="5" s="1"/>
  <c r="BN13" i="5"/>
  <c r="J123" i="5" s="1"/>
  <c r="BF13" i="5"/>
  <c r="I123" i="5" s="1"/>
  <c r="AX13" i="5"/>
  <c r="H123" i="5" s="1"/>
  <c r="AP13" i="5"/>
  <c r="G123" i="5" s="1"/>
  <c r="AH13" i="5"/>
  <c r="F123" i="5" s="1"/>
  <c r="Z13" i="5"/>
  <c r="E123" i="5" s="1"/>
  <c r="R13" i="5"/>
  <c r="D123" i="5" s="1"/>
  <c r="J13" i="5"/>
  <c r="C123" i="5" s="1"/>
  <c r="CD12" i="5"/>
  <c r="L122" i="5" s="1"/>
  <c r="BV12" i="5"/>
  <c r="K122" i="5" s="1"/>
  <c r="BN12" i="5"/>
  <c r="J122" i="5" s="1"/>
  <c r="BF12" i="5"/>
  <c r="I122" i="5" s="1"/>
  <c r="AX12" i="5"/>
  <c r="H122" i="5" s="1"/>
  <c r="AP12" i="5"/>
  <c r="G122" i="5" s="1"/>
  <c r="AH12" i="5"/>
  <c r="F122" i="5" s="1"/>
  <c r="Z12" i="5"/>
  <c r="E122" i="5" s="1"/>
  <c r="R12" i="5"/>
  <c r="D122" i="5" s="1"/>
  <c r="J12" i="5"/>
  <c r="C122" i="5" s="1"/>
  <c r="CD11" i="5"/>
  <c r="L121" i="5" s="1"/>
  <c r="BV11" i="5"/>
  <c r="K121" i="5" s="1"/>
  <c r="BN11" i="5"/>
  <c r="J121" i="5" s="1"/>
  <c r="BF11" i="5"/>
  <c r="I121" i="5" s="1"/>
  <c r="AX11" i="5"/>
  <c r="H121" i="5" s="1"/>
  <c r="AP11" i="5"/>
  <c r="G121" i="5" s="1"/>
  <c r="AH11" i="5"/>
  <c r="F121" i="5" s="1"/>
  <c r="Z11" i="5"/>
  <c r="E121" i="5" s="1"/>
  <c r="R11" i="5"/>
  <c r="D121" i="5" s="1"/>
  <c r="J11" i="5"/>
  <c r="C121" i="5" s="1"/>
  <c r="CD10" i="5"/>
  <c r="L120" i="5" s="1"/>
  <c r="BV10" i="5"/>
  <c r="BN10" i="5"/>
  <c r="J120" i="5" s="1"/>
  <c r="BF10" i="5"/>
  <c r="I120" i="5" s="1"/>
  <c r="AX10" i="5"/>
  <c r="H120" i="5" s="1"/>
  <c r="AP10" i="5"/>
  <c r="G120" i="5" s="1"/>
  <c r="AH10" i="5"/>
  <c r="F120" i="5" s="1"/>
  <c r="Z10" i="5"/>
  <c r="E120" i="5" s="1"/>
  <c r="R10" i="5"/>
  <c r="D120" i="5" s="1"/>
  <c r="J10" i="5"/>
  <c r="C120" i="5" s="1"/>
  <c r="CD9" i="5"/>
  <c r="L119" i="5" s="1"/>
  <c r="BV9" i="5"/>
  <c r="K119" i="5" s="1"/>
  <c r="BN9" i="5"/>
  <c r="J119" i="5" s="1"/>
  <c r="BF9" i="5"/>
  <c r="I119" i="5" s="1"/>
  <c r="AX9" i="5"/>
  <c r="H119" i="5" s="1"/>
  <c r="AP9" i="5"/>
  <c r="G119" i="5" s="1"/>
  <c r="AH9" i="5"/>
  <c r="F119" i="5" s="1"/>
  <c r="Z9" i="5"/>
  <c r="E119" i="5" s="1"/>
  <c r="R9" i="5"/>
  <c r="D119" i="5" s="1"/>
  <c r="J9" i="5"/>
  <c r="C119" i="5" s="1"/>
  <c r="CD8" i="5"/>
  <c r="L118" i="5" s="1"/>
  <c r="BV8" i="5"/>
  <c r="K118" i="5" s="1"/>
  <c r="BN8" i="5"/>
  <c r="J118" i="5" s="1"/>
  <c r="BF8" i="5"/>
  <c r="AX8" i="5"/>
  <c r="AP8" i="5"/>
  <c r="AH8" i="5"/>
  <c r="Z8" i="5"/>
  <c r="R8" i="5"/>
  <c r="J8" i="5"/>
  <c r="CS112" i="3"/>
  <c r="N59" i="1" s="1"/>
  <c r="CR112" i="3"/>
  <c r="N58" i="1" s="1"/>
  <c r="CQ112" i="3"/>
  <c r="N57" i="1" s="1"/>
  <c r="CP112" i="3"/>
  <c r="N56" i="1" s="1"/>
  <c r="CO112" i="3"/>
  <c r="N55" i="1" s="1"/>
  <c r="CN112" i="3"/>
  <c r="N54" i="1" s="1"/>
  <c r="CM112" i="3"/>
  <c r="N53" i="1" s="1"/>
  <c r="CK112" i="3"/>
  <c r="M59" i="1" s="1"/>
  <c r="CJ112" i="3"/>
  <c r="M58" i="1" s="1"/>
  <c r="CI112" i="3"/>
  <c r="M57" i="1" s="1"/>
  <c r="CH112" i="3"/>
  <c r="M56" i="1" s="1"/>
  <c r="CG112" i="3"/>
  <c r="M55" i="1" s="1"/>
  <c r="CF112" i="3"/>
  <c r="M54" i="1" s="1"/>
  <c r="CE112" i="3"/>
  <c r="M53" i="1" s="1"/>
  <c r="CC112" i="3"/>
  <c r="L59" i="1" s="1"/>
  <c r="CB112" i="3"/>
  <c r="L58" i="1" s="1"/>
  <c r="CA112" i="3"/>
  <c r="L57" i="1" s="1"/>
  <c r="BZ112" i="3"/>
  <c r="L56" i="1" s="1"/>
  <c r="BY112" i="3"/>
  <c r="L55" i="1" s="1"/>
  <c r="BX112" i="3"/>
  <c r="L54" i="1" s="1"/>
  <c r="BW112" i="3"/>
  <c r="L53" i="1" s="1"/>
  <c r="BU112" i="3"/>
  <c r="K59" i="1" s="1"/>
  <c r="BT112" i="3"/>
  <c r="K58" i="1" s="1"/>
  <c r="BS112" i="3"/>
  <c r="K57" i="1" s="1"/>
  <c r="BR112" i="3"/>
  <c r="K56" i="1" s="1"/>
  <c r="BQ112" i="3"/>
  <c r="K55" i="1" s="1"/>
  <c r="BP112" i="3"/>
  <c r="K54" i="1" s="1"/>
  <c r="BO112" i="3"/>
  <c r="K53" i="1" s="1"/>
  <c r="BM112" i="3"/>
  <c r="J59" i="1" s="1"/>
  <c r="BL112" i="3"/>
  <c r="J58" i="1" s="1"/>
  <c r="BK112" i="3"/>
  <c r="J57" i="1" s="1"/>
  <c r="BJ112" i="3"/>
  <c r="J56" i="1" s="1"/>
  <c r="BI112" i="3"/>
  <c r="J55" i="1" s="1"/>
  <c r="BH112" i="3"/>
  <c r="J54" i="1" s="1"/>
  <c r="BG112" i="3"/>
  <c r="BE112" i="3"/>
  <c r="I59" i="1" s="1"/>
  <c r="BD112" i="3"/>
  <c r="I58" i="1" s="1"/>
  <c r="BC112" i="3"/>
  <c r="I57" i="1" s="1"/>
  <c r="BB112" i="3"/>
  <c r="I56" i="1" s="1"/>
  <c r="BA112" i="3"/>
  <c r="I55" i="1" s="1"/>
  <c r="AZ112" i="3"/>
  <c r="I54" i="1" s="1"/>
  <c r="AY112" i="3"/>
  <c r="I53" i="1" s="1"/>
  <c r="AW112" i="3"/>
  <c r="H59" i="1" s="1"/>
  <c r="AV112" i="3"/>
  <c r="H58" i="1" s="1"/>
  <c r="AU112" i="3"/>
  <c r="H57" i="1" s="1"/>
  <c r="AT112" i="3"/>
  <c r="H56" i="1" s="1"/>
  <c r="AS112" i="3"/>
  <c r="H55" i="1" s="1"/>
  <c r="AR112" i="3"/>
  <c r="H54" i="1" s="1"/>
  <c r="AQ112" i="3"/>
  <c r="AO112" i="3"/>
  <c r="G59" i="1" s="1"/>
  <c r="AN112" i="3"/>
  <c r="G58" i="1" s="1"/>
  <c r="AM112" i="3"/>
  <c r="G57" i="1" s="1"/>
  <c r="AL112" i="3"/>
  <c r="G56" i="1" s="1"/>
  <c r="AK112" i="3"/>
  <c r="G55" i="1" s="1"/>
  <c r="AJ112" i="3"/>
  <c r="G54" i="1" s="1"/>
  <c r="AI112" i="3"/>
  <c r="G53" i="1" s="1"/>
  <c r="AG112" i="3"/>
  <c r="F59" i="1" s="1"/>
  <c r="AF112" i="3"/>
  <c r="F58" i="1" s="1"/>
  <c r="AE112" i="3"/>
  <c r="F57" i="1" s="1"/>
  <c r="AD112" i="3"/>
  <c r="F56" i="1" s="1"/>
  <c r="AC112" i="3"/>
  <c r="F55" i="1" s="1"/>
  <c r="AB112" i="3"/>
  <c r="F54" i="1" s="1"/>
  <c r="AA112" i="3"/>
  <c r="F53" i="1" s="1"/>
  <c r="Y112" i="3"/>
  <c r="E59" i="1" s="1"/>
  <c r="X112" i="3"/>
  <c r="E58" i="1" s="1"/>
  <c r="W112" i="3"/>
  <c r="E57" i="1" s="1"/>
  <c r="V112" i="3"/>
  <c r="E56" i="1" s="1"/>
  <c r="U112" i="3"/>
  <c r="E55" i="1" s="1"/>
  <c r="T112" i="3"/>
  <c r="E54" i="1" s="1"/>
  <c r="S112" i="3"/>
  <c r="E53" i="1" s="1"/>
  <c r="Q112" i="3"/>
  <c r="D59" i="1" s="1"/>
  <c r="P112" i="3"/>
  <c r="D58" i="1" s="1"/>
  <c r="O112" i="3"/>
  <c r="D57" i="1" s="1"/>
  <c r="N112" i="3"/>
  <c r="D56" i="1" s="1"/>
  <c r="M112" i="3"/>
  <c r="D55" i="1" s="1"/>
  <c r="L112" i="3"/>
  <c r="D54" i="1" s="1"/>
  <c r="K112" i="3"/>
  <c r="D53" i="1" s="1"/>
  <c r="I112" i="3"/>
  <c r="C59" i="1" s="1"/>
  <c r="H112" i="3"/>
  <c r="C58" i="1" s="1"/>
  <c r="G112" i="3"/>
  <c r="C57" i="1" s="1"/>
  <c r="F112" i="3"/>
  <c r="C56" i="1" s="1"/>
  <c r="E112" i="3"/>
  <c r="C55" i="1" s="1"/>
  <c r="D112" i="3"/>
  <c r="C54" i="1" s="1"/>
  <c r="C112" i="3"/>
  <c r="C53" i="1" s="1"/>
  <c r="CT111" i="3"/>
  <c r="N221" i="3" s="1"/>
  <c r="CL111" i="3"/>
  <c r="M221" i="3" s="1"/>
  <c r="CD111" i="3"/>
  <c r="L221" i="3" s="1"/>
  <c r="BV111" i="3"/>
  <c r="K221" i="3" s="1"/>
  <c r="BN111" i="3"/>
  <c r="J221" i="3" s="1"/>
  <c r="BF111" i="3"/>
  <c r="I221" i="3" s="1"/>
  <c r="AX111" i="3"/>
  <c r="H221" i="3" s="1"/>
  <c r="AP111" i="3"/>
  <c r="G221" i="3" s="1"/>
  <c r="AH111" i="3"/>
  <c r="F221" i="3" s="1"/>
  <c r="Z111" i="3"/>
  <c r="E221" i="3" s="1"/>
  <c r="R111" i="3"/>
  <c r="D221" i="3" s="1"/>
  <c r="J111" i="3"/>
  <c r="C221" i="3" s="1"/>
  <c r="CT110" i="3"/>
  <c r="N220" i="3" s="1"/>
  <c r="CL110" i="3"/>
  <c r="M220" i="3" s="1"/>
  <c r="CD110" i="3"/>
  <c r="L220" i="3" s="1"/>
  <c r="BV110" i="3"/>
  <c r="K220" i="3" s="1"/>
  <c r="BN110" i="3"/>
  <c r="J220" i="3" s="1"/>
  <c r="BF110" i="3"/>
  <c r="I220" i="3" s="1"/>
  <c r="AX110" i="3"/>
  <c r="H220" i="3" s="1"/>
  <c r="AP110" i="3"/>
  <c r="G220" i="3" s="1"/>
  <c r="AH110" i="3"/>
  <c r="F220" i="3" s="1"/>
  <c r="Z110" i="3"/>
  <c r="E220" i="3" s="1"/>
  <c r="R110" i="3"/>
  <c r="D220" i="3" s="1"/>
  <c r="J110" i="3"/>
  <c r="C220" i="3" s="1"/>
  <c r="CT109" i="3"/>
  <c r="N219" i="3" s="1"/>
  <c r="CL109" i="3"/>
  <c r="M219" i="3" s="1"/>
  <c r="CD109" i="3"/>
  <c r="L219" i="3" s="1"/>
  <c r="BV109" i="3"/>
  <c r="K219" i="3" s="1"/>
  <c r="BN109" i="3"/>
  <c r="J219" i="3" s="1"/>
  <c r="BF109" i="3"/>
  <c r="I219" i="3" s="1"/>
  <c r="AX109" i="3"/>
  <c r="H219" i="3" s="1"/>
  <c r="AP109" i="3"/>
  <c r="G219" i="3" s="1"/>
  <c r="AH109" i="3"/>
  <c r="F219" i="3" s="1"/>
  <c r="Z109" i="3"/>
  <c r="E219" i="3" s="1"/>
  <c r="R109" i="3"/>
  <c r="D219" i="3" s="1"/>
  <c r="J109" i="3"/>
  <c r="C219" i="3" s="1"/>
  <c r="CT108" i="3"/>
  <c r="N218" i="3" s="1"/>
  <c r="CL108" i="3"/>
  <c r="M218" i="3" s="1"/>
  <c r="CD108" i="3"/>
  <c r="L218" i="3" s="1"/>
  <c r="BV108" i="3"/>
  <c r="K218" i="3" s="1"/>
  <c r="BN108" i="3"/>
  <c r="J218" i="3" s="1"/>
  <c r="BF108" i="3"/>
  <c r="I218" i="3" s="1"/>
  <c r="AX108" i="3"/>
  <c r="H218" i="3" s="1"/>
  <c r="AP108" i="3"/>
  <c r="G218" i="3" s="1"/>
  <c r="AH108" i="3"/>
  <c r="F218" i="3" s="1"/>
  <c r="Z108" i="3"/>
  <c r="E218" i="3" s="1"/>
  <c r="R108" i="3"/>
  <c r="D218" i="3" s="1"/>
  <c r="J108" i="3"/>
  <c r="C218" i="3" s="1"/>
  <c r="CT107" i="3"/>
  <c r="N217" i="3" s="1"/>
  <c r="CL107" i="3"/>
  <c r="M217" i="3" s="1"/>
  <c r="CD107" i="3"/>
  <c r="L217" i="3" s="1"/>
  <c r="BV107" i="3"/>
  <c r="K217" i="3" s="1"/>
  <c r="BN107" i="3"/>
  <c r="J217" i="3" s="1"/>
  <c r="BF107" i="3"/>
  <c r="I217" i="3" s="1"/>
  <c r="AX107" i="3"/>
  <c r="H217" i="3" s="1"/>
  <c r="AP107" i="3"/>
  <c r="G217" i="3" s="1"/>
  <c r="AH107" i="3"/>
  <c r="F217" i="3" s="1"/>
  <c r="Z107" i="3"/>
  <c r="E217" i="3" s="1"/>
  <c r="R107" i="3"/>
  <c r="D217" i="3" s="1"/>
  <c r="J107" i="3"/>
  <c r="C217" i="3" s="1"/>
  <c r="CT106" i="3"/>
  <c r="N216" i="3" s="1"/>
  <c r="CL106" i="3"/>
  <c r="M216" i="3" s="1"/>
  <c r="CD106" i="3"/>
  <c r="L216" i="3" s="1"/>
  <c r="BV106" i="3"/>
  <c r="K216" i="3" s="1"/>
  <c r="BN106" i="3"/>
  <c r="J216" i="3" s="1"/>
  <c r="BF106" i="3"/>
  <c r="I216" i="3" s="1"/>
  <c r="AX106" i="3"/>
  <c r="H216" i="3" s="1"/>
  <c r="AP106" i="3"/>
  <c r="G216" i="3" s="1"/>
  <c r="AH106" i="3"/>
  <c r="F216" i="3" s="1"/>
  <c r="Z106" i="3"/>
  <c r="E216" i="3" s="1"/>
  <c r="R106" i="3"/>
  <c r="D216" i="3" s="1"/>
  <c r="J106" i="3"/>
  <c r="C216" i="3" s="1"/>
  <c r="CT105" i="3"/>
  <c r="N215" i="3" s="1"/>
  <c r="CL105" i="3"/>
  <c r="M215" i="3" s="1"/>
  <c r="CD105" i="3"/>
  <c r="L215" i="3" s="1"/>
  <c r="BV105" i="3"/>
  <c r="K215" i="3" s="1"/>
  <c r="BN105" i="3"/>
  <c r="J215" i="3" s="1"/>
  <c r="BF105" i="3"/>
  <c r="I215" i="3" s="1"/>
  <c r="AX105" i="3"/>
  <c r="H215" i="3" s="1"/>
  <c r="AP105" i="3"/>
  <c r="G215" i="3" s="1"/>
  <c r="AH105" i="3"/>
  <c r="F215" i="3" s="1"/>
  <c r="Z105" i="3"/>
  <c r="E215" i="3" s="1"/>
  <c r="R105" i="3"/>
  <c r="D215" i="3" s="1"/>
  <c r="J105" i="3"/>
  <c r="C215" i="3" s="1"/>
  <c r="CT104" i="3"/>
  <c r="N214" i="3" s="1"/>
  <c r="CL104" i="3"/>
  <c r="M214" i="3" s="1"/>
  <c r="CD104" i="3"/>
  <c r="L214" i="3" s="1"/>
  <c r="BV104" i="3"/>
  <c r="K214" i="3" s="1"/>
  <c r="BN104" i="3"/>
  <c r="J214" i="3" s="1"/>
  <c r="BF104" i="3"/>
  <c r="I214" i="3" s="1"/>
  <c r="AX104" i="3"/>
  <c r="H214" i="3" s="1"/>
  <c r="AP104" i="3"/>
  <c r="G214" i="3" s="1"/>
  <c r="AH104" i="3"/>
  <c r="F214" i="3" s="1"/>
  <c r="Z104" i="3"/>
  <c r="E214" i="3" s="1"/>
  <c r="R104" i="3"/>
  <c r="D214" i="3" s="1"/>
  <c r="J104" i="3"/>
  <c r="C214" i="3" s="1"/>
  <c r="CT103" i="3"/>
  <c r="N213" i="3" s="1"/>
  <c r="CL103" i="3"/>
  <c r="M213" i="3" s="1"/>
  <c r="CD103" i="3"/>
  <c r="L213" i="3" s="1"/>
  <c r="BV103" i="3"/>
  <c r="K213" i="3" s="1"/>
  <c r="BN103" i="3"/>
  <c r="J213" i="3" s="1"/>
  <c r="BF103" i="3"/>
  <c r="I213" i="3" s="1"/>
  <c r="AX103" i="3"/>
  <c r="H213" i="3" s="1"/>
  <c r="AP103" i="3"/>
  <c r="G213" i="3" s="1"/>
  <c r="AH103" i="3"/>
  <c r="F213" i="3" s="1"/>
  <c r="Z103" i="3"/>
  <c r="E213" i="3" s="1"/>
  <c r="R103" i="3"/>
  <c r="D213" i="3" s="1"/>
  <c r="J103" i="3"/>
  <c r="C213" i="3" s="1"/>
  <c r="CT102" i="3"/>
  <c r="N212" i="3" s="1"/>
  <c r="CL102" i="3"/>
  <c r="M212" i="3" s="1"/>
  <c r="CD102" i="3"/>
  <c r="L212" i="3" s="1"/>
  <c r="BV102" i="3"/>
  <c r="K212" i="3" s="1"/>
  <c r="BN102" i="3"/>
  <c r="J212" i="3" s="1"/>
  <c r="BF102" i="3"/>
  <c r="I212" i="3" s="1"/>
  <c r="AX102" i="3"/>
  <c r="H212" i="3" s="1"/>
  <c r="AP102" i="3"/>
  <c r="G212" i="3" s="1"/>
  <c r="AH102" i="3"/>
  <c r="F212" i="3" s="1"/>
  <c r="Z102" i="3"/>
  <c r="E212" i="3" s="1"/>
  <c r="R102" i="3"/>
  <c r="D212" i="3" s="1"/>
  <c r="J102" i="3"/>
  <c r="C212" i="3" s="1"/>
  <c r="CT101" i="3"/>
  <c r="N211" i="3" s="1"/>
  <c r="CL101" i="3"/>
  <c r="M211" i="3" s="1"/>
  <c r="CD101" i="3"/>
  <c r="L211" i="3" s="1"/>
  <c r="BV101" i="3"/>
  <c r="K211" i="3" s="1"/>
  <c r="BN101" i="3"/>
  <c r="J211" i="3" s="1"/>
  <c r="BF101" i="3"/>
  <c r="I211" i="3" s="1"/>
  <c r="AX101" i="3"/>
  <c r="H211" i="3" s="1"/>
  <c r="AP101" i="3"/>
  <c r="G211" i="3" s="1"/>
  <c r="AH101" i="3"/>
  <c r="F211" i="3" s="1"/>
  <c r="Z101" i="3"/>
  <c r="E211" i="3" s="1"/>
  <c r="R101" i="3"/>
  <c r="D211" i="3" s="1"/>
  <c r="J101" i="3"/>
  <c r="C211" i="3" s="1"/>
  <c r="CT100" i="3"/>
  <c r="N210" i="3" s="1"/>
  <c r="CL100" i="3"/>
  <c r="M210" i="3" s="1"/>
  <c r="CD100" i="3"/>
  <c r="L210" i="3" s="1"/>
  <c r="BV100" i="3"/>
  <c r="K210" i="3" s="1"/>
  <c r="BN100" i="3"/>
  <c r="J210" i="3" s="1"/>
  <c r="BF100" i="3"/>
  <c r="I210" i="3" s="1"/>
  <c r="AX100" i="3"/>
  <c r="H210" i="3" s="1"/>
  <c r="AP100" i="3"/>
  <c r="G210" i="3" s="1"/>
  <c r="AH100" i="3"/>
  <c r="F210" i="3" s="1"/>
  <c r="Z100" i="3"/>
  <c r="E210" i="3" s="1"/>
  <c r="R100" i="3"/>
  <c r="D210" i="3" s="1"/>
  <c r="J100" i="3"/>
  <c r="C210" i="3" s="1"/>
  <c r="CT99" i="3"/>
  <c r="N209" i="3" s="1"/>
  <c r="CL99" i="3"/>
  <c r="M209" i="3" s="1"/>
  <c r="CD99" i="3"/>
  <c r="L209" i="3" s="1"/>
  <c r="BV99" i="3"/>
  <c r="K209" i="3" s="1"/>
  <c r="BN99" i="3"/>
  <c r="J209" i="3" s="1"/>
  <c r="BF99" i="3"/>
  <c r="I209" i="3" s="1"/>
  <c r="AX99" i="3"/>
  <c r="H209" i="3" s="1"/>
  <c r="AP99" i="3"/>
  <c r="G209" i="3" s="1"/>
  <c r="AH99" i="3"/>
  <c r="F209" i="3" s="1"/>
  <c r="Z99" i="3"/>
  <c r="E209" i="3" s="1"/>
  <c r="R99" i="3"/>
  <c r="D209" i="3" s="1"/>
  <c r="J99" i="3"/>
  <c r="C209" i="3" s="1"/>
  <c r="CT98" i="3"/>
  <c r="N208" i="3" s="1"/>
  <c r="CL98" i="3"/>
  <c r="M208" i="3" s="1"/>
  <c r="CD98" i="3"/>
  <c r="L208" i="3" s="1"/>
  <c r="BV98" i="3"/>
  <c r="K208" i="3" s="1"/>
  <c r="BN98" i="3"/>
  <c r="J208" i="3" s="1"/>
  <c r="BF98" i="3"/>
  <c r="I208" i="3" s="1"/>
  <c r="AX98" i="3"/>
  <c r="H208" i="3" s="1"/>
  <c r="AP98" i="3"/>
  <c r="G208" i="3" s="1"/>
  <c r="AH98" i="3"/>
  <c r="F208" i="3" s="1"/>
  <c r="Z98" i="3"/>
  <c r="E208" i="3" s="1"/>
  <c r="R98" i="3"/>
  <c r="D208" i="3" s="1"/>
  <c r="J98" i="3"/>
  <c r="C208" i="3" s="1"/>
  <c r="CT97" i="3"/>
  <c r="N207" i="3" s="1"/>
  <c r="CL97" i="3"/>
  <c r="M207" i="3" s="1"/>
  <c r="CD97" i="3"/>
  <c r="L207" i="3" s="1"/>
  <c r="BV97" i="3"/>
  <c r="K207" i="3" s="1"/>
  <c r="BN97" i="3"/>
  <c r="J207" i="3" s="1"/>
  <c r="BF97" i="3"/>
  <c r="I207" i="3" s="1"/>
  <c r="AX97" i="3"/>
  <c r="H207" i="3" s="1"/>
  <c r="AP97" i="3"/>
  <c r="G207" i="3" s="1"/>
  <c r="AH97" i="3"/>
  <c r="F207" i="3" s="1"/>
  <c r="Z97" i="3"/>
  <c r="E207" i="3" s="1"/>
  <c r="R97" i="3"/>
  <c r="D207" i="3" s="1"/>
  <c r="J97" i="3"/>
  <c r="C207" i="3" s="1"/>
  <c r="CT96" i="3"/>
  <c r="N206" i="3" s="1"/>
  <c r="CL96" i="3"/>
  <c r="M206" i="3" s="1"/>
  <c r="CD96" i="3"/>
  <c r="L206" i="3" s="1"/>
  <c r="BV96" i="3"/>
  <c r="K206" i="3" s="1"/>
  <c r="BN96" i="3"/>
  <c r="J206" i="3" s="1"/>
  <c r="BF96" i="3"/>
  <c r="I206" i="3" s="1"/>
  <c r="AX96" i="3"/>
  <c r="H206" i="3" s="1"/>
  <c r="AP96" i="3"/>
  <c r="G206" i="3" s="1"/>
  <c r="AH96" i="3"/>
  <c r="F206" i="3" s="1"/>
  <c r="Z96" i="3"/>
  <c r="E206" i="3" s="1"/>
  <c r="R96" i="3"/>
  <c r="D206" i="3" s="1"/>
  <c r="J96" i="3"/>
  <c r="C206" i="3" s="1"/>
  <c r="CT95" i="3"/>
  <c r="N205" i="3" s="1"/>
  <c r="CL95" i="3"/>
  <c r="M205" i="3" s="1"/>
  <c r="CD95" i="3"/>
  <c r="L205" i="3" s="1"/>
  <c r="BV95" i="3"/>
  <c r="K205" i="3" s="1"/>
  <c r="BN95" i="3"/>
  <c r="J205" i="3" s="1"/>
  <c r="BF95" i="3"/>
  <c r="I205" i="3" s="1"/>
  <c r="AX95" i="3"/>
  <c r="H205" i="3" s="1"/>
  <c r="AP95" i="3"/>
  <c r="G205" i="3" s="1"/>
  <c r="AH95" i="3"/>
  <c r="F205" i="3" s="1"/>
  <c r="Z95" i="3"/>
  <c r="E205" i="3" s="1"/>
  <c r="R95" i="3"/>
  <c r="D205" i="3" s="1"/>
  <c r="J95" i="3"/>
  <c r="C205" i="3" s="1"/>
  <c r="CT94" i="3"/>
  <c r="N204" i="3" s="1"/>
  <c r="CL94" i="3"/>
  <c r="M204" i="3" s="1"/>
  <c r="CD94" i="3"/>
  <c r="L204" i="3" s="1"/>
  <c r="BV94" i="3"/>
  <c r="K204" i="3" s="1"/>
  <c r="BN94" i="3"/>
  <c r="J204" i="3" s="1"/>
  <c r="BF94" i="3"/>
  <c r="I204" i="3" s="1"/>
  <c r="AX94" i="3"/>
  <c r="H204" i="3" s="1"/>
  <c r="AP94" i="3"/>
  <c r="G204" i="3" s="1"/>
  <c r="AH94" i="3"/>
  <c r="F204" i="3" s="1"/>
  <c r="Z94" i="3"/>
  <c r="E204" i="3" s="1"/>
  <c r="R94" i="3"/>
  <c r="D204" i="3" s="1"/>
  <c r="J94" i="3"/>
  <c r="C204" i="3" s="1"/>
  <c r="CT93" i="3"/>
  <c r="N203" i="3" s="1"/>
  <c r="CL93" i="3"/>
  <c r="M203" i="3" s="1"/>
  <c r="CD93" i="3"/>
  <c r="L203" i="3" s="1"/>
  <c r="BV93" i="3"/>
  <c r="K203" i="3" s="1"/>
  <c r="BN93" i="3"/>
  <c r="J203" i="3" s="1"/>
  <c r="BF93" i="3"/>
  <c r="I203" i="3" s="1"/>
  <c r="AX93" i="3"/>
  <c r="H203" i="3" s="1"/>
  <c r="AP93" i="3"/>
  <c r="G203" i="3" s="1"/>
  <c r="AH93" i="3"/>
  <c r="F203" i="3" s="1"/>
  <c r="Z93" i="3"/>
  <c r="E203" i="3" s="1"/>
  <c r="R93" i="3"/>
  <c r="D203" i="3" s="1"/>
  <c r="J93" i="3"/>
  <c r="C203" i="3" s="1"/>
  <c r="CT92" i="3"/>
  <c r="N202" i="3" s="1"/>
  <c r="CL92" i="3"/>
  <c r="M202" i="3" s="1"/>
  <c r="CD92" i="3"/>
  <c r="L202" i="3" s="1"/>
  <c r="BV92" i="3"/>
  <c r="K202" i="3" s="1"/>
  <c r="BN92" i="3"/>
  <c r="J202" i="3" s="1"/>
  <c r="BF92" i="3"/>
  <c r="I202" i="3" s="1"/>
  <c r="AX92" i="3"/>
  <c r="H202" i="3" s="1"/>
  <c r="AP92" i="3"/>
  <c r="G202" i="3" s="1"/>
  <c r="AH92" i="3"/>
  <c r="F202" i="3" s="1"/>
  <c r="Z92" i="3"/>
  <c r="E202" i="3" s="1"/>
  <c r="R92" i="3"/>
  <c r="D202" i="3" s="1"/>
  <c r="J92" i="3"/>
  <c r="C202" i="3" s="1"/>
  <c r="CT91" i="3"/>
  <c r="N201" i="3" s="1"/>
  <c r="CL91" i="3"/>
  <c r="M201" i="3" s="1"/>
  <c r="CD91" i="3"/>
  <c r="L201" i="3" s="1"/>
  <c r="BV91" i="3"/>
  <c r="K201" i="3" s="1"/>
  <c r="BN91" i="3"/>
  <c r="J201" i="3" s="1"/>
  <c r="BF91" i="3"/>
  <c r="I201" i="3" s="1"/>
  <c r="AX91" i="3"/>
  <c r="H201" i="3" s="1"/>
  <c r="AP91" i="3"/>
  <c r="G201" i="3" s="1"/>
  <c r="AH91" i="3"/>
  <c r="F201" i="3" s="1"/>
  <c r="Z91" i="3"/>
  <c r="E201" i="3" s="1"/>
  <c r="R91" i="3"/>
  <c r="D201" i="3" s="1"/>
  <c r="J91" i="3"/>
  <c r="C201" i="3" s="1"/>
  <c r="CT90" i="3"/>
  <c r="N200" i="3" s="1"/>
  <c r="CL90" i="3"/>
  <c r="M200" i="3" s="1"/>
  <c r="CD90" i="3"/>
  <c r="L200" i="3" s="1"/>
  <c r="BV90" i="3"/>
  <c r="K200" i="3" s="1"/>
  <c r="BN90" i="3"/>
  <c r="J200" i="3" s="1"/>
  <c r="BF90" i="3"/>
  <c r="I200" i="3" s="1"/>
  <c r="AX90" i="3"/>
  <c r="H200" i="3" s="1"/>
  <c r="AP90" i="3"/>
  <c r="G200" i="3" s="1"/>
  <c r="AH90" i="3"/>
  <c r="F200" i="3" s="1"/>
  <c r="Z90" i="3"/>
  <c r="E200" i="3" s="1"/>
  <c r="R90" i="3"/>
  <c r="D200" i="3" s="1"/>
  <c r="J90" i="3"/>
  <c r="C200" i="3" s="1"/>
  <c r="CT89" i="3"/>
  <c r="N199" i="3" s="1"/>
  <c r="CL89" i="3"/>
  <c r="M199" i="3" s="1"/>
  <c r="CD89" i="3"/>
  <c r="L199" i="3" s="1"/>
  <c r="BV89" i="3"/>
  <c r="K199" i="3" s="1"/>
  <c r="BN89" i="3"/>
  <c r="J199" i="3" s="1"/>
  <c r="BF89" i="3"/>
  <c r="I199" i="3" s="1"/>
  <c r="AX89" i="3"/>
  <c r="H199" i="3" s="1"/>
  <c r="AP89" i="3"/>
  <c r="G199" i="3" s="1"/>
  <c r="AH89" i="3"/>
  <c r="F199" i="3" s="1"/>
  <c r="Z89" i="3"/>
  <c r="E199" i="3" s="1"/>
  <c r="R89" i="3"/>
  <c r="D199" i="3" s="1"/>
  <c r="J89" i="3"/>
  <c r="C199" i="3" s="1"/>
  <c r="CT88" i="3"/>
  <c r="N198" i="3" s="1"/>
  <c r="CL88" i="3"/>
  <c r="M198" i="3" s="1"/>
  <c r="CD88" i="3"/>
  <c r="L198" i="3" s="1"/>
  <c r="BV88" i="3"/>
  <c r="K198" i="3" s="1"/>
  <c r="BN88" i="3"/>
  <c r="J198" i="3" s="1"/>
  <c r="BF88" i="3"/>
  <c r="I198" i="3" s="1"/>
  <c r="AX88" i="3"/>
  <c r="H198" i="3" s="1"/>
  <c r="AP88" i="3"/>
  <c r="G198" i="3" s="1"/>
  <c r="AH88" i="3"/>
  <c r="F198" i="3" s="1"/>
  <c r="Z88" i="3"/>
  <c r="E198" i="3" s="1"/>
  <c r="R88" i="3"/>
  <c r="D198" i="3" s="1"/>
  <c r="J88" i="3"/>
  <c r="C198" i="3" s="1"/>
  <c r="CT87" i="3"/>
  <c r="N197" i="3" s="1"/>
  <c r="CL87" i="3"/>
  <c r="M197" i="3" s="1"/>
  <c r="CD87" i="3"/>
  <c r="L197" i="3" s="1"/>
  <c r="BV87" i="3"/>
  <c r="K197" i="3" s="1"/>
  <c r="BN87" i="3"/>
  <c r="J197" i="3" s="1"/>
  <c r="BF87" i="3"/>
  <c r="I197" i="3" s="1"/>
  <c r="AX87" i="3"/>
  <c r="H197" i="3" s="1"/>
  <c r="AP87" i="3"/>
  <c r="G197" i="3" s="1"/>
  <c r="AH87" i="3"/>
  <c r="F197" i="3" s="1"/>
  <c r="Z87" i="3"/>
  <c r="E197" i="3" s="1"/>
  <c r="R87" i="3"/>
  <c r="D197" i="3" s="1"/>
  <c r="J87" i="3"/>
  <c r="C197" i="3" s="1"/>
  <c r="CT86" i="3"/>
  <c r="N196" i="3" s="1"/>
  <c r="CL86" i="3"/>
  <c r="M196" i="3" s="1"/>
  <c r="CD86" i="3"/>
  <c r="L196" i="3" s="1"/>
  <c r="BV86" i="3"/>
  <c r="K196" i="3" s="1"/>
  <c r="BN86" i="3"/>
  <c r="J196" i="3" s="1"/>
  <c r="BF86" i="3"/>
  <c r="I196" i="3" s="1"/>
  <c r="AX86" i="3"/>
  <c r="H196" i="3" s="1"/>
  <c r="AP86" i="3"/>
  <c r="G196" i="3" s="1"/>
  <c r="AH86" i="3"/>
  <c r="F196" i="3" s="1"/>
  <c r="Z86" i="3"/>
  <c r="E196" i="3" s="1"/>
  <c r="R86" i="3"/>
  <c r="D196" i="3" s="1"/>
  <c r="J86" i="3"/>
  <c r="C196" i="3" s="1"/>
  <c r="CT85" i="3"/>
  <c r="N195" i="3" s="1"/>
  <c r="CL85" i="3"/>
  <c r="M195" i="3" s="1"/>
  <c r="CD85" i="3"/>
  <c r="L195" i="3" s="1"/>
  <c r="BV85" i="3"/>
  <c r="K195" i="3" s="1"/>
  <c r="BN85" i="3"/>
  <c r="J195" i="3" s="1"/>
  <c r="BF85" i="3"/>
  <c r="I195" i="3" s="1"/>
  <c r="AX85" i="3"/>
  <c r="H195" i="3" s="1"/>
  <c r="AP85" i="3"/>
  <c r="G195" i="3" s="1"/>
  <c r="AH85" i="3"/>
  <c r="F195" i="3" s="1"/>
  <c r="Z85" i="3"/>
  <c r="E195" i="3" s="1"/>
  <c r="R85" i="3"/>
  <c r="D195" i="3" s="1"/>
  <c r="J85" i="3"/>
  <c r="C195" i="3" s="1"/>
  <c r="CT84" i="3"/>
  <c r="N194" i="3" s="1"/>
  <c r="CL84" i="3"/>
  <c r="M194" i="3" s="1"/>
  <c r="CD84" i="3"/>
  <c r="L194" i="3" s="1"/>
  <c r="BV84" i="3"/>
  <c r="K194" i="3" s="1"/>
  <c r="BN84" i="3"/>
  <c r="J194" i="3" s="1"/>
  <c r="BF84" i="3"/>
  <c r="I194" i="3" s="1"/>
  <c r="AX84" i="3"/>
  <c r="H194" i="3" s="1"/>
  <c r="AP84" i="3"/>
  <c r="G194" i="3" s="1"/>
  <c r="AH84" i="3"/>
  <c r="F194" i="3" s="1"/>
  <c r="Z84" i="3"/>
  <c r="E194" i="3" s="1"/>
  <c r="R84" i="3"/>
  <c r="D194" i="3" s="1"/>
  <c r="J84" i="3"/>
  <c r="C194" i="3" s="1"/>
  <c r="CT83" i="3"/>
  <c r="N193" i="3" s="1"/>
  <c r="CL83" i="3"/>
  <c r="M193" i="3" s="1"/>
  <c r="CD83" i="3"/>
  <c r="L193" i="3" s="1"/>
  <c r="BV83" i="3"/>
  <c r="K193" i="3" s="1"/>
  <c r="BN83" i="3"/>
  <c r="J193" i="3" s="1"/>
  <c r="BF83" i="3"/>
  <c r="I193" i="3" s="1"/>
  <c r="AX83" i="3"/>
  <c r="H193" i="3" s="1"/>
  <c r="AP83" i="3"/>
  <c r="G193" i="3" s="1"/>
  <c r="AH83" i="3"/>
  <c r="F193" i="3" s="1"/>
  <c r="Z83" i="3"/>
  <c r="E193" i="3" s="1"/>
  <c r="R83" i="3"/>
  <c r="D193" i="3" s="1"/>
  <c r="J83" i="3"/>
  <c r="C193" i="3" s="1"/>
  <c r="CT82" i="3"/>
  <c r="N192" i="3" s="1"/>
  <c r="CL82" i="3"/>
  <c r="M192" i="3" s="1"/>
  <c r="CD82" i="3"/>
  <c r="L192" i="3" s="1"/>
  <c r="BV82" i="3"/>
  <c r="K192" i="3" s="1"/>
  <c r="BN82" i="3"/>
  <c r="J192" i="3" s="1"/>
  <c r="BF82" i="3"/>
  <c r="I192" i="3" s="1"/>
  <c r="AX82" i="3"/>
  <c r="H192" i="3" s="1"/>
  <c r="AP82" i="3"/>
  <c r="G192" i="3" s="1"/>
  <c r="AH82" i="3"/>
  <c r="F192" i="3" s="1"/>
  <c r="Z82" i="3"/>
  <c r="E192" i="3" s="1"/>
  <c r="R82" i="3"/>
  <c r="D192" i="3" s="1"/>
  <c r="J82" i="3"/>
  <c r="C192" i="3" s="1"/>
  <c r="CT81" i="3"/>
  <c r="N191" i="3" s="1"/>
  <c r="CL81" i="3"/>
  <c r="M191" i="3" s="1"/>
  <c r="CD81" i="3"/>
  <c r="L191" i="3" s="1"/>
  <c r="BV81" i="3"/>
  <c r="K191" i="3" s="1"/>
  <c r="BN81" i="3"/>
  <c r="J191" i="3" s="1"/>
  <c r="BF81" i="3"/>
  <c r="I191" i="3" s="1"/>
  <c r="AX81" i="3"/>
  <c r="H191" i="3" s="1"/>
  <c r="AP81" i="3"/>
  <c r="G191" i="3" s="1"/>
  <c r="AH81" i="3"/>
  <c r="F191" i="3" s="1"/>
  <c r="Z81" i="3"/>
  <c r="E191" i="3" s="1"/>
  <c r="R81" i="3"/>
  <c r="D191" i="3" s="1"/>
  <c r="J81" i="3"/>
  <c r="C191" i="3" s="1"/>
  <c r="CT80" i="3"/>
  <c r="N190" i="3" s="1"/>
  <c r="CL80" i="3"/>
  <c r="M190" i="3" s="1"/>
  <c r="CD80" i="3"/>
  <c r="L190" i="3" s="1"/>
  <c r="BV80" i="3"/>
  <c r="K190" i="3" s="1"/>
  <c r="BN80" i="3"/>
  <c r="J190" i="3" s="1"/>
  <c r="BF80" i="3"/>
  <c r="I190" i="3" s="1"/>
  <c r="AX80" i="3"/>
  <c r="H190" i="3" s="1"/>
  <c r="AP80" i="3"/>
  <c r="G190" i="3" s="1"/>
  <c r="AH80" i="3"/>
  <c r="F190" i="3" s="1"/>
  <c r="Z80" i="3"/>
  <c r="E190" i="3" s="1"/>
  <c r="R80" i="3"/>
  <c r="D190" i="3" s="1"/>
  <c r="J80" i="3"/>
  <c r="C190" i="3" s="1"/>
  <c r="CT79" i="3"/>
  <c r="N189" i="3" s="1"/>
  <c r="CL79" i="3"/>
  <c r="M189" i="3" s="1"/>
  <c r="CD79" i="3"/>
  <c r="L189" i="3" s="1"/>
  <c r="BV79" i="3"/>
  <c r="K189" i="3" s="1"/>
  <c r="BN79" i="3"/>
  <c r="J189" i="3" s="1"/>
  <c r="BF79" i="3"/>
  <c r="I189" i="3" s="1"/>
  <c r="AX79" i="3"/>
  <c r="H189" i="3" s="1"/>
  <c r="AP79" i="3"/>
  <c r="G189" i="3" s="1"/>
  <c r="AH79" i="3"/>
  <c r="F189" i="3" s="1"/>
  <c r="Z79" i="3"/>
  <c r="E189" i="3" s="1"/>
  <c r="R79" i="3"/>
  <c r="D189" i="3" s="1"/>
  <c r="J79" i="3"/>
  <c r="C189" i="3" s="1"/>
  <c r="CT78" i="3"/>
  <c r="N188" i="3" s="1"/>
  <c r="CL78" i="3"/>
  <c r="M188" i="3" s="1"/>
  <c r="CD78" i="3"/>
  <c r="L188" i="3" s="1"/>
  <c r="BV78" i="3"/>
  <c r="K188" i="3" s="1"/>
  <c r="BN78" i="3"/>
  <c r="J188" i="3" s="1"/>
  <c r="BF78" i="3"/>
  <c r="I188" i="3" s="1"/>
  <c r="AX78" i="3"/>
  <c r="H188" i="3" s="1"/>
  <c r="AP78" i="3"/>
  <c r="G188" i="3" s="1"/>
  <c r="AH78" i="3"/>
  <c r="F188" i="3" s="1"/>
  <c r="Z78" i="3"/>
  <c r="E188" i="3" s="1"/>
  <c r="R78" i="3"/>
  <c r="D188" i="3" s="1"/>
  <c r="J78" i="3"/>
  <c r="C188" i="3" s="1"/>
  <c r="CT77" i="3"/>
  <c r="N187" i="3" s="1"/>
  <c r="CL77" i="3"/>
  <c r="M187" i="3" s="1"/>
  <c r="CD77" i="3"/>
  <c r="L187" i="3" s="1"/>
  <c r="BV77" i="3"/>
  <c r="K187" i="3" s="1"/>
  <c r="BN77" i="3"/>
  <c r="J187" i="3" s="1"/>
  <c r="BF77" i="3"/>
  <c r="I187" i="3" s="1"/>
  <c r="AX77" i="3"/>
  <c r="H187" i="3" s="1"/>
  <c r="AP77" i="3"/>
  <c r="G187" i="3" s="1"/>
  <c r="AH77" i="3"/>
  <c r="F187" i="3" s="1"/>
  <c r="Z77" i="3"/>
  <c r="E187" i="3" s="1"/>
  <c r="R77" i="3"/>
  <c r="D187" i="3" s="1"/>
  <c r="J77" i="3"/>
  <c r="C187" i="3" s="1"/>
  <c r="CT76" i="3"/>
  <c r="N186" i="3" s="1"/>
  <c r="CL76" i="3"/>
  <c r="M186" i="3" s="1"/>
  <c r="CD76" i="3"/>
  <c r="L186" i="3" s="1"/>
  <c r="BV76" i="3"/>
  <c r="K186" i="3" s="1"/>
  <c r="BN76" i="3"/>
  <c r="J186" i="3" s="1"/>
  <c r="BF76" i="3"/>
  <c r="I186" i="3" s="1"/>
  <c r="AX76" i="3"/>
  <c r="H186" i="3" s="1"/>
  <c r="AP76" i="3"/>
  <c r="G186" i="3" s="1"/>
  <c r="AH76" i="3"/>
  <c r="F186" i="3" s="1"/>
  <c r="Z76" i="3"/>
  <c r="E186" i="3" s="1"/>
  <c r="R76" i="3"/>
  <c r="D186" i="3" s="1"/>
  <c r="J76" i="3"/>
  <c r="C186" i="3" s="1"/>
  <c r="CT75" i="3"/>
  <c r="N185" i="3" s="1"/>
  <c r="CL75" i="3"/>
  <c r="M185" i="3" s="1"/>
  <c r="CD75" i="3"/>
  <c r="L185" i="3" s="1"/>
  <c r="BV75" i="3"/>
  <c r="K185" i="3" s="1"/>
  <c r="BN75" i="3"/>
  <c r="J185" i="3" s="1"/>
  <c r="BF75" i="3"/>
  <c r="I185" i="3" s="1"/>
  <c r="AX75" i="3"/>
  <c r="H185" i="3" s="1"/>
  <c r="AP75" i="3"/>
  <c r="G185" i="3" s="1"/>
  <c r="AH75" i="3"/>
  <c r="F185" i="3" s="1"/>
  <c r="Z75" i="3"/>
  <c r="E185" i="3" s="1"/>
  <c r="R75" i="3"/>
  <c r="D185" i="3" s="1"/>
  <c r="J75" i="3"/>
  <c r="C185" i="3" s="1"/>
  <c r="CT74" i="3"/>
  <c r="N184" i="3" s="1"/>
  <c r="CL74" i="3"/>
  <c r="M184" i="3" s="1"/>
  <c r="CD74" i="3"/>
  <c r="L184" i="3" s="1"/>
  <c r="BV74" i="3"/>
  <c r="K184" i="3" s="1"/>
  <c r="BN74" i="3"/>
  <c r="J184" i="3" s="1"/>
  <c r="BF74" i="3"/>
  <c r="I184" i="3" s="1"/>
  <c r="AX74" i="3"/>
  <c r="H184" i="3" s="1"/>
  <c r="AP74" i="3"/>
  <c r="G184" i="3" s="1"/>
  <c r="AH74" i="3"/>
  <c r="F184" i="3" s="1"/>
  <c r="Z74" i="3"/>
  <c r="E184" i="3" s="1"/>
  <c r="R74" i="3"/>
  <c r="D184" i="3" s="1"/>
  <c r="J74" i="3"/>
  <c r="C184" i="3" s="1"/>
  <c r="CT73" i="3"/>
  <c r="N183" i="3" s="1"/>
  <c r="CL73" i="3"/>
  <c r="M183" i="3" s="1"/>
  <c r="CD73" i="3"/>
  <c r="L183" i="3" s="1"/>
  <c r="BV73" i="3"/>
  <c r="K183" i="3" s="1"/>
  <c r="BN73" i="3"/>
  <c r="J183" i="3" s="1"/>
  <c r="BF73" i="3"/>
  <c r="I183" i="3" s="1"/>
  <c r="AX73" i="3"/>
  <c r="H183" i="3" s="1"/>
  <c r="AP73" i="3"/>
  <c r="G183" i="3" s="1"/>
  <c r="AH73" i="3"/>
  <c r="F183" i="3" s="1"/>
  <c r="Z73" i="3"/>
  <c r="E183" i="3" s="1"/>
  <c r="R73" i="3"/>
  <c r="D183" i="3" s="1"/>
  <c r="J73" i="3"/>
  <c r="C183" i="3" s="1"/>
  <c r="CT72" i="3"/>
  <c r="N182" i="3" s="1"/>
  <c r="CL72" i="3"/>
  <c r="M182" i="3" s="1"/>
  <c r="CD72" i="3"/>
  <c r="L182" i="3" s="1"/>
  <c r="BV72" i="3"/>
  <c r="K182" i="3" s="1"/>
  <c r="BN72" i="3"/>
  <c r="J182" i="3" s="1"/>
  <c r="BF72" i="3"/>
  <c r="I182" i="3" s="1"/>
  <c r="AX72" i="3"/>
  <c r="H182" i="3" s="1"/>
  <c r="AP72" i="3"/>
  <c r="G182" i="3" s="1"/>
  <c r="AH72" i="3"/>
  <c r="F182" i="3" s="1"/>
  <c r="Z72" i="3"/>
  <c r="E182" i="3" s="1"/>
  <c r="R72" i="3"/>
  <c r="D182" i="3" s="1"/>
  <c r="J72" i="3"/>
  <c r="C182" i="3" s="1"/>
  <c r="CT71" i="3"/>
  <c r="N181" i="3" s="1"/>
  <c r="CL71" i="3"/>
  <c r="M181" i="3" s="1"/>
  <c r="CD71" i="3"/>
  <c r="L181" i="3" s="1"/>
  <c r="BV71" i="3"/>
  <c r="K181" i="3" s="1"/>
  <c r="BN71" i="3"/>
  <c r="J181" i="3" s="1"/>
  <c r="BF71" i="3"/>
  <c r="I181" i="3" s="1"/>
  <c r="AX71" i="3"/>
  <c r="H181" i="3" s="1"/>
  <c r="AP71" i="3"/>
  <c r="G181" i="3" s="1"/>
  <c r="AH71" i="3"/>
  <c r="F181" i="3" s="1"/>
  <c r="Z71" i="3"/>
  <c r="E181" i="3" s="1"/>
  <c r="R71" i="3"/>
  <c r="D181" i="3" s="1"/>
  <c r="J71" i="3"/>
  <c r="C181" i="3" s="1"/>
  <c r="CT70" i="3"/>
  <c r="N180" i="3" s="1"/>
  <c r="CL70" i="3"/>
  <c r="M180" i="3" s="1"/>
  <c r="CD70" i="3"/>
  <c r="L180" i="3" s="1"/>
  <c r="BV70" i="3"/>
  <c r="K180" i="3" s="1"/>
  <c r="BN70" i="3"/>
  <c r="J180" i="3" s="1"/>
  <c r="BF70" i="3"/>
  <c r="I180" i="3" s="1"/>
  <c r="AX70" i="3"/>
  <c r="H180" i="3" s="1"/>
  <c r="AP70" i="3"/>
  <c r="G180" i="3" s="1"/>
  <c r="AH70" i="3"/>
  <c r="F180" i="3" s="1"/>
  <c r="Z70" i="3"/>
  <c r="E180" i="3" s="1"/>
  <c r="R70" i="3"/>
  <c r="D180" i="3" s="1"/>
  <c r="J70" i="3"/>
  <c r="C180" i="3" s="1"/>
  <c r="CT69" i="3"/>
  <c r="N179" i="3" s="1"/>
  <c r="CL69" i="3"/>
  <c r="M179" i="3" s="1"/>
  <c r="CD69" i="3"/>
  <c r="L179" i="3" s="1"/>
  <c r="BV69" i="3"/>
  <c r="K179" i="3" s="1"/>
  <c r="BN69" i="3"/>
  <c r="J179" i="3" s="1"/>
  <c r="BF69" i="3"/>
  <c r="I179" i="3" s="1"/>
  <c r="AX69" i="3"/>
  <c r="H179" i="3" s="1"/>
  <c r="AP69" i="3"/>
  <c r="G179" i="3" s="1"/>
  <c r="AH69" i="3"/>
  <c r="F179" i="3" s="1"/>
  <c r="Z69" i="3"/>
  <c r="E179" i="3" s="1"/>
  <c r="R69" i="3"/>
  <c r="D179" i="3" s="1"/>
  <c r="J69" i="3"/>
  <c r="C179" i="3" s="1"/>
  <c r="CT68" i="3"/>
  <c r="N178" i="3" s="1"/>
  <c r="CL68" i="3"/>
  <c r="M178" i="3" s="1"/>
  <c r="CD68" i="3"/>
  <c r="L178" i="3" s="1"/>
  <c r="BV68" i="3"/>
  <c r="K178" i="3" s="1"/>
  <c r="BN68" i="3"/>
  <c r="J178" i="3" s="1"/>
  <c r="BF68" i="3"/>
  <c r="I178" i="3" s="1"/>
  <c r="AX68" i="3"/>
  <c r="H178" i="3" s="1"/>
  <c r="AP68" i="3"/>
  <c r="G178" i="3" s="1"/>
  <c r="AH68" i="3"/>
  <c r="F178" i="3" s="1"/>
  <c r="Z68" i="3"/>
  <c r="E178" i="3" s="1"/>
  <c r="R68" i="3"/>
  <c r="D178" i="3" s="1"/>
  <c r="J68" i="3"/>
  <c r="C178" i="3" s="1"/>
  <c r="CT67" i="3"/>
  <c r="N177" i="3" s="1"/>
  <c r="CL67" i="3"/>
  <c r="M177" i="3" s="1"/>
  <c r="CD67" i="3"/>
  <c r="L177" i="3" s="1"/>
  <c r="BV67" i="3"/>
  <c r="K177" i="3" s="1"/>
  <c r="BN67" i="3"/>
  <c r="J177" i="3" s="1"/>
  <c r="BF67" i="3"/>
  <c r="I177" i="3" s="1"/>
  <c r="AX67" i="3"/>
  <c r="H177" i="3" s="1"/>
  <c r="AP67" i="3"/>
  <c r="G177" i="3" s="1"/>
  <c r="AH67" i="3"/>
  <c r="F177" i="3" s="1"/>
  <c r="Z67" i="3"/>
  <c r="E177" i="3" s="1"/>
  <c r="R67" i="3"/>
  <c r="D177" i="3" s="1"/>
  <c r="J67" i="3"/>
  <c r="C177" i="3" s="1"/>
  <c r="CT66" i="3"/>
  <c r="N176" i="3" s="1"/>
  <c r="CL66" i="3"/>
  <c r="M176" i="3" s="1"/>
  <c r="CD66" i="3"/>
  <c r="L176" i="3" s="1"/>
  <c r="BV66" i="3"/>
  <c r="K176" i="3" s="1"/>
  <c r="BN66" i="3"/>
  <c r="J176" i="3" s="1"/>
  <c r="BF66" i="3"/>
  <c r="I176" i="3" s="1"/>
  <c r="AX66" i="3"/>
  <c r="H176" i="3" s="1"/>
  <c r="AP66" i="3"/>
  <c r="G176" i="3" s="1"/>
  <c r="AH66" i="3"/>
  <c r="F176" i="3" s="1"/>
  <c r="Z66" i="3"/>
  <c r="E176" i="3" s="1"/>
  <c r="R66" i="3"/>
  <c r="D176" i="3" s="1"/>
  <c r="J66" i="3"/>
  <c r="C176" i="3" s="1"/>
  <c r="CT65" i="3"/>
  <c r="N175" i="3" s="1"/>
  <c r="CL65" i="3"/>
  <c r="M175" i="3" s="1"/>
  <c r="CD65" i="3"/>
  <c r="L175" i="3" s="1"/>
  <c r="BV65" i="3"/>
  <c r="K175" i="3" s="1"/>
  <c r="BN65" i="3"/>
  <c r="J175" i="3" s="1"/>
  <c r="BF65" i="3"/>
  <c r="I175" i="3" s="1"/>
  <c r="AX65" i="3"/>
  <c r="H175" i="3" s="1"/>
  <c r="AP65" i="3"/>
  <c r="G175" i="3" s="1"/>
  <c r="AH65" i="3"/>
  <c r="F175" i="3" s="1"/>
  <c r="Z65" i="3"/>
  <c r="E175" i="3" s="1"/>
  <c r="R65" i="3"/>
  <c r="D175" i="3" s="1"/>
  <c r="J65" i="3"/>
  <c r="C175" i="3" s="1"/>
  <c r="CT64" i="3"/>
  <c r="N174" i="3" s="1"/>
  <c r="CL64" i="3"/>
  <c r="M174" i="3" s="1"/>
  <c r="CD64" i="3"/>
  <c r="L174" i="3" s="1"/>
  <c r="BV64" i="3"/>
  <c r="K174" i="3" s="1"/>
  <c r="BN64" i="3"/>
  <c r="J174" i="3" s="1"/>
  <c r="BF64" i="3"/>
  <c r="I174" i="3" s="1"/>
  <c r="AX64" i="3"/>
  <c r="H174" i="3" s="1"/>
  <c r="AP64" i="3"/>
  <c r="G174" i="3" s="1"/>
  <c r="AH64" i="3"/>
  <c r="F174" i="3" s="1"/>
  <c r="Z64" i="3"/>
  <c r="E174" i="3" s="1"/>
  <c r="R64" i="3"/>
  <c r="D174" i="3" s="1"/>
  <c r="J64" i="3"/>
  <c r="C174" i="3" s="1"/>
  <c r="CT63" i="3"/>
  <c r="N173" i="3" s="1"/>
  <c r="CL63" i="3"/>
  <c r="M173" i="3" s="1"/>
  <c r="CD63" i="3"/>
  <c r="L173" i="3" s="1"/>
  <c r="BV63" i="3"/>
  <c r="K173" i="3" s="1"/>
  <c r="BN63" i="3"/>
  <c r="J173" i="3" s="1"/>
  <c r="BF63" i="3"/>
  <c r="I173" i="3" s="1"/>
  <c r="AX63" i="3"/>
  <c r="H173" i="3" s="1"/>
  <c r="AP63" i="3"/>
  <c r="G173" i="3" s="1"/>
  <c r="AH63" i="3"/>
  <c r="F173" i="3" s="1"/>
  <c r="Z63" i="3"/>
  <c r="E173" i="3" s="1"/>
  <c r="R63" i="3"/>
  <c r="D173" i="3" s="1"/>
  <c r="J63" i="3"/>
  <c r="C173" i="3" s="1"/>
  <c r="CT62" i="3"/>
  <c r="N172" i="3" s="1"/>
  <c r="CL62" i="3"/>
  <c r="M172" i="3" s="1"/>
  <c r="CD62" i="3"/>
  <c r="L172" i="3" s="1"/>
  <c r="BV62" i="3"/>
  <c r="K172" i="3" s="1"/>
  <c r="BN62" i="3"/>
  <c r="J172" i="3" s="1"/>
  <c r="BF62" i="3"/>
  <c r="I172" i="3" s="1"/>
  <c r="AX62" i="3"/>
  <c r="H172" i="3" s="1"/>
  <c r="AP62" i="3"/>
  <c r="G172" i="3" s="1"/>
  <c r="AH62" i="3"/>
  <c r="F172" i="3" s="1"/>
  <c r="Z62" i="3"/>
  <c r="E172" i="3" s="1"/>
  <c r="R62" i="3"/>
  <c r="D172" i="3" s="1"/>
  <c r="J62" i="3"/>
  <c r="C172" i="3" s="1"/>
  <c r="CT61" i="3"/>
  <c r="N171" i="3" s="1"/>
  <c r="CL61" i="3"/>
  <c r="M171" i="3" s="1"/>
  <c r="CD61" i="3"/>
  <c r="L171" i="3" s="1"/>
  <c r="BV61" i="3"/>
  <c r="K171" i="3" s="1"/>
  <c r="BN61" i="3"/>
  <c r="J171" i="3" s="1"/>
  <c r="BF61" i="3"/>
  <c r="I171" i="3" s="1"/>
  <c r="AX61" i="3"/>
  <c r="H171" i="3" s="1"/>
  <c r="AP61" i="3"/>
  <c r="G171" i="3" s="1"/>
  <c r="AH61" i="3"/>
  <c r="F171" i="3" s="1"/>
  <c r="Z61" i="3"/>
  <c r="E171" i="3" s="1"/>
  <c r="R61" i="3"/>
  <c r="D171" i="3" s="1"/>
  <c r="J61" i="3"/>
  <c r="C171" i="3" s="1"/>
  <c r="CT60" i="3"/>
  <c r="N170" i="3" s="1"/>
  <c r="CL60" i="3"/>
  <c r="M170" i="3" s="1"/>
  <c r="CD60" i="3"/>
  <c r="L170" i="3" s="1"/>
  <c r="BV60" i="3"/>
  <c r="K170" i="3" s="1"/>
  <c r="BN60" i="3"/>
  <c r="J170" i="3" s="1"/>
  <c r="BF60" i="3"/>
  <c r="I170" i="3" s="1"/>
  <c r="AX60" i="3"/>
  <c r="H170" i="3" s="1"/>
  <c r="AP60" i="3"/>
  <c r="G170" i="3" s="1"/>
  <c r="AH60" i="3"/>
  <c r="F170" i="3" s="1"/>
  <c r="Z60" i="3"/>
  <c r="E170" i="3" s="1"/>
  <c r="R60" i="3"/>
  <c r="D170" i="3" s="1"/>
  <c r="J60" i="3"/>
  <c r="C170" i="3" s="1"/>
  <c r="CT59" i="3"/>
  <c r="N169" i="3" s="1"/>
  <c r="CL59" i="3"/>
  <c r="M169" i="3" s="1"/>
  <c r="CD59" i="3"/>
  <c r="L169" i="3" s="1"/>
  <c r="BV59" i="3"/>
  <c r="K169" i="3" s="1"/>
  <c r="BN59" i="3"/>
  <c r="J169" i="3" s="1"/>
  <c r="BF59" i="3"/>
  <c r="I169" i="3" s="1"/>
  <c r="AX59" i="3"/>
  <c r="H169" i="3" s="1"/>
  <c r="AP59" i="3"/>
  <c r="G169" i="3" s="1"/>
  <c r="AH59" i="3"/>
  <c r="F169" i="3" s="1"/>
  <c r="Z59" i="3"/>
  <c r="E169" i="3" s="1"/>
  <c r="R59" i="3"/>
  <c r="D169" i="3" s="1"/>
  <c r="J59" i="3"/>
  <c r="C169" i="3" s="1"/>
  <c r="CT58" i="3"/>
  <c r="N168" i="3" s="1"/>
  <c r="CL58" i="3"/>
  <c r="M168" i="3" s="1"/>
  <c r="CD58" i="3"/>
  <c r="L168" i="3" s="1"/>
  <c r="BV58" i="3"/>
  <c r="K168" i="3" s="1"/>
  <c r="BN58" i="3"/>
  <c r="J168" i="3" s="1"/>
  <c r="BF58" i="3"/>
  <c r="I168" i="3" s="1"/>
  <c r="AX58" i="3"/>
  <c r="H168" i="3" s="1"/>
  <c r="AP58" i="3"/>
  <c r="G168" i="3" s="1"/>
  <c r="AH58" i="3"/>
  <c r="F168" i="3" s="1"/>
  <c r="Z58" i="3"/>
  <c r="E168" i="3" s="1"/>
  <c r="R58" i="3"/>
  <c r="D168" i="3" s="1"/>
  <c r="J58" i="3"/>
  <c r="C168" i="3" s="1"/>
  <c r="CT57" i="3"/>
  <c r="N167" i="3" s="1"/>
  <c r="CL57" i="3"/>
  <c r="M167" i="3" s="1"/>
  <c r="CD57" i="3"/>
  <c r="L167" i="3" s="1"/>
  <c r="BV57" i="3"/>
  <c r="K167" i="3" s="1"/>
  <c r="BN57" i="3"/>
  <c r="J167" i="3" s="1"/>
  <c r="BF57" i="3"/>
  <c r="I167" i="3" s="1"/>
  <c r="AX57" i="3"/>
  <c r="H167" i="3" s="1"/>
  <c r="AP57" i="3"/>
  <c r="G167" i="3" s="1"/>
  <c r="AH57" i="3"/>
  <c r="F167" i="3" s="1"/>
  <c r="Z57" i="3"/>
  <c r="E167" i="3" s="1"/>
  <c r="R57" i="3"/>
  <c r="D167" i="3" s="1"/>
  <c r="J57" i="3"/>
  <c r="C167" i="3" s="1"/>
  <c r="CT56" i="3"/>
  <c r="N166" i="3" s="1"/>
  <c r="CL56" i="3"/>
  <c r="M166" i="3" s="1"/>
  <c r="CD56" i="3"/>
  <c r="L166" i="3" s="1"/>
  <c r="BV56" i="3"/>
  <c r="K166" i="3" s="1"/>
  <c r="BN56" i="3"/>
  <c r="J166" i="3" s="1"/>
  <c r="BF56" i="3"/>
  <c r="I166" i="3" s="1"/>
  <c r="AX56" i="3"/>
  <c r="H166" i="3" s="1"/>
  <c r="AP56" i="3"/>
  <c r="G166" i="3" s="1"/>
  <c r="AH56" i="3"/>
  <c r="F166" i="3" s="1"/>
  <c r="Z56" i="3"/>
  <c r="E166" i="3" s="1"/>
  <c r="R56" i="3"/>
  <c r="D166" i="3" s="1"/>
  <c r="J56" i="3"/>
  <c r="C166" i="3" s="1"/>
  <c r="CT55" i="3"/>
  <c r="N165" i="3" s="1"/>
  <c r="CL55" i="3"/>
  <c r="M165" i="3" s="1"/>
  <c r="CD55" i="3"/>
  <c r="L165" i="3" s="1"/>
  <c r="BV55" i="3"/>
  <c r="K165" i="3" s="1"/>
  <c r="BN55" i="3"/>
  <c r="J165" i="3" s="1"/>
  <c r="BF55" i="3"/>
  <c r="I165" i="3" s="1"/>
  <c r="AX55" i="3"/>
  <c r="H165" i="3" s="1"/>
  <c r="AP55" i="3"/>
  <c r="G165" i="3" s="1"/>
  <c r="AH55" i="3"/>
  <c r="F165" i="3" s="1"/>
  <c r="Z55" i="3"/>
  <c r="E165" i="3" s="1"/>
  <c r="R55" i="3"/>
  <c r="D165" i="3" s="1"/>
  <c r="J55" i="3"/>
  <c r="C165" i="3" s="1"/>
  <c r="CT54" i="3"/>
  <c r="N164" i="3" s="1"/>
  <c r="CL54" i="3"/>
  <c r="M164" i="3" s="1"/>
  <c r="CD54" i="3"/>
  <c r="L164" i="3" s="1"/>
  <c r="BV54" i="3"/>
  <c r="K164" i="3" s="1"/>
  <c r="BN54" i="3"/>
  <c r="J164" i="3" s="1"/>
  <c r="BF54" i="3"/>
  <c r="I164" i="3" s="1"/>
  <c r="AX54" i="3"/>
  <c r="H164" i="3" s="1"/>
  <c r="AP54" i="3"/>
  <c r="G164" i="3" s="1"/>
  <c r="AH54" i="3"/>
  <c r="F164" i="3" s="1"/>
  <c r="Z54" i="3"/>
  <c r="E164" i="3" s="1"/>
  <c r="R54" i="3"/>
  <c r="D164" i="3" s="1"/>
  <c r="J54" i="3"/>
  <c r="C164" i="3" s="1"/>
  <c r="CT53" i="3"/>
  <c r="N163" i="3" s="1"/>
  <c r="CL53" i="3"/>
  <c r="M163" i="3" s="1"/>
  <c r="CD53" i="3"/>
  <c r="L163" i="3" s="1"/>
  <c r="BV53" i="3"/>
  <c r="K163" i="3" s="1"/>
  <c r="BN53" i="3"/>
  <c r="J163" i="3" s="1"/>
  <c r="BF53" i="3"/>
  <c r="I163" i="3" s="1"/>
  <c r="AX53" i="3"/>
  <c r="H163" i="3" s="1"/>
  <c r="AP53" i="3"/>
  <c r="G163" i="3" s="1"/>
  <c r="AH53" i="3"/>
  <c r="F163" i="3" s="1"/>
  <c r="Z53" i="3"/>
  <c r="E163" i="3" s="1"/>
  <c r="R53" i="3"/>
  <c r="D163" i="3" s="1"/>
  <c r="J53" i="3"/>
  <c r="C163" i="3" s="1"/>
  <c r="CT52" i="3"/>
  <c r="N162" i="3" s="1"/>
  <c r="CL52" i="3"/>
  <c r="M162" i="3" s="1"/>
  <c r="CD52" i="3"/>
  <c r="L162" i="3" s="1"/>
  <c r="BV52" i="3"/>
  <c r="K162" i="3" s="1"/>
  <c r="BN52" i="3"/>
  <c r="J162" i="3" s="1"/>
  <c r="BF52" i="3"/>
  <c r="I162" i="3" s="1"/>
  <c r="AX52" i="3"/>
  <c r="H162" i="3" s="1"/>
  <c r="AP52" i="3"/>
  <c r="G162" i="3" s="1"/>
  <c r="AH52" i="3"/>
  <c r="F162" i="3" s="1"/>
  <c r="Z52" i="3"/>
  <c r="E162" i="3" s="1"/>
  <c r="R52" i="3"/>
  <c r="D162" i="3" s="1"/>
  <c r="J52" i="3"/>
  <c r="C162" i="3" s="1"/>
  <c r="CT51" i="3"/>
  <c r="N161" i="3" s="1"/>
  <c r="CL51" i="3"/>
  <c r="M161" i="3" s="1"/>
  <c r="CD51" i="3"/>
  <c r="L161" i="3" s="1"/>
  <c r="BV51" i="3"/>
  <c r="K161" i="3" s="1"/>
  <c r="BN51" i="3"/>
  <c r="J161" i="3" s="1"/>
  <c r="BF51" i="3"/>
  <c r="I161" i="3" s="1"/>
  <c r="AX51" i="3"/>
  <c r="H161" i="3" s="1"/>
  <c r="AP51" i="3"/>
  <c r="G161" i="3" s="1"/>
  <c r="AH51" i="3"/>
  <c r="F161" i="3" s="1"/>
  <c r="Z51" i="3"/>
  <c r="E161" i="3" s="1"/>
  <c r="R51" i="3"/>
  <c r="D161" i="3" s="1"/>
  <c r="J51" i="3"/>
  <c r="C161" i="3" s="1"/>
  <c r="CT50" i="3"/>
  <c r="N160" i="3" s="1"/>
  <c r="CL50" i="3"/>
  <c r="M160" i="3" s="1"/>
  <c r="CD50" i="3"/>
  <c r="L160" i="3" s="1"/>
  <c r="BV50" i="3"/>
  <c r="K160" i="3" s="1"/>
  <c r="BN50" i="3"/>
  <c r="J160" i="3" s="1"/>
  <c r="BF50" i="3"/>
  <c r="I160" i="3" s="1"/>
  <c r="AX50" i="3"/>
  <c r="H160" i="3" s="1"/>
  <c r="AP50" i="3"/>
  <c r="G160" i="3" s="1"/>
  <c r="AH50" i="3"/>
  <c r="F160" i="3" s="1"/>
  <c r="Z50" i="3"/>
  <c r="E160" i="3" s="1"/>
  <c r="R50" i="3"/>
  <c r="D160" i="3" s="1"/>
  <c r="J50" i="3"/>
  <c r="C160" i="3" s="1"/>
  <c r="CT49" i="3"/>
  <c r="N159" i="3" s="1"/>
  <c r="CL49" i="3"/>
  <c r="M159" i="3" s="1"/>
  <c r="CD49" i="3"/>
  <c r="L159" i="3" s="1"/>
  <c r="BV49" i="3"/>
  <c r="K159" i="3" s="1"/>
  <c r="BN49" i="3"/>
  <c r="J159" i="3" s="1"/>
  <c r="BF49" i="3"/>
  <c r="I159" i="3" s="1"/>
  <c r="AX49" i="3"/>
  <c r="H159" i="3" s="1"/>
  <c r="AP49" i="3"/>
  <c r="G159" i="3" s="1"/>
  <c r="AH49" i="3"/>
  <c r="F159" i="3" s="1"/>
  <c r="Z49" i="3"/>
  <c r="E159" i="3" s="1"/>
  <c r="R49" i="3"/>
  <c r="D159" i="3" s="1"/>
  <c r="J49" i="3"/>
  <c r="C159" i="3" s="1"/>
  <c r="CT48" i="3"/>
  <c r="N158" i="3" s="1"/>
  <c r="CL48" i="3"/>
  <c r="M158" i="3" s="1"/>
  <c r="CD48" i="3"/>
  <c r="L158" i="3" s="1"/>
  <c r="BV48" i="3"/>
  <c r="K158" i="3" s="1"/>
  <c r="BN48" i="3"/>
  <c r="J158" i="3" s="1"/>
  <c r="BF48" i="3"/>
  <c r="I158" i="3" s="1"/>
  <c r="AX48" i="3"/>
  <c r="H158" i="3" s="1"/>
  <c r="AP48" i="3"/>
  <c r="G158" i="3" s="1"/>
  <c r="AH48" i="3"/>
  <c r="F158" i="3" s="1"/>
  <c r="Z48" i="3"/>
  <c r="E158" i="3" s="1"/>
  <c r="R48" i="3"/>
  <c r="D158" i="3" s="1"/>
  <c r="J48" i="3"/>
  <c r="C158" i="3" s="1"/>
  <c r="CT47" i="3"/>
  <c r="N157" i="3" s="1"/>
  <c r="CL47" i="3"/>
  <c r="M157" i="3" s="1"/>
  <c r="CD47" i="3"/>
  <c r="L157" i="3" s="1"/>
  <c r="BV47" i="3"/>
  <c r="K157" i="3" s="1"/>
  <c r="BN47" i="3"/>
  <c r="J157" i="3" s="1"/>
  <c r="BF47" i="3"/>
  <c r="I157" i="3" s="1"/>
  <c r="AX47" i="3"/>
  <c r="H157" i="3" s="1"/>
  <c r="AP47" i="3"/>
  <c r="G157" i="3" s="1"/>
  <c r="AH47" i="3"/>
  <c r="F157" i="3" s="1"/>
  <c r="Z47" i="3"/>
  <c r="E157" i="3" s="1"/>
  <c r="R47" i="3"/>
  <c r="D157" i="3" s="1"/>
  <c r="J47" i="3"/>
  <c r="C157" i="3" s="1"/>
  <c r="CT46" i="3"/>
  <c r="N156" i="3" s="1"/>
  <c r="CL46" i="3"/>
  <c r="M156" i="3" s="1"/>
  <c r="CD46" i="3"/>
  <c r="L156" i="3" s="1"/>
  <c r="BV46" i="3"/>
  <c r="K156" i="3" s="1"/>
  <c r="BN46" i="3"/>
  <c r="J156" i="3" s="1"/>
  <c r="BF46" i="3"/>
  <c r="I156" i="3" s="1"/>
  <c r="AX46" i="3"/>
  <c r="H156" i="3" s="1"/>
  <c r="AP46" i="3"/>
  <c r="G156" i="3" s="1"/>
  <c r="AH46" i="3"/>
  <c r="F156" i="3" s="1"/>
  <c r="Z46" i="3"/>
  <c r="E156" i="3" s="1"/>
  <c r="R46" i="3"/>
  <c r="D156" i="3" s="1"/>
  <c r="J46" i="3"/>
  <c r="C156" i="3" s="1"/>
  <c r="CT45" i="3"/>
  <c r="N155" i="3" s="1"/>
  <c r="CL45" i="3"/>
  <c r="M155" i="3" s="1"/>
  <c r="CD45" i="3"/>
  <c r="L155" i="3" s="1"/>
  <c r="BV45" i="3"/>
  <c r="K155" i="3" s="1"/>
  <c r="BN45" i="3"/>
  <c r="J155" i="3" s="1"/>
  <c r="BF45" i="3"/>
  <c r="I155" i="3" s="1"/>
  <c r="AX45" i="3"/>
  <c r="H155" i="3" s="1"/>
  <c r="AP45" i="3"/>
  <c r="G155" i="3" s="1"/>
  <c r="AH45" i="3"/>
  <c r="F155" i="3" s="1"/>
  <c r="Z45" i="3"/>
  <c r="E155" i="3" s="1"/>
  <c r="R45" i="3"/>
  <c r="D155" i="3" s="1"/>
  <c r="J45" i="3"/>
  <c r="C155" i="3" s="1"/>
  <c r="CT44" i="3"/>
  <c r="N154" i="3" s="1"/>
  <c r="CL44" i="3"/>
  <c r="M154" i="3" s="1"/>
  <c r="CD44" i="3"/>
  <c r="L154" i="3" s="1"/>
  <c r="BV44" i="3"/>
  <c r="K154" i="3" s="1"/>
  <c r="BN44" i="3"/>
  <c r="J154" i="3" s="1"/>
  <c r="BF44" i="3"/>
  <c r="I154" i="3" s="1"/>
  <c r="AX44" i="3"/>
  <c r="H154" i="3" s="1"/>
  <c r="AP44" i="3"/>
  <c r="G154" i="3" s="1"/>
  <c r="AH44" i="3"/>
  <c r="F154" i="3" s="1"/>
  <c r="Z44" i="3"/>
  <c r="E154" i="3" s="1"/>
  <c r="R44" i="3"/>
  <c r="D154" i="3" s="1"/>
  <c r="J44" i="3"/>
  <c r="C154" i="3" s="1"/>
  <c r="CT43" i="3"/>
  <c r="N153" i="3" s="1"/>
  <c r="CL43" i="3"/>
  <c r="M153" i="3" s="1"/>
  <c r="CD43" i="3"/>
  <c r="L153" i="3" s="1"/>
  <c r="BV43" i="3"/>
  <c r="K153" i="3" s="1"/>
  <c r="BN43" i="3"/>
  <c r="J153" i="3" s="1"/>
  <c r="BF43" i="3"/>
  <c r="I153" i="3" s="1"/>
  <c r="AX43" i="3"/>
  <c r="H153" i="3" s="1"/>
  <c r="AP43" i="3"/>
  <c r="G153" i="3" s="1"/>
  <c r="AH43" i="3"/>
  <c r="F153" i="3" s="1"/>
  <c r="Z43" i="3"/>
  <c r="E153" i="3" s="1"/>
  <c r="R43" i="3"/>
  <c r="D153" i="3" s="1"/>
  <c r="J43" i="3"/>
  <c r="C153" i="3" s="1"/>
  <c r="CT42" i="3"/>
  <c r="N152" i="3" s="1"/>
  <c r="CL42" i="3"/>
  <c r="M152" i="3" s="1"/>
  <c r="CD42" i="3"/>
  <c r="L152" i="3" s="1"/>
  <c r="BV42" i="3"/>
  <c r="K152" i="3" s="1"/>
  <c r="BN42" i="3"/>
  <c r="J152" i="3" s="1"/>
  <c r="BF42" i="3"/>
  <c r="I152" i="3" s="1"/>
  <c r="AX42" i="3"/>
  <c r="H152" i="3" s="1"/>
  <c r="AP42" i="3"/>
  <c r="G152" i="3" s="1"/>
  <c r="AH42" i="3"/>
  <c r="F152" i="3" s="1"/>
  <c r="Z42" i="3"/>
  <c r="E152" i="3" s="1"/>
  <c r="R42" i="3"/>
  <c r="D152" i="3" s="1"/>
  <c r="J42" i="3"/>
  <c r="C152" i="3" s="1"/>
  <c r="CT41" i="3"/>
  <c r="N151" i="3" s="1"/>
  <c r="CL41" i="3"/>
  <c r="M151" i="3" s="1"/>
  <c r="CD41" i="3"/>
  <c r="L151" i="3" s="1"/>
  <c r="BV41" i="3"/>
  <c r="K151" i="3" s="1"/>
  <c r="BN41" i="3"/>
  <c r="J151" i="3" s="1"/>
  <c r="BF41" i="3"/>
  <c r="I151" i="3" s="1"/>
  <c r="AX41" i="3"/>
  <c r="H151" i="3" s="1"/>
  <c r="AP41" i="3"/>
  <c r="G151" i="3" s="1"/>
  <c r="AH41" i="3"/>
  <c r="F151" i="3" s="1"/>
  <c r="Z41" i="3"/>
  <c r="E151" i="3" s="1"/>
  <c r="R41" i="3"/>
  <c r="D151" i="3" s="1"/>
  <c r="J41" i="3"/>
  <c r="C151" i="3" s="1"/>
  <c r="CT40" i="3"/>
  <c r="N150" i="3" s="1"/>
  <c r="CL40" i="3"/>
  <c r="M150" i="3" s="1"/>
  <c r="CD40" i="3"/>
  <c r="L150" i="3" s="1"/>
  <c r="BV40" i="3"/>
  <c r="K150" i="3" s="1"/>
  <c r="BN40" i="3"/>
  <c r="J150" i="3" s="1"/>
  <c r="BF40" i="3"/>
  <c r="I150" i="3" s="1"/>
  <c r="AX40" i="3"/>
  <c r="H150" i="3" s="1"/>
  <c r="AP40" i="3"/>
  <c r="G150" i="3" s="1"/>
  <c r="AH40" i="3"/>
  <c r="F150" i="3" s="1"/>
  <c r="Z40" i="3"/>
  <c r="E150" i="3" s="1"/>
  <c r="R40" i="3"/>
  <c r="D150" i="3" s="1"/>
  <c r="J40" i="3"/>
  <c r="C150" i="3" s="1"/>
  <c r="CT39" i="3"/>
  <c r="N149" i="3" s="1"/>
  <c r="CL39" i="3"/>
  <c r="M149" i="3" s="1"/>
  <c r="CD39" i="3"/>
  <c r="L149" i="3" s="1"/>
  <c r="BV39" i="3"/>
  <c r="K149" i="3" s="1"/>
  <c r="BN39" i="3"/>
  <c r="J149" i="3" s="1"/>
  <c r="BF39" i="3"/>
  <c r="I149" i="3" s="1"/>
  <c r="AX39" i="3"/>
  <c r="H149" i="3" s="1"/>
  <c r="AP39" i="3"/>
  <c r="G149" i="3" s="1"/>
  <c r="AH39" i="3"/>
  <c r="F149" i="3" s="1"/>
  <c r="Z39" i="3"/>
  <c r="E149" i="3" s="1"/>
  <c r="R39" i="3"/>
  <c r="D149" i="3" s="1"/>
  <c r="J39" i="3"/>
  <c r="C149" i="3" s="1"/>
  <c r="CT38" i="3"/>
  <c r="N148" i="3" s="1"/>
  <c r="CL38" i="3"/>
  <c r="M148" i="3" s="1"/>
  <c r="CD38" i="3"/>
  <c r="L148" i="3" s="1"/>
  <c r="BV38" i="3"/>
  <c r="K148" i="3" s="1"/>
  <c r="BN38" i="3"/>
  <c r="J148" i="3" s="1"/>
  <c r="BF38" i="3"/>
  <c r="I148" i="3" s="1"/>
  <c r="AX38" i="3"/>
  <c r="H148" i="3" s="1"/>
  <c r="AP38" i="3"/>
  <c r="G148" i="3" s="1"/>
  <c r="AH38" i="3"/>
  <c r="F148" i="3" s="1"/>
  <c r="Z38" i="3"/>
  <c r="E148" i="3" s="1"/>
  <c r="R38" i="3"/>
  <c r="D148" i="3" s="1"/>
  <c r="J38" i="3"/>
  <c r="C148" i="3" s="1"/>
  <c r="CT37" i="3"/>
  <c r="N147" i="3" s="1"/>
  <c r="CL37" i="3"/>
  <c r="M147" i="3" s="1"/>
  <c r="CD37" i="3"/>
  <c r="L147" i="3" s="1"/>
  <c r="BV37" i="3"/>
  <c r="K147" i="3" s="1"/>
  <c r="BN37" i="3"/>
  <c r="J147" i="3" s="1"/>
  <c r="BF37" i="3"/>
  <c r="I147" i="3" s="1"/>
  <c r="AX37" i="3"/>
  <c r="H147" i="3" s="1"/>
  <c r="AP37" i="3"/>
  <c r="G147" i="3" s="1"/>
  <c r="AH37" i="3"/>
  <c r="F147" i="3" s="1"/>
  <c r="Z37" i="3"/>
  <c r="E147" i="3" s="1"/>
  <c r="R37" i="3"/>
  <c r="D147" i="3" s="1"/>
  <c r="J37" i="3"/>
  <c r="C147" i="3" s="1"/>
  <c r="CT36" i="3"/>
  <c r="N146" i="3" s="1"/>
  <c r="CL36" i="3"/>
  <c r="M146" i="3" s="1"/>
  <c r="CD36" i="3"/>
  <c r="L146" i="3" s="1"/>
  <c r="BV36" i="3"/>
  <c r="K146" i="3" s="1"/>
  <c r="BN36" i="3"/>
  <c r="J146" i="3" s="1"/>
  <c r="BF36" i="3"/>
  <c r="I146" i="3" s="1"/>
  <c r="AX36" i="3"/>
  <c r="H146" i="3" s="1"/>
  <c r="AP36" i="3"/>
  <c r="G146" i="3" s="1"/>
  <c r="AH36" i="3"/>
  <c r="F146" i="3" s="1"/>
  <c r="Z36" i="3"/>
  <c r="E146" i="3" s="1"/>
  <c r="R36" i="3"/>
  <c r="D146" i="3" s="1"/>
  <c r="J36" i="3"/>
  <c r="C146" i="3" s="1"/>
  <c r="CT35" i="3"/>
  <c r="N145" i="3" s="1"/>
  <c r="CL35" i="3"/>
  <c r="M145" i="3" s="1"/>
  <c r="CD35" i="3"/>
  <c r="L145" i="3" s="1"/>
  <c r="BV35" i="3"/>
  <c r="K145" i="3" s="1"/>
  <c r="BN35" i="3"/>
  <c r="J145" i="3" s="1"/>
  <c r="BF35" i="3"/>
  <c r="I145" i="3" s="1"/>
  <c r="AX35" i="3"/>
  <c r="H145" i="3" s="1"/>
  <c r="AP35" i="3"/>
  <c r="G145" i="3" s="1"/>
  <c r="AH35" i="3"/>
  <c r="F145" i="3" s="1"/>
  <c r="Z35" i="3"/>
  <c r="E145" i="3" s="1"/>
  <c r="R35" i="3"/>
  <c r="D145" i="3" s="1"/>
  <c r="J35" i="3"/>
  <c r="C145" i="3" s="1"/>
  <c r="CT34" i="3"/>
  <c r="N144" i="3" s="1"/>
  <c r="CL34" i="3"/>
  <c r="M144" i="3" s="1"/>
  <c r="CD34" i="3"/>
  <c r="L144" i="3" s="1"/>
  <c r="BV34" i="3"/>
  <c r="K144" i="3" s="1"/>
  <c r="BN34" i="3"/>
  <c r="J144" i="3" s="1"/>
  <c r="BF34" i="3"/>
  <c r="I144" i="3" s="1"/>
  <c r="AX34" i="3"/>
  <c r="H144" i="3" s="1"/>
  <c r="AP34" i="3"/>
  <c r="G144" i="3" s="1"/>
  <c r="AH34" i="3"/>
  <c r="F144" i="3" s="1"/>
  <c r="Z34" i="3"/>
  <c r="E144" i="3" s="1"/>
  <c r="R34" i="3"/>
  <c r="D144" i="3" s="1"/>
  <c r="J34" i="3"/>
  <c r="C144" i="3" s="1"/>
  <c r="CT33" i="3"/>
  <c r="N143" i="3" s="1"/>
  <c r="CL33" i="3"/>
  <c r="M143" i="3" s="1"/>
  <c r="CD33" i="3"/>
  <c r="L143" i="3" s="1"/>
  <c r="BV33" i="3"/>
  <c r="K143" i="3" s="1"/>
  <c r="BN33" i="3"/>
  <c r="J143" i="3" s="1"/>
  <c r="BF33" i="3"/>
  <c r="I143" i="3" s="1"/>
  <c r="AX33" i="3"/>
  <c r="H143" i="3" s="1"/>
  <c r="AP33" i="3"/>
  <c r="G143" i="3" s="1"/>
  <c r="AH33" i="3"/>
  <c r="F143" i="3" s="1"/>
  <c r="Z33" i="3"/>
  <c r="E143" i="3" s="1"/>
  <c r="R33" i="3"/>
  <c r="D143" i="3" s="1"/>
  <c r="J33" i="3"/>
  <c r="C143" i="3" s="1"/>
  <c r="CT32" i="3"/>
  <c r="N142" i="3" s="1"/>
  <c r="CL32" i="3"/>
  <c r="M142" i="3" s="1"/>
  <c r="CD32" i="3"/>
  <c r="L142" i="3" s="1"/>
  <c r="BV32" i="3"/>
  <c r="K142" i="3" s="1"/>
  <c r="BN32" i="3"/>
  <c r="J142" i="3" s="1"/>
  <c r="BF32" i="3"/>
  <c r="I142" i="3" s="1"/>
  <c r="AX32" i="3"/>
  <c r="H142" i="3" s="1"/>
  <c r="AP32" i="3"/>
  <c r="G142" i="3" s="1"/>
  <c r="AH32" i="3"/>
  <c r="F142" i="3" s="1"/>
  <c r="Z32" i="3"/>
  <c r="E142" i="3" s="1"/>
  <c r="R32" i="3"/>
  <c r="D142" i="3" s="1"/>
  <c r="J32" i="3"/>
  <c r="C142" i="3" s="1"/>
  <c r="CT31" i="3"/>
  <c r="N141" i="3" s="1"/>
  <c r="CL31" i="3"/>
  <c r="M141" i="3" s="1"/>
  <c r="CD31" i="3"/>
  <c r="L141" i="3" s="1"/>
  <c r="BV31" i="3"/>
  <c r="K141" i="3" s="1"/>
  <c r="BN31" i="3"/>
  <c r="J141" i="3" s="1"/>
  <c r="BF31" i="3"/>
  <c r="I141" i="3" s="1"/>
  <c r="AX31" i="3"/>
  <c r="H141" i="3" s="1"/>
  <c r="AP31" i="3"/>
  <c r="G141" i="3" s="1"/>
  <c r="AH31" i="3"/>
  <c r="F141" i="3" s="1"/>
  <c r="Z31" i="3"/>
  <c r="E141" i="3" s="1"/>
  <c r="R31" i="3"/>
  <c r="D141" i="3" s="1"/>
  <c r="J31" i="3"/>
  <c r="C141" i="3" s="1"/>
  <c r="CT30" i="3"/>
  <c r="N140" i="3" s="1"/>
  <c r="CL30" i="3"/>
  <c r="M140" i="3" s="1"/>
  <c r="CD30" i="3"/>
  <c r="L140" i="3" s="1"/>
  <c r="BV30" i="3"/>
  <c r="K140" i="3" s="1"/>
  <c r="BN30" i="3"/>
  <c r="J140" i="3" s="1"/>
  <c r="BF30" i="3"/>
  <c r="I140" i="3" s="1"/>
  <c r="AX30" i="3"/>
  <c r="H140" i="3" s="1"/>
  <c r="AP30" i="3"/>
  <c r="G140" i="3" s="1"/>
  <c r="AH30" i="3"/>
  <c r="F140" i="3" s="1"/>
  <c r="Z30" i="3"/>
  <c r="E140" i="3" s="1"/>
  <c r="R30" i="3"/>
  <c r="D140" i="3" s="1"/>
  <c r="J30" i="3"/>
  <c r="C140" i="3" s="1"/>
  <c r="CT29" i="3"/>
  <c r="N139" i="3" s="1"/>
  <c r="CL29" i="3"/>
  <c r="M139" i="3" s="1"/>
  <c r="CD29" i="3"/>
  <c r="L139" i="3" s="1"/>
  <c r="BV29" i="3"/>
  <c r="K139" i="3" s="1"/>
  <c r="BN29" i="3"/>
  <c r="J139" i="3" s="1"/>
  <c r="BF29" i="3"/>
  <c r="I139" i="3" s="1"/>
  <c r="AX29" i="3"/>
  <c r="H139" i="3" s="1"/>
  <c r="AP29" i="3"/>
  <c r="G139" i="3" s="1"/>
  <c r="AH29" i="3"/>
  <c r="F139" i="3" s="1"/>
  <c r="Z29" i="3"/>
  <c r="E139" i="3" s="1"/>
  <c r="R29" i="3"/>
  <c r="D139" i="3" s="1"/>
  <c r="J29" i="3"/>
  <c r="C139" i="3" s="1"/>
  <c r="CT28" i="3"/>
  <c r="N138" i="3" s="1"/>
  <c r="CL28" i="3"/>
  <c r="M138" i="3" s="1"/>
  <c r="CD28" i="3"/>
  <c r="L138" i="3" s="1"/>
  <c r="BV28" i="3"/>
  <c r="K138" i="3" s="1"/>
  <c r="BN28" i="3"/>
  <c r="J138" i="3" s="1"/>
  <c r="BF28" i="3"/>
  <c r="I138" i="3" s="1"/>
  <c r="AX28" i="3"/>
  <c r="H138" i="3" s="1"/>
  <c r="AP28" i="3"/>
  <c r="G138" i="3" s="1"/>
  <c r="AH28" i="3"/>
  <c r="F138" i="3" s="1"/>
  <c r="Z28" i="3"/>
  <c r="E138" i="3" s="1"/>
  <c r="R28" i="3"/>
  <c r="D138" i="3" s="1"/>
  <c r="J28" i="3"/>
  <c r="C138" i="3" s="1"/>
  <c r="CT27" i="3"/>
  <c r="N137" i="3" s="1"/>
  <c r="CL27" i="3"/>
  <c r="M137" i="3" s="1"/>
  <c r="CD27" i="3"/>
  <c r="L137" i="3" s="1"/>
  <c r="BV27" i="3"/>
  <c r="K137" i="3" s="1"/>
  <c r="BN27" i="3"/>
  <c r="J137" i="3" s="1"/>
  <c r="BF27" i="3"/>
  <c r="I137" i="3" s="1"/>
  <c r="AX27" i="3"/>
  <c r="H137" i="3" s="1"/>
  <c r="AP27" i="3"/>
  <c r="G137" i="3" s="1"/>
  <c r="AH27" i="3"/>
  <c r="F137" i="3" s="1"/>
  <c r="Z27" i="3"/>
  <c r="E137" i="3" s="1"/>
  <c r="R27" i="3"/>
  <c r="D137" i="3" s="1"/>
  <c r="J27" i="3"/>
  <c r="C137" i="3" s="1"/>
  <c r="CT26" i="3"/>
  <c r="N136" i="3" s="1"/>
  <c r="CL26" i="3"/>
  <c r="M136" i="3" s="1"/>
  <c r="CD26" i="3"/>
  <c r="L136" i="3" s="1"/>
  <c r="BV26" i="3"/>
  <c r="K136" i="3" s="1"/>
  <c r="BN26" i="3"/>
  <c r="J136" i="3" s="1"/>
  <c r="BF26" i="3"/>
  <c r="I136" i="3" s="1"/>
  <c r="AX26" i="3"/>
  <c r="H136" i="3" s="1"/>
  <c r="AP26" i="3"/>
  <c r="G136" i="3" s="1"/>
  <c r="AH26" i="3"/>
  <c r="F136" i="3" s="1"/>
  <c r="Z26" i="3"/>
  <c r="E136" i="3" s="1"/>
  <c r="R26" i="3"/>
  <c r="D136" i="3" s="1"/>
  <c r="J26" i="3"/>
  <c r="C136" i="3" s="1"/>
  <c r="CT25" i="3"/>
  <c r="N135" i="3" s="1"/>
  <c r="CL25" i="3"/>
  <c r="M135" i="3" s="1"/>
  <c r="CD25" i="3"/>
  <c r="L135" i="3" s="1"/>
  <c r="BV25" i="3"/>
  <c r="K135" i="3" s="1"/>
  <c r="BN25" i="3"/>
  <c r="J135" i="3" s="1"/>
  <c r="BF25" i="3"/>
  <c r="I135" i="3" s="1"/>
  <c r="AX25" i="3"/>
  <c r="H135" i="3" s="1"/>
  <c r="AP25" i="3"/>
  <c r="G135" i="3" s="1"/>
  <c r="AH25" i="3"/>
  <c r="F135" i="3" s="1"/>
  <c r="Z25" i="3"/>
  <c r="E135" i="3" s="1"/>
  <c r="R25" i="3"/>
  <c r="D135" i="3" s="1"/>
  <c r="J25" i="3"/>
  <c r="C135" i="3" s="1"/>
  <c r="CT24" i="3"/>
  <c r="N134" i="3" s="1"/>
  <c r="CL24" i="3"/>
  <c r="M134" i="3" s="1"/>
  <c r="CD24" i="3"/>
  <c r="L134" i="3" s="1"/>
  <c r="BV24" i="3"/>
  <c r="K134" i="3" s="1"/>
  <c r="BN24" i="3"/>
  <c r="J134" i="3" s="1"/>
  <c r="BF24" i="3"/>
  <c r="I134" i="3" s="1"/>
  <c r="AX24" i="3"/>
  <c r="H134" i="3" s="1"/>
  <c r="AP24" i="3"/>
  <c r="G134" i="3" s="1"/>
  <c r="AH24" i="3"/>
  <c r="F134" i="3" s="1"/>
  <c r="Z24" i="3"/>
  <c r="E134" i="3" s="1"/>
  <c r="R24" i="3"/>
  <c r="D134" i="3" s="1"/>
  <c r="J24" i="3"/>
  <c r="C134" i="3" s="1"/>
  <c r="CT23" i="3"/>
  <c r="N133" i="3" s="1"/>
  <c r="CL23" i="3"/>
  <c r="M133" i="3" s="1"/>
  <c r="CD23" i="3"/>
  <c r="L133" i="3" s="1"/>
  <c r="BV23" i="3"/>
  <c r="K133" i="3" s="1"/>
  <c r="BN23" i="3"/>
  <c r="J133" i="3" s="1"/>
  <c r="BF23" i="3"/>
  <c r="I133" i="3" s="1"/>
  <c r="AX23" i="3"/>
  <c r="H133" i="3" s="1"/>
  <c r="AP23" i="3"/>
  <c r="G133" i="3" s="1"/>
  <c r="AH23" i="3"/>
  <c r="F133" i="3" s="1"/>
  <c r="Z23" i="3"/>
  <c r="E133" i="3" s="1"/>
  <c r="R23" i="3"/>
  <c r="D133" i="3" s="1"/>
  <c r="J23" i="3"/>
  <c r="C133" i="3" s="1"/>
  <c r="CT22" i="3"/>
  <c r="N132" i="3" s="1"/>
  <c r="CL22" i="3"/>
  <c r="M132" i="3" s="1"/>
  <c r="CD22" i="3"/>
  <c r="L132" i="3" s="1"/>
  <c r="BV22" i="3"/>
  <c r="K132" i="3" s="1"/>
  <c r="BN22" i="3"/>
  <c r="J132" i="3" s="1"/>
  <c r="BF22" i="3"/>
  <c r="I132" i="3" s="1"/>
  <c r="AX22" i="3"/>
  <c r="H132" i="3" s="1"/>
  <c r="AP22" i="3"/>
  <c r="G132" i="3" s="1"/>
  <c r="AH22" i="3"/>
  <c r="F132" i="3" s="1"/>
  <c r="Z22" i="3"/>
  <c r="E132" i="3" s="1"/>
  <c r="R22" i="3"/>
  <c r="D132" i="3" s="1"/>
  <c r="J22" i="3"/>
  <c r="C132" i="3" s="1"/>
  <c r="CT21" i="3"/>
  <c r="N131" i="3" s="1"/>
  <c r="CL21" i="3"/>
  <c r="M131" i="3" s="1"/>
  <c r="CD21" i="3"/>
  <c r="L131" i="3" s="1"/>
  <c r="BV21" i="3"/>
  <c r="K131" i="3" s="1"/>
  <c r="BN21" i="3"/>
  <c r="J131" i="3" s="1"/>
  <c r="BF21" i="3"/>
  <c r="I131" i="3" s="1"/>
  <c r="AX21" i="3"/>
  <c r="H131" i="3" s="1"/>
  <c r="AP21" i="3"/>
  <c r="G131" i="3" s="1"/>
  <c r="AH21" i="3"/>
  <c r="F131" i="3" s="1"/>
  <c r="Z21" i="3"/>
  <c r="E131" i="3" s="1"/>
  <c r="R21" i="3"/>
  <c r="D131" i="3" s="1"/>
  <c r="J21" i="3"/>
  <c r="C131" i="3" s="1"/>
  <c r="CT20" i="3"/>
  <c r="N130" i="3" s="1"/>
  <c r="CL20" i="3"/>
  <c r="M130" i="3" s="1"/>
  <c r="CD20" i="3"/>
  <c r="L130" i="3" s="1"/>
  <c r="BV20" i="3"/>
  <c r="K130" i="3" s="1"/>
  <c r="BN20" i="3"/>
  <c r="J130" i="3" s="1"/>
  <c r="BF20" i="3"/>
  <c r="I130" i="3" s="1"/>
  <c r="AX20" i="3"/>
  <c r="H130" i="3" s="1"/>
  <c r="AP20" i="3"/>
  <c r="G130" i="3" s="1"/>
  <c r="AH20" i="3"/>
  <c r="F130" i="3" s="1"/>
  <c r="Z20" i="3"/>
  <c r="E130" i="3" s="1"/>
  <c r="R20" i="3"/>
  <c r="D130" i="3" s="1"/>
  <c r="J20" i="3"/>
  <c r="C130" i="3" s="1"/>
  <c r="CT19" i="3"/>
  <c r="N129" i="3" s="1"/>
  <c r="CL19" i="3"/>
  <c r="M129" i="3" s="1"/>
  <c r="CD19" i="3"/>
  <c r="L129" i="3" s="1"/>
  <c r="BV19" i="3"/>
  <c r="K129" i="3" s="1"/>
  <c r="BN19" i="3"/>
  <c r="J129" i="3" s="1"/>
  <c r="BF19" i="3"/>
  <c r="I129" i="3" s="1"/>
  <c r="AX19" i="3"/>
  <c r="H129" i="3" s="1"/>
  <c r="AP19" i="3"/>
  <c r="G129" i="3" s="1"/>
  <c r="AH19" i="3"/>
  <c r="F129" i="3" s="1"/>
  <c r="Z19" i="3"/>
  <c r="E129" i="3" s="1"/>
  <c r="R19" i="3"/>
  <c r="D129" i="3" s="1"/>
  <c r="J19" i="3"/>
  <c r="C129" i="3" s="1"/>
  <c r="CT18" i="3"/>
  <c r="N128" i="3" s="1"/>
  <c r="CL18" i="3"/>
  <c r="M128" i="3" s="1"/>
  <c r="CD18" i="3"/>
  <c r="L128" i="3" s="1"/>
  <c r="BV18" i="3"/>
  <c r="K128" i="3" s="1"/>
  <c r="BN18" i="3"/>
  <c r="J128" i="3" s="1"/>
  <c r="BF18" i="3"/>
  <c r="I128" i="3" s="1"/>
  <c r="AX18" i="3"/>
  <c r="H128" i="3" s="1"/>
  <c r="AP18" i="3"/>
  <c r="G128" i="3" s="1"/>
  <c r="AH18" i="3"/>
  <c r="F128" i="3" s="1"/>
  <c r="Z18" i="3"/>
  <c r="E128" i="3" s="1"/>
  <c r="R18" i="3"/>
  <c r="D128" i="3" s="1"/>
  <c r="J18" i="3"/>
  <c r="C128" i="3" s="1"/>
  <c r="CT17" i="3"/>
  <c r="N127" i="3" s="1"/>
  <c r="CL17" i="3"/>
  <c r="M127" i="3" s="1"/>
  <c r="CD17" i="3"/>
  <c r="L127" i="3" s="1"/>
  <c r="BV17" i="3"/>
  <c r="K127" i="3" s="1"/>
  <c r="BN17" i="3"/>
  <c r="J127" i="3" s="1"/>
  <c r="BF17" i="3"/>
  <c r="I127" i="3" s="1"/>
  <c r="AX17" i="3"/>
  <c r="H127" i="3" s="1"/>
  <c r="AP17" i="3"/>
  <c r="G127" i="3" s="1"/>
  <c r="AH17" i="3"/>
  <c r="F127" i="3" s="1"/>
  <c r="Z17" i="3"/>
  <c r="E127" i="3" s="1"/>
  <c r="R17" i="3"/>
  <c r="D127" i="3" s="1"/>
  <c r="J17" i="3"/>
  <c r="C127" i="3" s="1"/>
  <c r="CT16" i="3"/>
  <c r="N126" i="3" s="1"/>
  <c r="CL16" i="3"/>
  <c r="M126" i="3" s="1"/>
  <c r="CD16" i="3"/>
  <c r="L126" i="3" s="1"/>
  <c r="BV16" i="3"/>
  <c r="K126" i="3" s="1"/>
  <c r="BN16" i="3"/>
  <c r="J126" i="3" s="1"/>
  <c r="BF16" i="3"/>
  <c r="I126" i="3" s="1"/>
  <c r="AX16" i="3"/>
  <c r="H126" i="3" s="1"/>
  <c r="AP16" i="3"/>
  <c r="G126" i="3" s="1"/>
  <c r="AH16" i="3"/>
  <c r="F126" i="3" s="1"/>
  <c r="Z16" i="3"/>
  <c r="E126" i="3" s="1"/>
  <c r="R16" i="3"/>
  <c r="D126" i="3" s="1"/>
  <c r="J16" i="3"/>
  <c r="C126" i="3" s="1"/>
  <c r="CT15" i="3"/>
  <c r="N125" i="3" s="1"/>
  <c r="CL15" i="3"/>
  <c r="M125" i="3" s="1"/>
  <c r="CD15" i="3"/>
  <c r="L125" i="3" s="1"/>
  <c r="BV15" i="3"/>
  <c r="K125" i="3" s="1"/>
  <c r="BN15" i="3"/>
  <c r="J125" i="3" s="1"/>
  <c r="BF15" i="3"/>
  <c r="I125" i="3" s="1"/>
  <c r="AX15" i="3"/>
  <c r="H125" i="3" s="1"/>
  <c r="AP15" i="3"/>
  <c r="G125" i="3" s="1"/>
  <c r="AH15" i="3"/>
  <c r="F125" i="3" s="1"/>
  <c r="Z15" i="3"/>
  <c r="E125" i="3" s="1"/>
  <c r="R15" i="3"/>
  <c r="D125" i="3" s="1"/>
  <c r="J15" i="3"/>
  <c r="C125" i="3" s="1"/>
  <c r="CT14" i="3"/>
  <c r="N124" i="3" s="1"/>
  <c r="CL14" i="3"/>
  <c r="M124" i="3" s="1"/>
  <c r="CD14" i="3"/>
  <c r="L124" i="3" s="1"/>
  <c r="BV14" i="3"/>
  <c r="K124" i="3" s="1"/>
  <c r="BN14" i="3"/>
  <c r="J124" i="3" s="1"/>
  <c r="BF14" i="3"/>
  <c r="I124" i="3" s="1"/>
  <c r="AX14" i="3"/>
  <c r="H124" i="3" s="1"/>
  <c r="AP14" i="3"/>
  <c r="G124" i="3" s="1"/>
  <c r="AH14" i="3"/>
  <c r="F124" i="3" s="1"/>
  <c r="Z14" i="3"/>
  <c r="E124" i="3" s="1"/>
  <c r="R14" i="3"/>
  <c r="D124" i="3" s="1"/>
  <c r="J14" i="3"/>
  <c r="C124" i="3" s="1"/>
  <c r="CT13" i="3"/>
  <c r="N123" i="3" s="1"/>
  <c r="CL13" i="3"/>
  <c r="M123" i="3" s="1"/>
  <c r="CD13" i="3"/>
  <c r="L123" i="3" s="1"/>
  <c r="BV13" i="3"/>
  <c r="K123" i="3" s="1"/>
  <c r="BN13" i="3"/>
  <c r="J123" i="3" s="1"/>
  <c r="BF13" i="3"/>
  <c r="I123" i="3" s="1"/>
  <c r="AX13" i="3"/>
  <c r="H123" i="3" s="1"/>
  <c r="AP13" i="3"/>
  <c r="G123" i="3" s="1"/>
  <c r="AH13" i="3"/>
  <c r="F123" i="3" s="1"/>
  <c r="Z13" i="3"/>
  <c r="E123" i="3" s="1"/>
  <c r="R13" i="3"/>
  <c r="D123" i="3" s="1"/>
  <c r="J13" i="3"/>
  <c r="C123" i="3" s="1"/>
  <c r="CT12" i="3"/>
  <c r="N122" i="3" s="1"/>
  <c r="CL12" i="3"/>
  <c r="M122" i="3" s="1"/>
  <c r="CD12" i="3"/>
  <c r="L122" i="3" s="1"/>
  <c r="BV12" i="3"/>
  <c r="K122" i="3" s="1"/>
  <c r="BN12" i="3"/>
  <c r="J122" i="3" s="1"/>
  <c r="BF12" i="3"/>
  <c r="I122" i="3" s="1"/>
  <c r="AX12" i="3"/>
  <c r="H122" i="3" s="1"/>
  <c r="AP12" i="3"/>
  <c r="G122" i="3" s="1"/>
  <c r="AH12" i="3"/>
  <c r="F122" i="3" s="1"/>
  <c r="Z12" i="3"/>
  <c r="E122" i="3" s="1"/>
  <c r="R12" i="3"/>
  <c r="D122" i="3" s="1"/>
  <c r="J12" i="3"/>
  <c r="C122" i="3" s="1"/>
  <c r="CT11" i="3"/>
  <c r="N121" i="3" s="1"/>
  <c r="CL11" i="3"/>
  <c r="M121" i="3" s="1"/>
  <c r="CD11" i="3"/>
  <c r="L121" i="3" s="1"/>
  <c r="BV11" i="3"/>
  <c r="K121" i="3" s="1"/>
  <c r="BN11" i="3"/>
  <c r="J121" i="3" s="1"/>
  <c r="BF11" i="3"/>
  <c r="I121" i="3" s="1"/>
  <c r="AX11" i="3"/>
  <c r="H121" i="3" s="1"/>
  <c r="AP11" i="3"/>
  <c r="G121" i="3" s="1"/>
  <c r="AH11" i="3"/>
  <c r="F121" i="3" s="1"/>
  <c r="Z11" i="3"/>
  <c r="E121" i="3" s="1"/>
  <c r="R11" i="3"/>
  <c r="D121" i="3" s="1"/>
  <c r="J11" i="3"/>
  <c r="C121" i="3" s="1"/>
  <c r="CT10" i="3"/>
  <c r="N120" i="3" s="1"/>
  <c r="CL10" i="3"/>
  <c r="M120" i="3" s="1"/>
  <c r="CD10" i="3"/>
  <c r="L120" i="3" s="1"/>
  <c r="BV10" i="3"/>
  <c r="K120" i="3" s="1"/>
  <c r="BN10" i="3"/>
  <c r="J120" i="3" s="1"/>
  <c r="BF10" i="3"/>
  <c r="I120" i="3" s="1"/>
  <c r="AX10" i="3"/>
  <c r="H120" i="3" s="1"/>
  <c r="AP10" i="3"/>
  <c r="G120" i="3" s="1"/>
  <c r="AH10" i="3"/>
  <c r="F120" i="3" s="1"/>
  <c r="Z10" i="3"/>
  <c r="E120" i="3" s="1"/>
  <c r="R10" i="3"/>
  <c r="D120" i="3" s="1"/>
  <c r="J10" i="3"/>
  <c r="C120" i="3" s="1"/>
  <c r="CT9" i="3"/>
  <c r="CL9" i="3"/>
  <c r="M119" i="3" s="1"/>
  <c r="CD9" i="3"/>
  <c r="BV9" i="3"/>
  <c r="BN9" i="3"/>
  <c r="BF9" i="3"/>
  <c r="AX9" i="3"/>
  <c r="AP9" i="3"/>
  <c r="G119" i="3" s="1"/>
  <c r="AH9" i="3"/>
  <c r="F119" i="3" s="1"/>
  <c r="Z9" i="3"/>
  <c r="E119" i="3" s="1"/>
  <c r="R9" i="3"/>
  <c r="J9" i="3"/>
  <c r="L148" i="1"/>
  <c r="M148" i="1" s="1"/>
  <c r="M149" i="1" s="1"/>
  <c r="AR59" i="1"/>
  <c r="AQ59" i="1"/>
  <c r="AN59" i="1"/>
  <c r="AK59" i="1"/>
  <c r="AJ59" i="1"/>
  <c r="AQ58" i="1"/>
  <c r="AN58" i="1"/>
  <c r="AM58" i="1"/>
  <c r="AK58" i="1"/>
  <c r="AL57" i="1"/>
  <c r="AR56" i="1"/>
  <c r="AQ56" i="1"/>
  <c r="AP56" i="1"/>
  <c r="AO56" i="1"/>
  <c r="AR55" i="1"/>
  <c r="AQ55" i="1"/>
  <c r="AL55" i="1"/>
  <c r="AM53" i="1"/>
  <c r="AL53" i="1"/>
  <c r="AB53" i="1"/>
  <c r="AR32" i="1"/>
  <c r="AQ32" i="1"/>
  <c r="AP32" i="1"/>
  <c r="AO32" i="1"/>
  <c r="AN32" i="1"/>
  <c r="AM32" i="1"/>
  <c r="AL32" i="1"/>
  <c r="AK32" i="1"/>
  <c r="AJ32" i="1"/>
  <c r="AI32" i="1"/>
  <c r="AC32" i="1"/>
  <c r="AB32" i="1"/>
  <c r="AA32" i="1"/>
  <c r="Z32" i="1"/>
  <c r="Y32" i="1"/>
  <c r="X32" i="1"/>
  <c r="W32" i="1"/>
  <c r="V32" i="1"/>
  <c r="U32" i="1"/>
  <c r="T32" i="1"/>
  <c r="O32" i="1"/>
  <c r="N32" i="1"/>
  <c r="M32" i="1"/>
  <c r="L32" i="1"/>
  <c r="K32" i="1"/>
  <c r="J32" i="1"/>
  <c r="I32" i="1"/>
  <c r="H32" i="1"/>
  <c r="G32" i="1"/>
  <c r="F32" i="1"/>
  <c r="E32" i="1"/>
  <c r="D32" i="1"/>
  <c r="AR30" i="1"/>
  <c r="AQ30" i="1"/>
  <c r="AP30" i="1"/>
  <c r="AO30" i="1"/>
  <c r="AN30" i="1"/>
  <c r="AM30" i="1"/>
  <c r="AL30" i="1"/>
  <c r="AK30" i="1"/>
  <c r="AJ30" i="1"/>
  <c r="AI30" i="1"/>
  <c r="AC30" i="1"/>
  <c r="AB30" i="1"/>
  <c r="AA30" i="1"/>
  <c r="Z30" i="1"/>
  <c r="Y30" i="1"/>
  <c r="X30" i="1"/>
  <c r="W30" i="1"/>
  <c r="V30" i="1"/>
  <c r="U30" i="1"/>
  <c r="T30" i="1"/>
  <c r="O30" i="1"/>
  <c r="N30" i="1"/>
  <c r="M30" i="1"/>
  <c r="L30" i="1"/>
  <c r="K30" i="1"/>
  <c r="J30" i="1"/>
  <c r="I30" i="1"/>
  <c r="H30" i="1"/>
  <c r="G30" i="1"/>
  <c r="F30" i="1"/>
  <c r="E30" i="1"/>
  <c r="D30" i="1"/>
  <c r="AR29" i="1"/>
  <c r="AQ29" i="1"/>
  <c r="AP29" i="1"/>
  <c r="AO29" i="1"/>
  <c r="AN29" i="1"/>
  <c r="AM29" i="1"/>
  <c r="AL29" i="1"/>
  <c r="AK29" i="1"/>
  <c r="AJ29" i="1"/>
  <c r="AI29" i="1"/>
  <c r="AC29" i="1"/>
  <c r="AB29" i="1"/>
  <c r="AA29" i="1"/>
  <c r="Z29" i="1"/>
  <c r="Y29" i="1"/>
  <c r="X29" i="1"/>
  <c r="W29" i="1"/>
  <c r="V29" i="1"/>
  <c r="U29" i="1"/>
  <c r="T29" i="1"/>
  <c r="O29" i="1"/>
  <c r="N29" i="1"/>
  <c r="M29" i="1"/>
  <c r="L29" i="1"/>
  <c r="K29" i="1"/>
  <c r="J29" i="1"/>
  <c r="I29" i="1"/>
  <c r="H29" i="1"/>
  <c r="G29" i="1"/>
  <c r="F29" i="1"/>
  <c r="E29" i="1"/>
  <c r="D29" i="1"/>
  <c r="AR27" i="1"/>
  <c r="AQ27" i="1"/>
  <c r="AP27" i="1"/>
  <c r="AO27" i="1"/>
  <c r="AN27" i="1"/>
  <c r="AM27" i="1"/>
  <c r="AL27" i="1"/>
  <c r="AK27" i="1"/>
  <c r="AJ27" i="1"/>
  <c r="AI27" i="1"/>
  <c r="AC27" i="1"/>
  <c r="AB27" i="1"/>
  <c r="AA27" i="1"/>
  <c r="Z27" i="1"/>
  <c r="Y27" i="1"/>
  <c r="X27" i="1"/>
  <c r="W27" i="1"/>
  <c r="V27" i="1"/>
  <c r="U27" i="1"/>
  <c r="T27" i="1"/>
  <c r="O27" i="1"/>
  <c r="N27" i="1"/>
  <c r="M27" i="1"/>
  <c r="L27" i="1"/>
  <c r="K27" i="1"/>
  <c r="J27" i="1"/>
  <c r="I27" i="1"/>
  <c r="H27" i="1"/>
  <c r="G27" i="1"/>
  <c r="F27" i="1"/>
  <c r="E27" i="1"/>
  <c r="D27" i="1"/>
  <c r="AR26" i="1"/>
  <c r="AQ26" i="1"/>
  <c r="AP26" i="1"/>
  <c r="AO26" i="1"/>
  <c r="AN26" i="1"/>
  <c r="AM26" i="1"/>
  <c r="AL26" i="1"/>
  <c r="AK26" i="1"/>
  <c r="AJ26" i="1"/>
  <c r="AI26" i="1"/>
  <c r="AC26" i="1"/>
  <c r="AB26" i="1"/>
  <c r="AA26" i="1"/>
  <c r="Z26" i="1"/>
  <c r="Y26" i="1"/>
  <c r="X26" i="1"/>
  <c r="W26" i="1"/>
  <c r="V26" i="1"/>
  <c r="U26" i="1"/>
  <c r="T26" i="1"/>
  <c r="O26" i="1"/>
  <c r="N26" i="1"/>
  <c r="M26" i="1"/>
  <c r="L26" i="1"/>
  <c r="K26" i="1"/>
  <c r="J26" i="1"/>
  <c r="I26" i="1"/>
  <c r="H26" i="1"/>
  <c r="G26" i="1"/>
  <c r="F26" i="1"/>
  <c r="E26" i="1"/>
  <c r="D26" i="1"/>
  <c r="AR24" i="1"/>
  <c r="AQ24" i="1"/>
  <c r="AP24" i="1"/>
  <c r="AO24" i="1"/>
  <c r="AN24" i="1"/>
  <c r="AM24" i="1"/>
  <c r="AL24" i="1"/>
  <c r="AK24" i="1"/>
  <c r="AJ24" i="1"/>
  <c r="AI24" i="1"/>
  <c r="AC24" i="1"/>
  <c r="AB24" i="1"/>
  <c r="AA24" i="1"/>
  <c r="Z24" i="1"/>
  <c r="Y24" i="1"/>
  <c r="X24" i="1"/>
  <c r="W24" i="1"/>
  <c r="V24" i="1"/>
  <c r="U24" i="1"/>
  <c r="T24" i="1"/>
  <c r="O24" i="1"/>
  <c r="N24" i="1"/>
  <c r="M24" i="1"/>
  <c r="L24" i="1"/>
  <c r="K24" i="1"/>
  <c r="J24" i="1"/>
  <c r="I24" i="1"/>
  <c r="H24" i="1"/>
  <c r="G24" i="1"/>
  <c r="F24" i="1"/>
  <c r="E24" i="1"/>
  <c r="D24" i="1"/>
  <c r="AR23" i="1"/>
  <c r="AQ23" i="1"/>
  <c r="AP23" i="1"/>
  <c r="AO23" i="1"/>
  <c r="AN23" i="1"/>
  <c r="AM23" i="1"/>
  <c r="AL23" i="1"/>
  <c r="AK23" i="1"/>
  <c r="AJ23" i="1"/>
  <c r="AI23" i="1"/>
  <c r="AC23" i="1"/>
  <c r="AB23" i="1"/>
  <c r="AA23" i="1"/>
  <c r="Z23" i="1"/>
  <c r="Y23" i="1"/>
  <c r="X23" i="1"/>
  <c r="W23" i="1"/>
  <c r="V23" i="1"/>
  <c r="U23" i="1"/>
  <c r="T23" i="1"/>
  <c r="O23" i="1"/>
  <c r="N23" i="1"/>
  <c r="M23" i="1"/>
  <c r="L23" i="1"/>
  <c r="K23" i="1"/>
  <c r="J23" i="1"/>
  <c r="I23" i="1"/>
  <c r="H23" i="1"/>
  <c r="G23" i="1"/>
  <c r="F23" i="1"/>
  <c r="E23" i="1"/>
  <c r="D23" i="1"/>
  <c r="AR21" i="1"/>
  <c r="AQ21" i="1"/>
  <c r="AP21" i="1"/>
  <c r="AO21" i="1"/>
  <c r="AN21" i="1"/>
  <c r="AM21" i="1"/>
  <c r="AL21" i="1"/>
  <c r="AK21" i="1"/>
  <c r="AJ21" i="1"/>
  <c r="AI21" i="1"/>
  <c r="AC21" i="1"/>
  <c r="AB21" i="1"/>
  <c r="AA21" i="1"/>
  <c r="Z21" i="1"/>
  <c r="Y21" i="1"/>
  <c r="X21" i="1"/>
  <c r="W21" i="1"/>
  <c r="V21" i="1"/>
  <c r="U21" i="1"/>
  <c r="T21" i="1"/>
  <c r="O21" i="1"/>
  <c r="N21" i="1"/>
  <c r="M21" i="1"/>
  <c r="L21" i="1"/>
  <c r="K21" i="1"/>
  <c r="J21" i="1"/>
  <c r="I21" i="1"/>
  <c r="H21" i="1"/>
  <c r="G21" i="1"/>
  <c r="F21" i="1"/>
  <c r="E21" i="1"/>
  <c r="D21" i="1"/>
  <c r="AR20" i="1"/>
  <c r="AQ20" i="1"/>
  <c r="AP20" i="1"/>
  <c r="AO20" i="1"/>
  <c r="AN20" i="1"/>
  <c r="AM20" i="1"/>
  <c r="AL20" i="1"/>
  <c r="AK20" i="1"/>
  <c r="AJ20" i="1"/>
  <c r="AI20" i="1"/>
  <c r="AC20" i="1"/>
  <c r="AB20" i="1"/>
  <c r="AA20" i="1"/>
  <c r="Z20" i="1"/>
  <c r="Y20" i="1"/>
  <c r="X20" i="1"/>
  <c r="W20" i="1"/>
  <c r="V20" i="1"/>
  <c r="U20" i="1"/>
  <c r="T20" i="1"/>
  <c r="O20" i="1"/>
  <c r="N20" i="1"/>
  <c r="M20" i="1"/>
  <c r="L20" i="1"/>
  <c r="K20" i="1"/>
  <c r="J20" i="1"/>
  <c r="I20" i="1"/>
  <c r="H20" i="1"/>
  <c r="G20" i="1"/>
  <c r="F20" i="1"/>
  <c r="E20" i="1"/>
  <c r="D20" i="1"/>
  <c r="AR18" i="1"/>
  <c r="AQ18" i="1"/>
  <c r="AP18" i="1"/>
  <c r="AO18" i="1"/>
  <c r="AN18" i="1"/>
  <c r="AM18" i="1"/>
  <c r="AL18" i="1"/>
  <c r="AK18" i="1"/>
  <c r="AJ18" i="1"/>
  <c r="AI18" i="1"/>
  <c r="AC18" i="1"/>
  <c r="AB18" i="1"/>
  <c r="AA18" i="1"/>
  <c r="Z18" i="1"/>
  <c r="Y18" i="1"/>
  <c r="X18" i="1"/>
  <c r="W18" i="1"/>
  <c r="V18" i="1"/>
  <c r="U18" i="1"/>
  <c r="T18" i="1"/>
  <c r="O18" i="1"/>
  <c r="N18" i="1"/>
  <c r="M18" i="1"/>
  <c r="L18" i="1"/>
  <c r="K18" i="1"/>
  <c r="J18" i="1"/>
  <c r="I18" i="1"/>
  <c r="H18" i="1"/>
  <c r="G18" i="1"/>
  <c r="F18" i="1"/>
  <c r="E18" i="1"/>
  <c r="D18" i="1"/>
  <c r="AR17" i="1"/>
  <c r="AQ17" i="1"/>
  <c r="AP17" i="1"/>
  <c r="AO17" i="1"/>
  <c r="AN17" i="1"/>
  <c r="AM17" i="1"/>
  <c r="AL17" i="1"/>
  <c r="AK17" i="1"/>
  <c r="AJ17" i="1"/>
  <c r="AI17" i="1"/>
  <c r="AC17" i="1"/>
  <c r="AB17" i="1"/>
  <c r="AA17" i="1"/>
  <c r="Z17" i="1"/>
  <c r="Y17" i="1"/>
  <c r="X17" i="1"/>
  <c r="W17" i="1"/>
  <c r="V17" i="1"/>
  <c r="U17" i="1"/>
  <c r="T17" i="1"/>
  <c r="O17" i="1"/>
  <c r="N17" i="1"/>
  <c r="M17" i="1"/>
  <c r="L17" i="1"/>
  <c r="K17" i="1"/>
  <c r="J17" i="1"/>
  <c r="I17" i="1"/>
  <c r="H17" i="1"/>
  <c r="G17" i="1"/>
  <c r="F17" i="1"/>
  <c r="E17" i="1"/>
  <c r="D17" i="1"/>
  <c r="AR15" i="1"/>
  <c r="AQ15" i="1"/>
  <c r="AP15" i="1"/>
  <c r="AO15" i="1"/>
  <c r="AN15" i="1"/>
  <c r="AM15" i="1"/>
  <c r="AL15" i="1"/>
  <c r="AK15" i="1"/>
  <c r="AJ15" i="1"/>
  <c r="AI15" i="1"/>
  <c r="AC15" i="1"/>
  <c r="AB15" i="1"/>
  <c r="AA15" i="1"/>
  <c r="Z15" i="1"/>
  <c r="Y15" i="1"/>
  <c r="X15" i="1"/>
  <c r="W15" i="1"/>
  <c r="V15" i="1"/>
  <c r="U15" i="1"/>
  <c r="T15" i="1"/>
  <c r="O15" i="1"/>
  <c r="N15" i="1"/>
  <c r="M15" i="1"/>
  <c r="L15" i="1"/>
  <c r="K15" i="1"/>
  <c r="J15" i="1"/>
  <c r="I15" i="1"/>
  <c r="H15" i="1"/>
  <c r="G15" i="1"/>
  <c r="F15" i="1"/>
  <c r="E15" i="1"/>
  <c r="D15" i="1"/>
  <c r="AR14" i="1"/>
  <c r="AQ14" i="1"/>
  <c r="AP14" i="1"/>
  <c r="AO14" i="1"/>
  <c r="AN14" i="1"/>
  <c r="AM14" i="1"/>
  <c r="AL14" i="1"/>
  <c r="AK14" i="1"/>
  <c r="AJ14" i="1"/>
  <c r="AI14" i="1"/>
  <c r="AC14" i="1"/>
  <c r="AB14" i="1"/>
  <c r="AA14" i="1"/>
  <c r="Z14" i="1"/>
  <c r="Y14" i="1"/>
  <c r="X14" i="1"/>
  <c r="W14" i="1"/>
  <c r="V14" i="1"/>
  <c r="U14" i="1"/>
  <c r="T14" i="1"/>
  <c r="O14" i="1"/>
  <c r="N14" i="1"/>
  <c r="M14" i="1"/>
  <c r="L14" i="1"/>
  <c r="K14" i="1"/>
  <c r="J14" i="1"/>
  <c r="I14" i="1"/>
  <c r="H14" i="1"/>
  <c r="G14" i="1"/>
  <c r="F14" i="1"/>
  <c r="E14" i="1"/>
  <c r="D14" i="1"/>
  <c r="AR12" i="1"/>
  <c r="AQ12" i="1"/>
  <c r="AP12" i="1"/>
  <c r="AO12" i="1"/>
  <c r="AN12" i="1"/>
  <c r="AM12" i="1"/>
  <c r="AL12" i="1"/>
  <c r="AK12" i="1"/>
  <c r="AJ12" i="1"/>
  <c r="AI12" i="1"/>
  <c r="AC12" i="1"/>
  <c r="AB12" i="1"/>
  <c r="AA12" i="1"/>
  <c r="Z12" i="1"/>
  <c r="Y12" i="1"/>
  <c r="X12" i="1"/>
  <c r="W12" i="1"/>
  <c r="V12" i="1"/>
  <c r="U12" i="1"/>
  <c r="T12" i="1"/>
  <c r="O12" i="1"/>
  <c r="N12" i="1"/>
  <c r="M12" i="1"/>
  <c r="L12" i="1"/>
  <c r="K12" i="1"/>
  <c r="J12" i="1"/>
  <c r="I12" i="1"/>
  <c r="H12" i="1"/>
  <c r="G12" i="1"/>
  <c r="F12" i="1"/>
  <c r="E12" i="1"/>
  <c r="D12" i="1"/>
  <c r="BV113" i="3" l="1"/>
  <c r="K60" i="1" s="1"/>
  <c r="BF112" i="5"/>
  <c r="Z60" i="1" s="1"/>
  <c r="BF113" i="3"/>
  <c r="I60" i="1" s="1"/>
  <c r="AQ114" i="3"/>
  <c r="L106" i="1" s="1"/>
  <c r="M146" i="5"/>
  <c r="M182" i="5"/>
  <c r="O160" i="3"/>
  <c r="O178" i="3"/>
  <c r="AQ113" i="3"/>
  <c r="H61" i="1" s="1"/>
  <c r="M147" i="5"/>
  <c r="M188" i="7"/>
  <c r="M196" i="7"/>
  <c r="S112" i="7"/>
  <c r="AK61" i="1" s="1"/>
  <c r="M216" i="5"/>
  <c r="I118" i="5"/>
  <c r="K112" i="7"/>
  <c r="AJ61" i="1" s="1"/>
  <c r="BW112" i="7"/>
  <c r="AR61" i="1" s="1"/>
  <c r="M220" i="5"/>
  <c r="O180" i="3"/>
  <c r="O125" i="3"/>
  <c r="O129" i="3"/>
  <c r="O133" i="3"/>
  <c r="O135" i="3"/>
  <c r="O139" i="3"/>
  <c r="O141" i="3"/>
  <c r="O149" i="3"/>
  <c r="O151" i="3"/>
  <c r="O161" i="3"/>
  <c r="O165" i="3"/>
  <c r="O177" i="3"/>
  <c r="O181" i="3"/>
  <c r="O183" i="3"/>
  <c r="O185" i="3"/>
  <c r="O187" i="3"/>
  <c r="O193" i="3"/>
  <c r="O195" i="3"/>
  <c r="O197" i="3"/>
  <c r="O199" i="3"/>
  <c r="O219" i="3"/>
  <c r="CL113" i="3"/>
  <c r="M60" i="1" s="1"/>
  <c r="AA113" i="5"/>
  <c r="X106" i="1" s="1"/>
  <c r="M121" i="5"/>
  <c r="M121" i="7"/>
  <c r="M125" i="7"/>
  <c r="M129" i="7"/>
  <c r="M133" i="7"/>
  <c r="M137" i="7"/>
  <c r="M141" i="7"/>
  <c r="M145" i="7"/>
  <c r="M149" i="7"/>
  <c r="M153" i="7"/>
  <c r="M157" i="7"/>
  <c r="M161" i="7"/>
  <c r="M165" i="7"/>
  <c r="M169" i="7"/>
  <c r="M173" i="7"/>
  <c r="M177" i="7"/>
  <c r="M181" i="7"/>
  <c r="M185" i="7"/>
  <c r="M189" i="7"/>
  <c r="M197" i="7"/>
  <c r="C112" i="7"/>
  <c r="AI61" i="1" s="1"/>
  <c r="BO112" i="7"/>
  <c r="AQ61" i="1" s="1"/>
  <c r="O188" i="3"/>
  <c r="M124" i="5"/>
  <c r="M134" i="5"/>
  <c r="M136" i="5"/>
  <c r="M140" i="5"/>
  <c r="M148" i="5"/>
  <c r="M152" i="5"/>
  <c r="M156" i="5"/>
  <c r="M172" i="5"/>
  <c r="M176" i="5"/>
  <c r="M180" i="5"/>
  <c r="M184" i="5"/>
  <c r="M192" i="5"/>
  <c r="M196" i="5"/>
  <c r="M200" i="5"/>
  <c r="M202" i="5"/>
  <c r="M204" i="5"/>
  <c r="M206" i="5"/>
  <c r="M208" i="5"/>
  <c r="M213" i="5"/>
  <c r="C112" i="5"/>
  <c r="T61" i="1" s="1"/>
  <c r="S112" i="5"/>
  <c r="V61" i="1" s="1"/>
  <c r="AI112" i="5"/>
  <c r="X61" i="1" s="1"/>
  <c r="AY112" i="5"/>
  <c r="Z61" i="1" s="1"/>
  <c r="BG112" i="5"/>
  <c r="AA61" i="1" s="1"/>
  <c r="BG112" i="7"/>
  <c r="AP61" i="1" s="1"/>
  <c r="O128" i="3"/>
  <c r="O144" i="3"/>
  <c r="O121" i="3"/>
  <c r="O123" i="3"/>
  <c r="O145" i="3"/>
  <c r="O155" i="3"/>
  <c r="O157" i="3"/>
  <c r="O167" i="3"/>
  <c r="O171" i="3"/>
  <c r="O173" i="3"/>
  <c r="O179" i="3"/>
  <c r="O189" i="3"/>
  <c r="O191" i="3"/>
  <c r="M190" i="7"/>
  <c r="M198" i="7"/>
  <c r="M210" i="7"/>
  <c r="M214" i="7"/>
  <c r="AY112" i="7"/>
  <c r="AO61" i="1" s="1"/>
  <c r="O124" i="3"/>
  <c r="O140" i="3"/>
  <c r="O156" i="3"/>
  <c r="O172" i="3"/>
  <c r="O186" i="3"/>
  <c r="O194" i="3"/>
  <c r="M173" i="5"/>
  <c r="M177" i="5"/>
  <c r="AQ112" i="7"/>
  <c r="AN61" i="1" s="1"/>
  <c r="BW113" i="3"/>
  <c r="L61" i="1" s="1"/>
  <c r="I119" i="3"/>
  <c r="BN112" i="5"/>
  <c r="AA60" i="1" s="1"/>
  <c r="M133" i="5"/>
  <c r="M197" i="5"/>
  <c r="M217" i="5"/>
  <c r="M203" i="7"/>
  <c r="M211" i="7"/>
  <c r="AI112" i="7"/>
  <c r="AM61" i="1" s="1"/>
  <c r="CE113" i="3"/>
  <c r="M61" i="1" s="1"/>
  <c r="AA112" i="7"/>
  <c r="AL61" i="1" s="1"/>
  <c r="O120" i="3"/>
  <c r="O182" i="3"/>
  <c r="H53" i="1"/>
  <c r="J119" i="3"/>
  <c r="BN113" i="3"/>
  <c r="J60" i="1" s="1"/>
  <c r="J113" i="3"/>
  <c r="C60" i="1" s="1"/>
  <c r="C119" i="3"/>
  <c r="C114" i="3"/>
  <c r="G106" i="1" s="1"/>
  <c r="O127" i="3"/>
  <c r="O131" i="3"/>
  <c r="O137" i="3"/>
  <c r="O143" i="3"/>
  <c r="O147" i="3"/>
  <c r="O153" i="3"/>
  <c r="O159" i="3"/>
  <c r="O163" i="3"/>
  <c r="O169" i="3"/>
  <c r="O175" i="3"/>
  <c r="O201" i="3"/>
  <c r="O203" i="3"/>
  <c r="O205" i="3"/>
  <c r="O207" i="3"/>
  <c r="O209" i="3"/>
  <c r="O211" i="3"/>
  <c r="O213" i="3"/>
  <c r="O215" i="3"/>
  <c r="O217" i="3"/>
  <c r="O221" i="3"/>
  <c r="C113" i="3"/>
  <c r="C61" i="1" s="1"/>
  <c r="CM113" i="3"/>
  <c r="N61" i="1" s="1"/>
  <c r="AH113" i="3"/>
  <c r="F60" i="1" s="1"/>
  <c r="K119" i="3"/>
  <c r="S114" i="3"/>
  <c r="I106" i="1" s="1"/>
  <c r="S113" i="3"/>
  <c r="E61" i="1" s="1"/>
  <c r="AI113" i="3"/>
  <c r="G61" i="1" s="1"/>
  <c r="AY114" i="3"/>
  <c r="M106" i="1" s="1"/>
  <c r="O210" i="3"/>
  <c r="M137" i="5"/>
  <c r="CT113" i="3"/>
  <c r="N60" i="1" s="1"/>
  <c r="BG114" i="3"/>
  <c r="N106" i="1" s="1"/>
  <c r="M125" i="5"/>
  <c r="M181" i="5"/>
  <c r="M194" i="5"/>
  <c r="AP113" i="3"/>
  <c r="G60" i="1" s="1"/>
  <c r="AI114" i="3"/>
  <c r="K106" i="1" s="1"/>
  <c r="O122" i="3"/>
  <c r="O126" i="3"/>
  <c r="O130" i="3"/>
  <c r="O132" i="3"/>
  <c r="O134" i="3"/>
  <c r="O136" i="3"/>
  <c r="O138" i="3"/>
  <c r="O142" i="3"/>
  <c r="O146" i="3"/>
  <c r="O148" i="3"/>
  <c r="O150" i="3"/>
  <c r="O152" i="3"/>
  <c r="O154" i="3"/>
  <c r="O158" i="3"/>
  <c r="O162" i="3"/>
  <c r="O164" i="3"/>
  <c r="O166" i="3"/>
  <c r="O168" i="3"/>
  <c r="O170" i="3"/>
  <c r="O174" i="3"/>
  <c r="O176" i="3"/>
  <c r="O184" i="3"/>
  <c r="O190" i="3"/>
  <c r="O192" i="3"/>
  <c r="O196" i="3"/>
  <c r="O198" i="3"/>
  <c r="O200" i="3"/>
  <c r="O202" i="3"/>
  <c r="O204" i="3"/>
  <c r="O206" i="3"/>
  <c r="O208" i="3"/>
  <c r="O212" i="3"/>
  <c r="O218" i="3"/>
  <c r="K113" i="3"/>
  <c r="D61" i="1" s="1"/>
  <c r="AA113" i="3"/>
  <c r="F61" i="1" s="1"/>
  <c r="AY113" i="3"/>
  <c r="I61" i="1" s="1"/>
  <c r="BO114" i="3"/>
  <c r="O106" i="1" s="1"/>
  <c r="M122" i="5"/>
  <c r="M126" i="5"/>
  <c r="M130" i="5"/>
  <c r="H119" i="3"/>
  <c r="AX113" i="3"/>
  <c r="H60" i="1" s="1"/>
  <c r="BG113" i="3"/>
  <c r="J61" i="1" s="1"/>
  <c r="J53" i="1"/>
  <c r="O214" i="3"/>
  <c r="O216" i="3"/>
  <c r="O220" i="3"/>
  <c r="BO113" i="3"/>
  <c r="K61" i="1" s="1"/>
  <c r="G118" i="5"/>
  <c r="AP112" i="5"/>
  <c r="X60" i="1" s="1"/>
  <c r="AI113" i="5"/>
  <c r="Y106" i="1" s="1"/>
  <c r="K120" i="5"/>
  <c r="M120" i="5" s="1"/>
  <c r="BO113" i="5"/>
  <c r="AC106" i="1" s="1"/>
  <c r="M132" i="5"/>
  <c r="M144" i="5"/>
  <c r="M160" i="5"/>
  <c r="M164" i="5"/>
  <c r="M168" i="5"/>
  <c r="M188" i="5"/>
  <c r="M211" i="5"/>
  <c r="M212" i="5"/>
  <c r="BF112" i="7"/>
  <c r="AO60" i="1" s="1"/>
  <c r="I118" i="7"/>
  <c r="AY113" i="7"/>
  <c r="AP106" i="1" s="1"/>
  <c r="BN112" i="7"/>
  <c r="AP60" i="1" s="1"/>
  <c r="J118" i="7"/>
  <c r="BG113" i="7"/>
  <c r="AQ106" i="1" s="1"/>
  <c r="M128" i="5"/>
  <c r="K114" i="3"/>
  <c r="H106" i="1" s="1"/>
  <c r="R113" i="3"/>
  <c r="D60" i="1" s="1"/>
  <c r="BW114" i="3"/>
  <c r="P106" i="1" s="1"/>
  <c r="CD113" i="3"/>
  <c r="L60" i="1" s="1"/>
  <c r="CE114" i="3"/>
  <c r="L119" i="3"/>
  <c r="M138" i="5"/>
  <c r="M186" i="5"/>
  <c r="M193" i="5"/>
  <c r="S113" i="5"/>
  <c r="W106" i="1" s="1"/>
  <c r="M151" i="5"/>
  <c r="M183" i="5"/>
  <c r="M191" i="5"/>
  <c r="AA114" i="3"/>
  <c r="J106" i="1" s="1"/>
  <c r="CM114" i="3"/>
  <c r="Z113" i="3"/>
  <c r="E60" i="1" s="1"/>
  <c r="D119" i="3"/>
  <c r="N119" i="3"/>
  <c r="M150" i="5"/>
  <c r="M178" i="5"/>
  <c r="M166" i="5"/>
  <c r="M174" i="5"/>
  <c r="M201" i="5"/>
  <c r="BO112" i="5"/>
  <c r="AB61" i="1" s="1"/>
  <c r="M154" i="5"/>
  <c r="M209" i="5"/>
  <c r="M122" i="7"/>
  <c r="R112" i="5"/>
  <c r="U60" i="1" s="1"/>
  <c r="D118" i="5"/>
  <c r="K113" i="5"/>
  <c r="V106" i="1" s="1"/>
  <c r="CD112" i="5"/>
  <c r="AC60" i="1" s="1"/>
  <c r="BW113" i="5"/>
  <c r="AD106" i="1" s="1"/>
  <c r="AQ112" i="5"/>
  <c r="Y61" i="1" s="1"/>
  <c r="M145" i="5"/>
  <c r="M189" i="5"/>
  <c r="Z112" i="5"/>
  <c r="V60" i="1" s="1"/>
  <c r="E118" i="5"/>
  <c r="M119" i="5"/>
  <c r="M123" i="5"/>
  <c r="M127" i="5"/>
  <c r="M131" i="5"/>
  <c r="M135" i="5"/>
  <c r="M139" i="5"/>
  <c r="M143" i="5"/>
  <c r="M155" i="5"/>
  <c r="M159" i="5"/>
  <c r="M163" i="5"/>
  <c r="M167" i="5"/>
  <c r="M171" i="5"/>
  <c r="M175" i="5"/>
  <c r="M179" i="5"/>
  <c r="M187" i="5"/>
  <c r="M195" i="5"/>
  <c r="M199" i="5"/>
  <c r="M203" i="5"/>
  <c r="M207" i="5"/>
  <c r="M215" i="5"/>
  <c r="M219" i="5"/>
  <c r="M129" i="5"/>
  <c r="M142" i="5"/>
  <c r="M205" i="5"/>
  <c r="F118" i="5"/>
  <c r="AH112" i="5"/>
  <c r="W60" i="1" s="1"/>
  <c r="AA112" i="5"/>
  <c r="W61" i="1" s="1"/>
  <c r="J112" i="5"/>
  <c r="T60" i="1" s="1"/>
  <c r="BV112" i="5"/>
  <c r="AB60" i="1" s="1"/>
  <c r="M158" i="5"/>
  <c r="M162" i="5"/>
  <c r="M170" i="5"/>
  <c r="M190" i="5"/>
  <c r="M198" i="5"/>
  <c r="M210" i="5"/>
  <c r="M214" i="5"/>
  <c r="M218" i="5"/>
  <c r="AI113" i="7"/>
  <c r="AN106" i="1" s="1"/>
  <c r="G118" i="7"/>
  <c r="AP112" i="7"/>
  <c r="AM60" i="1" s="1"/>
  <c r="M120" i="7"/>
  <c r="M124" i="7"/>
  <c r="M128" i="7"/>
  <c r="M132" i="7"/>
  <c r="M136" i="7"/>
  <c r="M140" i="7"/>
  <c r="M144" i="7"/>
  <c r="M126" i="7"/>
  <c r="M130" i="7"/>
  <c r="M134" i="7"/>
  <c r="H118" i="5"/>
  <c r="AX112" i="5"/>
  <c r="Y60" i="1" s="1"/>
  <c r="AQ113" i="5"/>
  <c r="Z106" i="1" s="1"/>
  <c r="K112" i="5"/>
  <c r="U61" i="1" s="1"/>
  <c r="BW112" i="5"/>
  <c r="AC61" i="1" s="1"/>
  <c r="AY113" i="5"/>
  <c r="AA106" i="1" s="1"/>
  <c r="M141" i="5"/>
  <c r="M149" i="5"/>
  <c r="M153" i="5"/>
  <c r="M157" i="5"/>
  <c r="M161" i="5"/>
  <c r="M165" i="5"/>
  <c r="M169" i="5"/>
  <c r="M185" i="5"/>
  <c r="C118" i="5"/>
  <c r="BG113" i="5"/>
  <c r="AB106" i="1" s="1"/>
  <c r="C113" i="5"/>
  <c r="U106" i="1" s="1"/>
  <c r="H118" i="7"/>
  <c r="AX112" i="7"/>
  <c r="AN60" i="1" s="1"/>
  <c r="AQ113" i="7"/>
  <c r="AO106" i="1" s="1"/>
  <c r="M205" i="7"/>
  <c r="M142" i="7"/>
  <c r="M150" i="7"/>
  <c r="M158" i="7"/>
  <c r="M170" i="7"/>
  <c r="M182" i="7"/>
  <c r="E118" i="7"/>
  <c r="S113" i="7"/>
  <c r="AL106" i="1" s="1"/>
  <c r="Z112" i="7"/>
  <c r="AK60" i="1" s="1"/>
  <c r="M119" i="7"/>
  <c r="M123" i="7"/>
  <c r="M127" i="7"/>
  <c r="M131" i="7"/>
  <c r="M148" i="7"/>
  <c r="M152" i="7"/>
  <c r="M156" i="7"/>
  <c r="M160" i="7"/>
  <c r="M164" i="7"/>
  <c r="M168" i="7"/>
  <c r="M172" i="7"/>
  <c r="M176" i="7"/>
  <c r="M180" i="7"/>
  <c r="M184" i="7"/>
  <c r="M192" i="7"/>
  <c r="M204" i="7"/>
  <c r="M202" i="7"/>
  <c r="M206" i="7"/>
  <c r="M218" i="7"/>
  <c r="D118" i="7"/>
  <c r="K113" i="7"/>
  <c r="AK106" i="1" s="1"/>
  <c r="R112" i="7"/>
  <c r="AJ60" i="1" s="1"/>
  <c r="L118" i="7"/>
  <c r="BW113" i="7"/>
  <c r="AS106" i="1" s="1"/>
  <c r="CD112" i="7"/>
  <c r="AR60" i="1" s="1"/>
  <c r="M135" i="7"/>
  <c r="M139" i="7"/>
  <c r="M143" i="7"/>
  <c r="M147" i="7"/>
  <c r="M151" i="7"/>
  <c r="M155" i="7"/>
  <c r="M159" i="7"/>
  <c r="M163" i="7"/>
  <c r="M167" i="7"/>
  <c r="M171" i="7"/>
  <c r="M175" i="7"/>
  <c r="M179" i="7"/>
  <c r="M183" i="7"/>
  <c r="M195" i="7"/>
  <c r="AA113" i="7"/>
  <c r="AM106" i="1" s="1"/>
  <c r="J112" i="7"/>
  <c r="AI60" i="1" s="1"/>
  <c r="BV112" i="7"/>
  <c r="AQ60" i="1" s="1"/>
  <c r="F118" i="7"/>
  <c r="M193" i="7"/>
  <c r="M201" i="7"/>
  <c r="M209" i="7"/>
  <c r="M213" i="7"/>
  <c r="M217" i="7"/>
  <c r="M138" i="7"/>
  <c r="M146" i="7"/>
  <c r="M154" i="7"/>
  <c r="M162" i="7"/>
  <c r="M166" i="7"/>
  <c r="M174" i="7"/>
  <c r="M178" i="7"/>
  <c r="M186" i="7"/>
  <c r="M194" i="7"/>
  <c r="C113" i="7"/>
  <c r="AJ106" i="1" s="1"/>
  <c r="BO113" i="7"/>
  <c r="AR106" i="1" s="1"/>
  <c r="M187" i="7"/>
  <c r="M191" i="7"/>
  <c r="M199" i="7"/>
  <c r="M207" i="7"/>
  <c r="M215" i="7"/>
  <c r="M219" i="7"/>
  <c r="AH112" i="7"/>
  <c r="AL60" i="1" s="1"/>
  <c r="M200" i="7"/>
  <c r="M208" i="7"/>
  <c r="M212" i="7"/>
  <c r="M216" i="7"/>
  <c r="M220" i="7"/>
  <c r="M118" i="7" l="1"/>
  <c r="AG48" i="1" a="1"/>
  <c r="AG48" i="1" s="1"/>
  <c r="AG47" i="1" a="1"/>
  <c r="AG47" i="1" s="1"/>
  <c r="AG46" i="1" a="1"/>
  <c r="AG46" i="1" s="1"/>
  <c r="AG45" i="1" a="1"/>
  <c r="AG45" i="1" s="1"/>
  <c r="AG40" i="1" a="1"/>
  <c r="AG40" i="1" s="1"/>
  <c r="AG44" i="1" a="1"/>
  <c r="AG44" i="1" s="1"/>
  <c r="AG35" i="1" a="1"/>
  <c r="AG35" i="1" s="1"/>
  <c r="AG34" i="1" a="1"/>
  <c r="AG34" i="1" s="1"/>
  <c r="AG42" i="1" a="1"/>
  <c r="AG42" i="1" s="1"/>
  <c r="AG39" i="1" a="1"/>
  <c r="AG39" i="1" s="1"/>
  <c r="AG38" i="1" a="1"/>
  <c r="AG38" i="1" s="1"/>
  <c r="AG36" i="1" a="1"/>
  <c r="AG36" i="1" s="1"/>
  <c r="AG43" i="1" a="1"/>
  <c r="AG43" i="1" s="1"/>
  <c r="AG41" i="1" a="1"/>
  <c r="AG41" i="1" s="1"/>
  <c r="AG37" i="1" a="1"/>
  <c r="AG37" i="1" s="1"/>
  <c r="AF106" i="1"/>
  <c r="Q106" i="1"/>
  <c r="O119" i="3"/>
  <c r="M118" i="5"/>
  <c r="R43" i="1" a="1"/>
  <c r="R43" i="1" s="1"/>
  <c r="R42" i="1" a="1"/>
  <c r="R42" i="1" s="1"/>
  <c r="R41" i="1" a="1"/>
  <c r="R41" i="1" s="1"/>
  <c r="R47" i="1" a="1"/>
  <c r="R47" i="1" s="1"/>
  <c r="R40" i="1" a="1"/>
  <c r="R40" i="1" s="1"/>
  <c r="R46" i="1" a="1"/>
  <c r="R46" i="1" s="1"/>
  <c r="R45" i="1" a="1"/>
  <c r="R45" i="1" s="1"/>
  <c r="R48" i="1" a="1"/>
  <c r="R48" i="1" s="1"/>
  <c r="R37" i="1" a="1"/>
  <c r="R37" i="1" s="1"/>
  <c r="R36" i="1" a="1"/>
  <c r="R36" i="1" s="1"/>
  <c r="R35" i="1" a="1"/>
  <c r="R35" i="1" s="1"/>
  <c r="R34" i="1" a="1"/>
  <c r="R34" i="1" s="1"/>
  <c r="R39" i="1" a="1"/>
  <c r="R39" i="1" s="1"/>
  <c r="R38" i="1" a="1"/>
  <c r="R38" i="1" s="1"/>
  <c r="R44" i="1" a="1"/>
  <c r="R44" i="1" s="1"/>
  <c r="AG106" i="1"/>
  <c r="R106" i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1" i="1" a="1"/>
  <c r="B41" i="1" s="1"/>
  <c r="B34" i="1" a="1"/>
  <c r="B34" i="1" s="1"/>
  <c r="B42" i="1" a="1"/>
  <c r="B42" i="1" s="1"/>
  <c r="B40" i="1" a="1"/>
  <c r="B40" i="1" s="1"/>
  <c r="B39" i="1" a="1"/>
  <c r="B39" i="1" s="1"/>
  <c r="B35" i="1" a="1"/>
  <c r="B35" i="1" s="1"/>
  <c r="B38" i="1" a="1"/>
  <c r="B38" i="1" s="1"/>
  <c r="B37" i="1" a="1"/>
  <c r="B37" i="1" s="1"/>
  <c r="B43" i="1" a="1"/>
  <c r="B43" i="1" s="1"/>
  <c r="B36" i="1" a="1"/>
  <c r="B36" i="1" s="1"/>
  <c r="N38" i="1" l="1" a="1"/>
  <c r="N38" i="1" s="1"/>
  <c r="J38" i="1" a="1"/>
  <c r="J38" i="1" s="1"/>
  <c r="F38" i="1" a="1"/>
  <c r="F38" i="1" s="1"/>
  <c r="A38" i="1" a="1"/>
  <c r="A38" i="1" s="1"/>
  <c r="K38" i="1" a="1"/>
  <c r="K38" i="1" s="1"/>
  <c r="E38" i="1" a="1"/>
  <c r="E38" i="1" s="1"/>
  <c r="O38" i="1" a="1"/>
  <c r="O38" i="1" s="1"/>
  <c r="I38" i="1" a="1"/>
  <c r="I38" i="1" s="1"/>
  <c r="D38" i="1" a="1"/>
  <c r="D38" i="1" s="1"/>
  <c r="M38" i="1" a="1"/>
  <c r="M38" i="1" s="1"/>
  <c r="H38" i="1" a="1"/>
  <c r="H38" i="1" s="1"/>
  <c r="L38" i="1" a="1"/>
  <c r="L38" i="1" s="1"/>
  <c r="G38" i="1" a="1"/>
  <c r="G38" i="1" s="1"/>
  <c r="Z39" i="1" a="1"/>
  <c r="Z39" i="1" s="1"/>
  <c r="V39" i="1" a="1"/>
  <c r="V39" i="1" s="1"/>
  <c r="Q39" i="1" a="1"/>
  <c r="Q39" i="1" s="1"/>
  <c r="AB39" i="1" a="1"/>
  <c r="AB39" i="1" s="1"/>
  <c r="W39" i="1" a="1"/>
  <c r="W39" i="1" s="1"/>
  <c r="AA39" i="1" a="1"/>
  <c r="AA39" i="1" s="1"/>
  <c r="U39" i="1" a="1"/>
  <c r="U39" i="1" s="1"/>
  <c r="Y39" i="1" a="1"/>
  <c r="Y39" i="1" s="1"/>
  <c r="T39" i="1" a="1"/>
  <c r="T39" i="1" s="1"/>
  <c r="AC39" i="1" a="1"/>
  <c r="AC39" i="1" s="1"/>
  <c r="X39" i="1" a="1"/>
  <c r="X39" i="1" s="1"/>
  <c r="AB40" i="1" a="1"/>
  <c r="AB40" i="1" s="1"/>
  <c r="X40" i="1" a="1"/>
  <c r="X40" i="1" s="1"/>
  <c r="T40" i="1" a="1"/>
  <c r="T40" i="1" s="1"/>
  <c r="AA40" i="1" a="1"/>
  <c r="AA40" i="1" s="1"/>
  <c r="W40" i="1" a="1"/>
  <c r="W40" i="1" s="1"/>
  <c r="Y40" i="1" a="1"/>
  <c r="Y40" i="1" s="1"/>
  <c r="Q40" i="1" a="1"/>
  <c r="Q40" i="1" s="1"/>
  <c r="AC40" i="1" a="1"/>
  <c r="AC40" i="1" s="1"/>
  <c r="V40" i="1" a="1"/>
  <c r="V40" i="1" s="1"/>
  <c r="U40" i="1" a="1"/>
  <c r="U40" i="1" s="1"/>
  <c r="Z40" i="1" a="1"/>
  <c r="Z40" i="1" s="1"/>
  <c r="AQ34" i="1" a="1"/>
  <c r="AQ34" i="1" s="1"/>
  <c r="AM34" i="1" a="1"/>
  <c r="AM34" i="1" s="1"/>
  <c r="AI34" i="1" a="1"/>
  <c r="AI34" i="1" s="1"/>
  <c r="AN34" i="1" a="1"/>
  <c r="AN34" i="1" s="1"/>
  <c r="AO34" i="1" a="1"/>
  <c r="AO34" i="1" s="1"/>
  <c r="AJ34" i="1" a="1"/>
  <c r="AJ34" i="1" s="1"/>
  <c r="AR34" i="1" a="1"/>
  <c r="AR34" i="1" s="1"/>
  <c r="AL34" i="1" a="1"/>
  <c r="AL34" i="1" s="1"/>
  <c r="AF34" i="1" a="1"/>
  <c r="AF34" i="1" s="1"/>
  <c r="AP34" i="1" a="1"/>
  <c r="AP34" i="1" s="1"/>
  <c r="AK34" i="1" a="1"/>
  <c r="AK34" i="1" s="1"/>
  <c r="E45" i="1" a="1"/>
  <c r="E45" i="1" s="1"/>
  <c r="O45" i="1" a="1"/>
  <c r="O45" i="1" s="1"/>
  <c r="J45" i="1" a="1"/>
  <c r="J45" i="1" s="1"/>
  <c r="D45" i="1" a="1"/>
  <c r="D45" i="1" s="1"/>
  <c r="I45" i="1" a="1"/>
  <c r="I45" i="1" s="1"/>
  <c r="N45" i="1" a="1"/>
  <c r="N45" i="1" s="1"/>
  <c r="H45" i="1" a="1"/>
  <c r="H45" i="1" s="1"/>
  <c r="M45" i="1" a="1"/>
  <c r="M45" i="1" s="1"/>
  <c r="L45" i="1" a="1"/>
  <c r="L45" i="1" s="1"/>
  <c r="G45" i="1" a="1"/>
  <c r="G45" i="1" s="1"/>
  <c r="A45" i="1" a="1"/>
  <c r="A45" i="1" s="1"/>
  <c r="K45" i="1" a="1"/>
  <c r="K45" i="1" s="1"/>
  <c r="F45" i="1" a="1"/>
  <c r="F45" i="1" s="1"/>
  <c r="L35" i="1" a="1"/>
  <c r="L35" i="1" s="1"/>
  <c r="H35" i="1" a="1"/>
  <c r="H35" i="1" s="1"/>
  <c r="D35" i="1" a="1"/>
  <c r="D35" i="1" s="1"/>
  <c r="M35" i="1" a="1"/>
  <c r="M35" i="1" s="1"/>
  <c r="G35" i="1" a="1"/>
  <c r="G35" i="1" s="1"/>
  <c r="A35" i="1" a="1"/>
  <c r="A35" i="1" s="1"/>
  <c r="I35" i="1" a="1"/>
  <c r="I35" i="1" s="1"/>
  <c r="K35" i="1" a="1"/>
  <c r="K35" i="1" s="1"/>
  <c r="F35" i="1" a="1"/>
  <c r="F35" i="1" s="1"/>
  <c r="N35" i="1" a="1"/>
  <c r="N35" i="1" s="1"/>
  <c r="O35" i="1" a="1"/>
  <c r="O35" i="1" s="1"/>
  <c r="J35" i="1" a="1"/>
  <c r="J35" i="1" s="1"/>
  <c r="E35" i="1" a="1"/>
  <c r="E35" i="1" s="1"/>
  <c r="O46" i="1" a="1"/>
  <c r="O46" i="1" s="1"/>
  <c r="N46" i="1" a="1"/>
  <c r="N46" i="1" s="1"/>
  <c r="I46" i="1" a="1"/>
  <c r="I46" i="1" s="1"/>
  <c r="D46" i="1" a="1"/>
  <c r="D46" i="1" s="1"/>
  <c r="M46" i="1" a="1"/>
  <c r="M46" i="1" s="1"/>
  <c r="H46" i="1" a="1"/>
  <c r="H46" i="1" s="1"/>
  <c r="A46" i="1" a="1"/>
  <c r="A46" i="1" s="1"/>
  <c r="G46" i="1" a="1"/>
  <c r="G46" i="1" s="1"/>
  <c r="L46" i="1" a="1"/>
  <c r="L46" i="1" s="1"/>
  <c r="F46" i="1" a="1"/>
  <c r="F46" i="1" s="1"/>
  <c r="K46" i="1" a="1"/>
  <c r="K46" i="1" s="1"/>
  <c r="J46" i="1" a="1"/>
  <c r="J46" i="1" s="1"/>
  <c r="E46" i="1" a="1"/>
  <c r="E46" i="1" s="1"/>
  <c r="AB34" i="1" a="1"/>
  <c r="AB34" i="1" s="1"/>
  <c r="X34" i="1" a="1"/>
  <c r="X34" i="1" s="1"/>
  <c r="T34" i="1" a="1"/>
  <c r="T34" i="1" s="1"/>
  <c r="Z34" i="1" a="1"/>
  <c r="Z34" i="1" s="1"/>
  <c r="U34" i="1" a="1"/>
  <c r="U34" i="1" s="1"/>
  <c r="V34" i="1" a="1"/>
  <c r="V34" i="1" s="1"/>
  <c r="Y34" i="1" a="1"/>
  <c r="Y34" i="1" s="1"/>
  <c r="AC34" i="1" a="1"/>
  <c r="AC34" i="1" s="1"/>
  <c r="W34" i="1" a="1"/>
  <c r="W34" i="1" s="1"/>
  <c r="Q34" i="1" a="1"/>
  <c r="Q34" i="1" s="1"/>
  <c r="AA34" i="1" a="1"/>
  <c r="AA34" i="1" s="1"/>
  <c r="AA47" i="1" a="1"/>
  <c r="AA47" i="1" s="1"/>
  <c r="Z47" i="1" a="1"/>
  <c r="Z47" i="1" s="1"/>
  <c r="U47" i="1" a="1"/>
  <c r="U47" i="1" s="1"/>
  <c r="Y47" i="1" a="1"/>
  <c r="Y47" i="1" s="1"/>
  <c r="T47" i="1" a="1"/>
  <c r="T47" i="1" s="1"/>
  <c r="AC47" i="1" a="1"/>
  <c r="AC47" i="1" s="1"/>
  <c r="X47" i="1" a="1"/>
  <c r="X47" i="1" s="1"/>
  <c r="Q47" i="1" a="1"/>
  <c r="Q47" i="1" s="1"/>
  <c r="W47" i="1" a="1"/>
  <c r="W47" i="1" s="1"/>
  <c r="AB47" i="1" a="1"/>
  <c r="AB47" i="1" s="1"/>
  <c r="V47" i="1" a="1"/>
  <c r="V47" i="1" s="1"/>
  <c r="AO37" i="1" a="1"/>
  <c r="AO37" i="1" s="1"/>
  <c r="AK37" i="1" a="1"/>
  <c r="AK37" i="1" s="1"/>
  <c r="AF37" i="1" a="1"/>
  <c r="AF37" i="1" s="1"/>
  <c r="AQ37" i="1" a="1"/>
  <c r="AQ37" i="1" s="1"/>
  <c r="AL37" i="1" a="1"/>
  <c r="AL37" i="1" s="1"/>
  <c r="AP37" i="1" a="1"/>
  <c r="AP37" i="1" s="1"/>
  <c r="AJ37" i="1" a="1"/>
  <c r="AJ37" i="1" s="1"/>
  <c r="AN37" i="1" a="1"/>
  <c r="AN37" i="1" s="1"/>
  <c r="AI37" i="1" a="1"/>
  <c r="AI37" i="1" s="1"/>
  <c r="AR37" i="1" a="1"/>
  <c r="AR37" i="1" s="1"/>
  <c r="AM37" i="1" a="1"/>
  <c r="AM37" i="1" s="1"/>
  <c r="AO35" i="1" a="1"/>
  <c r="AO35" i="1" s="1"/>
  <c r="AK35" i="1" a="1"/>
  <c r="AK35" i="1" s="1"/>
  <c r="AF35" i="1" a="1"/>
  <c r="AF35" i="1" s="1"/>
  <c r="AR35" i="1" a="1"/>
  <c r="AR35" i="1" s="1"/>
  <c r="AM35" i="1" a="1"/>
  <c r="AM35" i="1" s="1"/>
  <c r="AI35" i="1" a="1"/>
  <c r="AI35" i="1" s="1"/>
  <c r="AQ35" i="1" a="1"/>
  <c r="AQ35" i="1" s="1"/>
  <c r="AL35" i="1" a="1"/>
  <c r="AL35" i="1" s="1"/>
  <c r="AN35" i="1" a="1"/>
  <c r="AN35" i="1" s="1"/>
  <c r="AP35" i="1" a="1"/>
  <c r="AP35" i="1" s="1"/>
  <c r="AJ35" i="1" a="1"/>
  <c r="AJ35" i="1" s="1"/>
  <c r="L39" i="1" a="1"/>
  <c r="L39" i="1" s="1"/>
  <c r="H39" i="1" a="1"/>
  <c r="H39" i="1" s="1"/>
  <c r="D39" i="1" a="1"/>
  <c r="D39" i="1" s="1"/>
  <c r="O39" i="1" a="1"/>
  <c r="O39" i="1" s="1"/>
  <c r="J39" i="1" a="1"/>
  <c r="J39" i="1" s="1"/>
  <c r="E39" i="1" a="1"/>
  <c r="E39" i="1" s="1"/>
  <c r="N39" i="1" a="1"/>
  <c r="N39" i="1" s="1"/>
  <c r="I39" i="1" a="1"/>
  <c r="I39" i="1" s="1"/>
  <c r="M39" i="1" a="1"/>
  <c r="M39" i="1" s="1"/>
  <c r="G39" i="1" a="1"/>
  <c r="G39" i="1" s="1"/>
  <c r="A39" i="1" a="1"/>
  <c r="A39" i="1" s="1"/>
  <c r="K39" i="1" a="1"/>
  <c r="K39" i="1" s="1"/>
  <c r="F39" i="1" a="1"/>
  <c r="F39" i="1" s="1"/>
  <c r="I47" i="1" a="1"/>
  <c r="I47" i="1" s="1"/>
  <c r="N47" i="1" a="1"/>
  <c r="N47" i="1" s="1"/>
  <c r="H47" i="1" a="1"/>
  <c r="H47" i="1" s="1"/>
  <c r="M47" i="1" a="1"/>
  <c r="M47" i="1" s="1"/>
  <c r="L47" i="1" a="1"/>
  <c r="L47" i="1" s="1"/>
  <c r="G47" i="1" a="1"/>
  <c r="G47" i="1" s="1"/>
  <c r="A47" i="1" a="1"/>
  <c r="A47" i="1" s="1"/>
  <c r="K47" i="1" a="1"/>
  <c r="K47" i="1" s="1"/>
  <c r="F47" i="1" a="1"/>
  <c r="F47" i="1" s="1"/>
  <c r="E47" i="1" a="1"/>
  <c r="E47" i="1" s="1"/>
  <c r="O47" i="1" a="1"/>
  <c r="O47" i="1" s="1"/>
  <c r="J47" i="1" a="1"/>
  <c r="J47" i="1" s="1"/>
  <c r="D47" i="1" a="1"/>
  <c r="D47" i="1" s="1"/>
  <c r="Z35" i="1" a="1"/>
  <c r="Z35" i="1" s="1"/>
  <c r="V35" i="1" a="1"/>
  <c r="V35" i="1" s="1"/>
  <c r="Q35" i="1" a="1"/>
  <c r="Q35" i="1" s="1"/>
  <c r="Y35" i="1" a="1"/>
  <c r="Y35" i="1" s="1"/>
  <c r="T35" i="1" a="1"/>
  <c r="T35" i="1" s="1"/>
  <c r="U35" i="1" a="1"/>
  <c r="U35" i="1" s="1"/>
  <c r="AC35" i="1" a="1"/>
  <c r="AC35" i="1" s="1"/>
  <c r="X35" i="1" a="1"/>
  <c r="X35" i="1" s="1"/>
  <c r="AA35" i="1" a="1"/>
  <c r="AA35" i="1" s="1"/>
  <c r="AB35" i="1" a="1"/>
  <c r="AB35" i="1" s="1"/>
  <c r="W35" i="1" a="1"/>
  <c r="W35" i="1" s="1"/>
  <c r="Y41" i="1" a="1"/>
  <c r="Y41" i="1" s="1"/>
  <c r="T41" i="1" a="1"/>
  <c r="T41" i="1" s="1"/>
  <c r="W41" i="1" a="1"/>
  <c r="W41" i="1" s="1"/>
  <c r="AB41" i="1" a="1"/>
  <c r="AB41" i="1" s="1"/>
  <c r="AA41" i="1" a="1"/>
  <c r="AA41" i="1" s="1"/>
  <c r="Q41" i="1" a="1"/>
  <c r="Q41" i="1" s="1"/>
  <c r="Z41" i="1" a="1"/>
  <c r="Z41" i="1" s="1"/>
  <c r="X41" i="1" a="1"/>
  <c r="X41" i="1" s="1"/>
  <c r="V41" i="1" a="1"/>
  <c r="V41" i="1" s="1"/>
  <c r="AC41" i="1" a="1"/>
  <c r="AC41" i="1" s="1"/>
  <c r="U41" i="1" a="1"/>
  <c r="U41" i="1" s="1"/>
  <c r="AR41" i="1" a="1"/>
  <c r="AR41" i="1" s="1"/>
  <c r="AM41" i="1" a="1"/>
  <c r="AM41" i="1" s="1"/>
  <c r="AF41" i="1" a="1"/>
  <c r="AF41" i="1" s="1"/>
  <c r="AL41" i="1" a="1"/>
  <c r="AL41" i="1" s="1"/>
  <c r="AP41" i="1" a="1"/>
  <c r="AP41" i="1" s="1"/>
  <c r="AN41" i="1" a="1"/>
  <c r="AN41" i="1" s="1"/>
  <c r="AK41" i="1" a="1"/>
  <c r="AK41" i="1" s="1"/>
  <c r="AJ41" i="1" a="1"/>
  <c r="AJ41" i="1" s="1"/>
  <c r="AQ41" i="1" a="1"/>
  <c r="AQ41" i="1" s="1"/>
  <c r="AI41" i="1" a="1"/>
  <c r="AI41" i="1" s="1"/>
  <c r="AO41" i="1" a="1"/>
  <c r="AO41" i="1" s="1"/>
  <c r="AP44" i="1" a="1"/>
  <c r="AP44" i="1" s="1"/>
  <c r="AK44" i="1" a="1"/>
  <c r="AK44" i="1" s="1"/>
  <c r="AJ44" i="1" a="1"/>
  <c r="AJ44" i="1" s="1"/>
  <c r="AN44" i="1" a="1"/>
  <c r="AN44" i="1" s="1"/>
  <c r="AM44" i="1" a="1"/>
  <c r="AM44" i="1" s="1"/>
  <c r="AR44" i="1" a="1"/>
  <c r="AR44" i="1" s="1"/>
  <c r="AQ44" i="1" a="1"/>
  <c r="AQ44" i="1" s="1"/>
  <c r="AL44" i="1" a="1"/>
  <c r="AL44" i="1" s="1"/>
  <c r="AF44" i="1" a="1"/>
  <c r="AF44" i="1" s="1"/>
  <c r="AO44" i="1" a="1"/>
  <c r="AO44" i="1" s="1"/>
  <c r="AI44" i="1" a="1"/>
  <c r="AI44" i="1" s="1"/>
  <c r="O48" i="1" a="1"/>
  <c r="O48" i="1" s="1"/>
  <c r="K48" i="1" a="1"/>
  <c r="K48" i="1" s="1"/>
  <c r="G48" i="1" a="1"/>
  <c r="G48" i="1" s="1"/>
  <c r="D48" i="1" a="1"/>
  <c r="D48" i="1" s="1"/>
  <c r="I48" i="1" a="1"/>
  <c r="I48" i="1" s="1"/>
  <c r="A48" i="1" a="1"/>
  <c r="A48" i="1" s="1"/>
  <c r="N48" i="1" a="1"/>
  <c r="N48" i="1" s="1"/>
  <c r="H48" i="1" a="1"/>
  <c r="H48" i="1" s="1"/>
  <c r="M48" i="1" a="1"/>
  <c r="M48" i="1" s="1"/>
  <c r="F48" i="1" a="1"/>
  <c r="F48" i="1" s="1"/>
  <c r="L48" i="1" a="1"/>
  <c r="L48" i="1" s="1"/>
  <c r="E48" i="1" a="1"/>
  <c r="E48" i="1" s="1"/>
  <c r="J48" i="1" a="1"/>
  <c r="J48" i="1" s="1"/>
  <c r="AB36" i="1" a="1"/>
  <c r="AB36" i="1" s="1"/>
  <c r="X36" i="1" a="1"/>
  <c r="X36" i="1" s="1"/>
  <c r="T36" i="1" a="1"/>
  <c r="T36" i="1" s="1"/>
  <c r="Y36" i="1" a="1"/>
  <c r="Y36" i="1" s="1"/>
  <c r="AC36" i="1" a="1"/>
  <c r="AC36" i="1" s="1"/>
  <c r="W36" i="1" a="1"/>
  <c r="W36" i="1" s="1"/>
  <c r="Q36" i="1" a="1"/>
  <c r="Q36" i="1" s="1"/>
  <c r="AA36" i="1" a="1"/>
  <c r="AA36" i="1" s="1"/>
  <c r="V36" i="1" a="1"/>
  <c r="V36" i="1" s="1"/>
  <c r="Z36" i="1" a="1"/>
  <c r="Z36" i="1" s="1"/>
  <c r="U36" i="1" a="1"/>
  <c r="U36" i="1" s="1"/>
  <c r="X42" i="1" a="1"/>
  <c r="X42" i="1" s="1"/>
  <c r="AC42" i="1" a="1"/>
  <c r="AC42" i="1" s="1"/>
  <c r="Y42" i="1" a="1"/>
  <c r="Y42" i="1" s="1"/>
  <c r="W42" i="1" a="1"/>
  <c r="W42" i="1" s="1"/>
  <c r="V42" i="1" a="1"/>
  <c r="V42" i="1" s="1"/>
  <c r="U42" i="1" a="1"/>
  <c r="U42" i="1" s="1"/>
  <c r="AB42" i="1" a="1"/>
  <c r="AB42" i="1" s="1"/>
  <c r="T42" i="1" a="1"/>
  <c r="T42" i="1" s="1"/>
  <c r="AA42" i="1" a="1"/>
  <c r="AA42" i="1" s="1"/>
  <c r="Q42" i="1" a="1"/>
  <c r="Q42" i="1" s="1"/>
  <c r="Z42" i="1" a="1"/>
  <c r="Z42" i="1" s="1"/>
  <c r="AL43" i="1" a="1"/>
  <c r="AL43" i="1" s="1"/>
  <c r="AQ43" i="1" a="1"/>
  <c r="AQ43" i="1" s="1"/>
  <c r="AK43" i="1" a="1"/>
  <c r="AK43" i="1" s="1"/>
  <c r="AP43" i="1" a="1"/>
  <c r="AP43" i="1" s="1"/>
  <c r="AN43" i="1" a="1"/>
  <c r="AN43" i="1" s="1"/>
  <c r="AI43" i="1" a="1"/>
  <c r="AI43" i="1" s="1"/>
  <c r="AR43" i="1" a="1"/>
  <c r="AR43" i="1" s="1"/>
  <c r="AO43" i="1" a="1"/>
  <c r="AO43" i="1" s="1"/>
  <c r="AM43" i="1" a="1"/>
  <c r="AM43" i="1" s="1"/>
  <c r="AJ43" i="1" a="1"/>
  <c r="AJ43" i="1" s="1"/>
  <c r="AF43" i="1" a="1"/>
  <c r="AF43" i="1" s="1"/>
  <c r="AQ40" i="1" a="1"/>
  <c r="AQ40" i="1" s="1"/>
  <c r="AM40" i="1" a="1"/>
  <c r="AM40" i="1" s="1"/>
  <c r="AI40" i="1" a="1"/>
  <c r="AI40" i="1" s="1"/>
  <c r="AP40" i="1" a="1"/>
  <c r="AP40" i="1" s="1"/>
  <c r="AL40" i="1" a="1"/>
  <c r="AL40" i="1" s="1"/>
  <c r="AN40" i="1" a="1"/>
  <c r="AN40" i="1" s="1"/>
  <c r="AF40" i="1" a="1"/>
  <c r="AF40" i="1" s="1"/>
  <c r="AR40" i="1" a="1"/>
  <c r="AR40" i="1" s="1"/>
  <c r="AK40" i="1" a="1"/>
  <c r="AK40" i="1" s="1"/>
  <c r="AJ40" i="1" a="1"/>
  <c r="AJ40" i="1" s="1"/>
  <c r="AO40" i="1" a="1"/>
  <c r="AO40" i="1" s="1"/>
  <c r="L42" i="1" a="1"/>
  <c r="L42" i="1" s="1"/>
  <c r="F42" i="1" a="1"/>
  <c r="F42" i="1" s="1"/>
  <c r="K42" i="1" a="1"/>
  <c r="K42" i="1" s="1"/>
  <c r="O42" i="1" a="1"/>
  <c r="O42" i="1" s="1"/>
  <c r="E42" i="1" a="1"/>
  <c r="E42" i="1" s="1"/>
  <c r="M42" i="1" a="1"/>
  <c r="M42" i="1" s="1"/>
  <c r="D42" i="1" a="1"/>
  <c r="D42" i="1" s="1"/>
  <c r="J42" i="1" a="1"/>
  <c r="J42" i="1" s="1"/>
  <c r="A42" i="1" a="1"/>
  <c r="A42" i="1" s="1"/>
  <c r="I42" i="1" a="1"/>
  <c r="I42" i="1" s="1"/>
  <c r="H42" i="1" a="1"/>
  <c r="H42" i="1" s="1"/>
  <c r="N42" i="1" a="1"/>
  <c r="N42" i="1" s="1"/>
  <c r="G42" i="1" a="1"/>
  <c r="G42" i="1" s="1"/>
  <c r="Z37" i="1" a="1"/>
  <c r="Z37" i="1" s="1"/>
  <c r="V37" i="1" a="1"/>
  <c r="V37" i="1" s="1"/>
  <c r="Q37" i="1" a="1"/>
  <c r="Q37" i="1" s="1"/>
  <c r="AC37" i="1" a="1"/>
  <c r="AC37" i="1" s="1"/>
  <c r="X37" i="1" a="1"/>
  <c r="X37" i="1" s="1"/>
  <c r="T37" i="1" a="1"/>
  <c r="T37" i="1" s="1"/>
  <c r="AB37" i="1" a="1"/>
  <c r="AB37" i="1" s="1"/>
  <c r="W37" i="1" a="1"/>
  <c r="W37" i="1" s="1"/>
  <c r="AA37" i="1" a="1"/>
  <c r="AA37" i="1" s="1"/>
  <c r="U37" i="1" a="1"/>
  <c r="U37" i="1" s="1"/>
  <c r="Y37" i="1" a="1"/>
  <c r="Y37" i="1" s="1"/>
  <c r="AC43" i="1" a="1"/>
  <c r="AC43" i="1" s="1"/>
  <c r="X43" i="1" a="1"/>
  <c r="X43" i="1" s="1"/>
  <c r="Q43" i="1" a="1"/>
  <c r="Q43" i="1" s="1"/>
  <c r="W43" i="1" a="1"/>
  <c r="W43" i="1" s="1"/>
  <c r="AA43" i="1" a="1"/>
  <c r="AA43" i="1" s="1"/>
  <c r="Z43" i="1" a="1"/>
  <c r="Z43" i="1" s="1"/>
  <c r="U43" i="1" a="1"/>
  <c r="U43" i="1" s="1"/>
  <c r="Y43" i="1" a="1"/>
  <c r="Y43" i="1" s="1"/>
  <c r="V43" i="1" a="1"/>
  <c r="V43" i="1" s="1"/>
  <c r="T43" i="1" a="1"/>
  <c r="T43" i="1" s="1"/>
  <c r="AB43" i="1" a="1"/>
  <c r="AB43" i="1" s="1"/>
  <c r="AQ36" i="1" a="1"/>
  <c r="AQ36" i="1" s="1"/>
  <c r="AM36" i="1" a="1"/>
  <c r="AM36" i="1" s="1"/>
  <c r="AI36" i="1" a="1"/>
  <c r="AI36" i="1" s="1"/>
  <c r="AR36" i="1" a="1"/>
  <c r="AR36" i="1" s="1"/>
  <c r="AL36" i="1" a="1"/>
  <c r="AL36" i="1" s="1"/>
  <c r="AF36" i="1" a="1"/>
  <c r="AF36" i="1" s="1"/>
  <c r="AP36" i="1" a="1"/>
  <c r="AP36" i="1" s="1"/>
  <c r="AK36" i="1" a="1"/>
  <c r="AK36" i="1" s="1"/>
  <c r="AO36" i="1" a="1"/>
  <c r="AO36" i="1" s="1"/>
  <c r="AJ36" i="1" a="1"/>
  <c r="AJ36" i="1" s="1"/>
  <c r="AN36" i="1" a="1"/>
  <c r="AN36" i="1" s="1"/>
  <c r="AP45" i="1" a="1"/>
  <c r="AP45" i="1" s="1"/>
  <c r="AO45" i="1" a="1"/>
  <c r="AO45" i="1" s="1"/>
  <c r="AJ45" i="1" a="1"/>
  <c r="AJ45" i="1" s="1"/>
  <c r="AN45" i="1" a="1"/>
  <c r="AN45" i="1" s="1"/>
  <c r="AI45" i="1" a="1"/>
  <c r="AI45" i="1" s="1"/>
  <c r="AR45" i="1" a="1"/>
  <c r="AR45" i="1" s="1"/>
  <c r="AM45" i="1" a="1"/>
  <c r="AM45" i="1" s="1"/>
  <c r="AF45" i="1" a="1"/>
  <c r="AF45" i="1" s="1"/>
  <c r="AL45" i="1" a="1"/>
  <c r="AL45" i="1" s="1"/>
  <c r="AQ45" i="1" a="1"/>
  <c r="AQ45" i="1" s="1"/>
  <c r="AK45" i="1" a="1"/>
  <c r="AK45" i="1" s="1"/>
  <c r="N36" i="1" a="1"/>
  <c r="N36" i="1" s="1"/>
  <c r="J36" i="1" a="1"/>
  <c r="J36" i="1" s="1"/>
  <c r="F36" i="1" a="1"/>
  <c r="F36" i="1" s="1"/>
  <c r="A36" i="1" a="1"/>
  <c r="A36" i="1" s="1"/>
  <c r="L36" i="1" a="1"/>
  <c r="L36" i="1" s="1"/>
  <c r="G36" i="1" a="1"/>
  <c r="G36" i="1" s="1"/>
  <c r="K36" i="1" a="1"/>
  <c r="K36" i="1" s="1"/>
  <c r="E36" i="1" a="1"/>
  <c r="E36" i="1" s="1"/>
  <c r="O36" i="1" a="1"/>
  <c r="O36" i="1" s="1"/>
  <c r="I36" i="1" a="1"/>
  <c r="I36" i="1" s="1"/>
  <c r="D36" i="1" a="1"/>
  <c r="D36" i="1" s="1"/>
  <c r="H36" i="1" a="1"/>
  <c r="H36" i="1" s="1"/>
  <c r="M36" i="1" a="1"/>
  <c r="M36" i="1" s="1"/>
  <c r="AC48" i="1" a="1"/>
  <c r="AC48" i="1" s="1"/>
  <c r="Y48" i="1" a="1"/>
  <c r="Y48" i="1" s="1"/>
  <c r="U48" i="1" a="1"/>
  <c r="U48" i="1" s="1"/>
  <c r="X48" i="1" a="1"/>
  <c r="X48" i="1" s="1"/>
  <c r="Q48" i="1" a="1"/>
  <c r="Q48" i="1" s="1"/>
  <c r="W48" i="1" a="1"/>
  <c r="W48" i="1" s="1"/>
  <c r="AB48" i="1" a="1"/>
  <c r="AB48" i="1" s="1"/>
  <c r="V48" i="1" a="1"/>
  <c r="V48" i="1" s="1"/>
  <c r="AA48" i="1" a="1"/>
  <c r="AA48" i="1" s="1"/>
  <c r="T48" i="1" a="1"/>
  <c r="T48" i="1" s="1"/>
  <c r="Z48" i="1" a="1"/>
  <c r="Z48" i="1" s="1"/>
  <c r="AQ38" i="1" a="1"/>
  <c r="AQ38" i="1" s="1"/>
  <c r="AM38" i="1" a="1"/>
  <c r="AM38" i="1" s="1"/>
  <c r="AI38" i="1" a="1"/>
  <c r="AI38" i="1" s="1"/>
  <c r="AP38" i="1" a="1"/>
  <c r="AP38" i="1" s="1"/>
  <c r="AK38" i="1" a="1"/>
  <c r="AK38" i="1" s="1"/>
  <c r="AO38" i="1" a="1"/>
  <c r="AO38" i="1" s="1"/>
  <c r="AJ38" i="1" a="1"/>
  <c r="AJ38" i="1" s="1"/>
  <c r="AN38" i="1" a="1"/>
  <c r="AN38" i="1" s="1"/>
  <c r="AR38" i="1" a="1"/>
  <c r="AR38" i="1" s="1"/>
  <c r="AL38" i="1" a="1"/>
  <c r="AL38" i="1" s="1"/>
  <c r="AF38" i="1" a="1"/>
  <c r="AF38" i="1" s="1"/>
  <c r="AJ46" i="1" a="1"/>
  <c r="AJ46" i="1" s="1"/>
  <c r="AO46" i="1" a="1"/>
  <c r="AO46" i="1" s="1"/>
  <c r="AI46" i="1" a="1"/>
  <c r="AI46" i="1" s="1"/>
  <c r="AN46" i="1" a="1"/>
  <c r="AN46" i="1" s="1"/>
  <c r="AM46" i="1" a="1"/>
  <c r="AM46" i="1" s="1"/>
  <c r="AR46" i="1" a="1"/>
  <c r="AR46" i="1" s="1"/>
  <c r="AQ46" i="1" a="1"/>
  <c r="AQ46" i="1" s="1"/>
  <c r="AL46" i="1" a="1"/>
  <c r="AL46" i="1" s="1"/>
  <c r="AF46" i="1" a="1"/>
  <c r="AF46" i="1" s="1"/>
  <c r="AP46" i="1" a="1"/>
  <c r="AP46" i="1" s="1"/>
  <c r="AK46" i="1" a="1"/>
  <c r="AK46" i="1" s="1"/>
  <c r="K43" i="1" a="1"/>
  <c r="K43" i="1" s="1"/>
  <c r="F43" i="1" a="1"/>
  <c r="F43" i="1" s="1"/>
  <c r="E43" i="1" a="1"/>
  <c r="E43" i="1" s="1"/>
  <c r="I43" i="1" a="1"/>
  <c r="I43" i="1" s="1"/>
  <c r="N43" i="1" a="1"/>
  <c r="N43" i="1" s="1"/>
  <c r="H43" i="1" a="1"/>
  <c r="H43" i="1" s="1"/>
  <c r="A43" i="1" a="1"/>
  <c r="A43" i="1" s="1"/>
  <c r="J43" i="1" a="1"/>
  <c r="J43" i="1" s="1"/>
  <c r="G43" i="1" a="1"/>
  <c r="G43" i="1" s="1"/>
  <c r="O43" i="1" a="1"/>
  <c r="O43" i="1" s="1"/>
  <c r="D43" i="1" a="1"/>
  <c r="D43" i="1" s="1"/>
  <c r="M43" i="1" a="1"/>
  <c r="M43" i="1" s="1"/>
  <c r="L43" i="1" a="1"/>
  <c r="L43" i="1" s="1"/>
  <c r="M41" i="1" a="1"/>
  <c r="M41" i="1" s="1"/>
  <c r="L41" i="1" a="1"/>
  <c r="L41" i="1" s="1"/>
  <c r="H41" i="1" a="1"/>
  <c r="H41" i="1" s="1"/>
  <c r="D41" i="1" a="1"/>
  <c r="D41" i="1" s="1"/>
  <c r="K41" i="1" a="1"/>
  <c r="K41" i="1" s="1"/>
  <c r="G41" i="1" a="1"/>
  <c r="G41" i="1" s="1"/>
  <c r="J41" i="1" a="1"/>
  <c r="J41" i="1" s="1"/>
  <c r="O41" i="1" a="1"/>
  <c r="O41" i="1" s="1"/>
  <c r="I41" i="1" a="1"/>
  <c r="I41" i="1" s="1"/>
  <c r="A41" i="1" a="1"/>
  <c r="A41" i="1" s="1"/>
  <c r="N41" i="1" a="1"/>
  <c r="N41" i="1" s="1"/>
  <c r="F41" i="1" a="1"/>
  <c r="F41" i="1" s="1"/>
  <c r="E41" i="1" a="1"/>
  <c r="E41" i="1" s="1"/>
  <c r="AC44" i="1" a="1"/>
  <c r="AC44" i="1" s="1"/>
  <c r="AB44" i="1" a="1"/>
  <c r="AB44" i="1" s="1"/>
  <c r="W44" i="1" a="1"/>
  <c r="W44" i="1" s="1"/>
  <c r="Q44" i="1" a="1"/>
  <c r="Q44" i="1" s="1"/>
  <c r="U44" i="1" a="1"/>
  <c r="U44" i="1" s="1"/>
  <c r="Z44" i="1" a="1"/>
  <c r="Z44" i="1" s="1"/>
  <c r="T44" i="1" a="1"/>
  <c r="T44" i="1" s="1"/>
  <c r="Y44" i="1" a="1"/>
  <c r="Y44" i="1" s="1"/>
  <c r="X44" i="1" a="1"/>
  <c r="X44" i="1" s="1"/>
  <c r="AA44" i="1" a="1"/>
  <c r="AA44" i="1" s="1"/>
  <c r="V44" i="1" a="1"/>
  <c r="V44" i="1" s="1"/>
  <c r="W45" i="1" a="1"/>
  <c r="W45" i="1" s="1"/>
  <c r="AB45" i="1" a="1"/>
  <c r="AB45" i="1" s="1"/>
  <c r="V45" i="1" a="1"/>
  <c r="V45" i="1" s="1"/>
  <c r="AA45" i="1" a="1"/>
  <c r="AA45" i="1" s="1"/>
  <c r="Z45" i="1" a="1"/>
  <c r="Z45" i="1" s="1"/>
  <c r="U45" i="1" a="1"/>
  <c r="U45" i="1" s="1"/>
  <c r="Y45" i="1" a="1"/>
  <c r="Y45" i="1" s="1"/>
  <c r="T45" i="1" a="1"/>
  <c r="T45" i="1" s="1"/>
  <c r="AC45" i="1" a="1"/>
  <c r="AC45" i="1" s="1"/>
  <c r="X45" i="1" a="1"/>
  <c r="X45" i="1" s="1"/>
  <c r="Q45" i="1" a="1"/>
  <c r="Q45" i="1" s="1"/>
  <c r="AO39" i="1" a="1"/>
  <c r="AO39" i="1" s="1"/>
  <c r="AK39" i="1" a="1"/>
  <c r="AK39" i="1" s="1"/>
  <c r="AF39" i="1" a="1"/>
  <c r="AF39" i="1" s="1"/>
  <c r="AP39" i="1" a="1"/>
  <c r="AP39" i="1" s="1"/>
  <c r="AJ39" i="1" a="1"/>
  <c r="AJ39" i="1" s="1"/>
  <c r="AN39" i="1" a="1"/>
  <c r="AN39" i="1" s="1"/>
  <c r="AI39" i="1" a="1"/>
  <c r="AI39" i="1" s="1"/>
  <c r="AR39" i="1" a="1"/>
  <c r="AR39" i="1" s="1"/>
  <c r="AM39" i="1" a="1"/>
  <c r="AM39" i="1" s="1"/>
  <c r="AQ39" i="1" a="1"/>
  <c r="AQ39" i="1" s="1"/>
  <c r="AL39" i="1" a="1"/>
  <c r="AL39" i="1" s="1"/>
  <c r="AN47" i="1" a="1"/>
  <c r="AN47" i="1" s="1"/>
  <c r="AI47" i="1" a="1"/>
  <c r="AI47" i="1" s="1"/>
  <c r="AR47" i="1" a="1"/>
  <c r="AR47" i="1" s="1"/>
  <c r="AM47" i="1" a="1"/>
  <c r="AM47" i="1" s="1"/>
  <c r="AF47" i="1" a="1"/>
  <c r="AF47" i="1" s="1"/>
  <c r="AL47" i="1" a="1"/>
  <c r="AL47" i="1" s="1"/>
  <c r="AQ47" i="1" a="1"/>
  <c r="AQ47" i="1" s="1"/>
  <c r="AK47" i="1" a="1"/>
  <c r="AK47" i="1" s="1"/>
  <c r="AP47" i="1" a="1"/>
  <c r="AP47" i="1" s="1"/>
  <c r="AO47" i="1" a="1"/>
  <c r="AO47" i="1" s="1"/>
  <c r="AJ47" i="1" a="1"/>
  <c r="AJ47" i="1" s="1"/>
  <c r="N40" i="1" a="1"/>
  <c r="N40" i="1" s="1"/>
  <c r="J40" i="1" a="1"/>
  <c r="J40" i="1" s="1"/>
  <c r="F40" i="1" a="1"/>
  <c r="F40" i="1" s="1"/>
  <c r="A40" i="1" a="1"/>
  <c r="A40" i="1" s="1"/>
  <c r="M40" i="1" a="1"/>
  <c r="M40" i="1" s="1"/>
  <c r="I40" i="1" a="1"/>
  <c r="I40" i="1" s="1"/>
  <c r="D40" i="1" a="1"/>
  <c r="D40" i="1" s="1"/>
  <c r="O40" i="1" a="1"/>
  <c r="O40" i="1" s="1"/>
  <c r="H40" i="1" a="1"/>
  <c r="H40" i="1" s="1"/>
  <c r="G40" i="1" a="1"/>
  <c r="G40" i="1" s="1"/>
  <c r="L40" i="1" a="1"/>
  <c r="L40" i="1" s="1"/>
  <c r="E40" i="1" a="1"/>
  <c r="E40" i="1" s="1"/>
  <c r="K40" i="1" a="1"/>
  <c r="K40" i="1" s="1"/>
  <c r="N34" i="1" a="1"/>
  <c r="N34" i="1" s="1"/>
  <c r="J34" i="1" a="1"/>
  <c r="J34" i="1" s="1"/>
  <c r="F34" i="1" a="1"/>
  <c r="F34" i="1" s="1"/>
  <c r="A34" i="1" a="1"/>
  <c r="A34" i="1" s="1"/>
  <c r="M34" i="1" a="1"/>
  <c r="M34" i="1" s="1"/>
  <c r="H34" i="1" a="1"/>
  <c r="H34" i="1" s="1"/>
  <c r="O34" i="1" a="1"/>
  <c r="O34" i="1" s="1"/>
  <c r="D34" i="1" a="1"/>
  <c r="D34" i="1" s="1"/>
  <c r="L34" i="1" a="1"/>
  <c r="L34" i="1" s="1"/>
  <c r="G34" i="1" a="1"/>
  <c r="G34" i="1" s="1"/>
  <c r="K34" i="1" a="1"/>
  <c r="K34" i="1" s="1"/>
  <c r="E34" i="1" a="1"/>
  <c r="E34" i="1" s="1"/>
  <c r="I34" i="1" a="1"/>
  <c r="I34" i="1" s="1"/>
  <c r="L37" i="1" a="1"/>
  <c r="L37" i="1" s="1"/>
  <c r="H37" i="1" a="1"/>
  <c r="H37" i="1" s="1"/>
  <c r="D37" i="1" a="1"/>
  <c r="D37" i="1" s="1"/>
  <c r="K37" i="1" a="1"/>
  <c r="K37" i="1" s="1"/>
  <c r="F37" i="1" a="1"/>
  <c r="F37" i="1" s="1"/>
  <c r="O37" i="1" a="1"/>
  <c r="O37" i="1" s="1"/>
  <c r="J37" i="1" a="1"/>
  <c r="J37" i="1" s="1"/>
  <c r="E37" i="1" a="1"/>
  <c r="E37" i="1" s="1"/>
  <c r="M37" i="1" a="1"/>
  <c r="M37" i="1" s="1"/>
  <c r="N37" i="1" a="1"/>
  <c r="N37" i="1" s="1"/>
  <c r="I37" i="1" a="1"/>
  <c r="I37" i="1" s="1"/>
  <c r="G37" i="1" a="1"/>
  <c r="G37" i="1" s="1"/>
  <c r="A37" i="1" a="1"/>
  <c r="A37" i="1" s="1"/>
  <c r="K44" i="1" a="1"/>
  <c r="K44" i="1" s="1"/>
  <c r="J44" i="1" a="1"/>
  <c r="J44" i="1" s="1"/>
  <c r="E44" i="1" a="1"/>
  <c r="E44" i="1" s="1"/>
  <c r="O44" i="1" a="1"/>
  <c r="O44" i="1" s="1"/>
  <c r="M44" i="1" a="1"/>
  <c r="M44" i="1" s="1"/>
  <c r="H44" i="1" a="1"/>
  <c r="H44" i="1" s="1"/>
  <c r="A44" i="1" a="1"/>
  <c r="A44" i="1" s="1"/>
  <c r="N44" i="1" a="1"/>
  <c r="N44" i="1" s="1"/>
  <c r="L44" i="1" a="1"/>
  <c r="L44" i="1" s="1"/>
  <c r="I44" i="1" a="1"/>
  <c r="I44" i="1" s="1"/>
  <c r="G44" i="1" a="1"/>
  <c r="G44" i="1" s="1"/>
  <c r="F44" i="1" a="1"/>
  <c r="F44" i="1" s="1"/>
  <c r="D44" i="1" a="1"/>
  <c r="D44" i="1" s="1"/>
  <c r="AB38" i="1" a="1"/>
  <c r="AB38" i="1" s="1"/>
  <c r="X38" i="1" a="1"/>
  <c r="X38" i="1" s="1"/>
  <c r="T38" i="1" a="1"/>
  <c r="T38" i="1" s="1"/>
  <c r="AC38" i="1" a="1"/>
  <c r="AC38" i="1" s="1"/>
  <c r="W38" i="1" a="1"/>
  <c r="W38" i="1" s="1"/>
  <c r="Q38" i="1" a="1"/>
  <c r="Q38" i="1" s="1"/>
  <c r="AA38" i="1" a="1"/>
  <c r="AA38" i="1" s="1"/>
  <c r="V38" i="1" a="1"/>
  <c r="V38" i="1" s="1"/>
  <c r="Z38" i="1" a="1"/>
  <c r="Z38" i="1" s="1"/>
  <c r="U38" i="1" a="1"/>
  <c r="U38" i="1" s="1"/>
  <c r="Y38" i="1" a="1"/>
  <c r="Y38" i="1" s="1"/>
  <c r="AA46" i="1" a="1"/>
  <c r="AA46" i="1" s="1"/>
  <c r="V46" i="1" a="1"/>
  <c r="V46" i="1" s="1"/>
  <c r="U46" i="1" a="1"/>
  <c r="U46" i="1" s="1"/>
  <c r="Z46" i="1" a="1"/>
  <c r="Z46" i="1" s="1"/>
  <c r="T46" i="1" a="1"/>
  <c r="T46" i="1" s="1"/>
  <c r="Y46" i="1" a="1"/>
  <c r="Y46" i="1" s="1"/>
  <c r="X46" i="1" a="1"/>
  <c r="X46" i="1" s="1"/>
  <c r="AC46" i="1" a="1"/>
  <c r="AC46" i="1" s="1"/>
  <c r="AB46" i="1" a="1"/>
  <c r="AB46" i="1" s="1"/>
  <c r="W46" i="1" a="1"/>
  <c r="W46" i="1" s="1"/>
  <c r="Q46" i="1" a="1"/>
  <c r="Q46" i="1" s="1"/>
  <c r="AQ42" i="1" a="1"/>
  <c r="AQ42" i="1" s="1"/>
  <c r="AL42" i="1" a="1"/>
  <c r="AL42" i="1" s="1"/>
  <c r="AF42" i="1" a="1"/>
  <c r="AF42" i="1" s="1"/>
  <c r="AJ42" i="1" a="1"/>
  <c r="AJ42" i="1" s="1"/>
  <c r="AI42" i="1" a="1"/>
  <c r="AI42" i="1" s="1"/>
  <c r="AR42" i="1" a="1"/>
  <c r="AR42" i="1" s="1"/>
  <c r="AP42" i="1" a="1"/>
  <c r="AP42" i="1" s="1"/>
  <c r="AO42" i="1" a="1"/>
  <c r="AO42" i="1" s="1"/>
  <c r="AN42" i="1" a="1"/>
  <c r="AN42" i="1" s="1"/>
  <c r="AM42" i="1" a="1"/>
  <c r="AM42" i="1" s="1"/>
  <c r="AK42" i="1" a="1"/>
  <c r="AK42" i="1" s="1"/>
  <c r="AR48" i="1" a="1"/>
  <c r="AR48" i="1" s="1"/>
  <c r="AN48" i="1" a="1"/>
  <c r="AN48" i="1" s="1"/>
  <c r="AJ48" i="1" a="1"/>
  <c r="AJ48" i="1" s="1"/>
  <c r="AO48" i="1" a="1"/>
  <c r="AO48" i="1" s="1"/>
  <c r="AM48" i="1" a="1"/>
  <c r="AM48" i="1" s="1"/>
  <c r="AF48" i="1" a="1"/>
  <c r="AF48" i="1" s="1"/>
  <c r="AL48" i="1" a="1"/>
  <c r="AL48" i="1" s="1"/>
  <c r="AQ48" i="1" a="1"/>
  <c r="AQ48" i="1" s="1"/>
  <c r="AK48" i="1" a="1"/>
  <c r="AK48" i="1" s="1"/>
  <c r="AP48" i="1" a="1"/>
  <c r="AP48" i="1" s="1"/>
  <c r="AI48" i="1" a="1"/>
  <c r="AI48" i="1" s="1"/>
</calcChain>
</file>

<file path=xl/sharedStrings.xml><?xml version="1.0" encoding="utf-8"?>
<sst xmlns="http://schemas.openxmlformats.org/spreadsheetml/2006/main" count="3091" uniqueCount="350">
  <si>
    <t xml:space="preserve">Quality Control KPI Dashboard  </t>
  </si>
  <si>
    <t>Quality Management.</t>
  </si>
  <si>
    <t>Quality Control Dep.</t>
  </si>
  <si>
    <t>Production hall : 1_2_3</t>
  </si>
  <si>
    <t>Date of Report :</t>
  </si>
  <si>
    <t>m</t>
  </si>
  <si>
    <t xml:space="preserve"> عرض العيوب الرئيسية ومتوسط الأوزان فى المنتج النهائى  صالة 1 وصالة 2 وصالة 3 </t>
  </si>
  <si>
    <t>M1-1</t>
  </si>
  <si>
    <t>M2-1</t>
  </si>
  <si>
    <t>M3-2</t>
  </si>
  <si>
    <t>M4-2</t>
  </si>
  <si>
    <t>M5-3</t>
  </si>
  <si>
    <t>M6-3</t>
  </si>
  <si>
    <t>M7-3</t>
  </si>
  <si>
    <t>M8-4</t>
  </si>
  <si>
    <t>M9-5</t>
  </si>
  <si>
    <t>M10-6</t>
  </si>
  <si>
    <t>M18-13</t>
  </si>
  <si>
    <t>M11-7</t>
  </si>
  <si>
    <t>M12-7</t>
  </si>
  <si>
    <t>M13-8</t>
  </si>
  <si>
    <t>M14-9</t>
  </si>
  <si>
    <t>M15-10</t>
  </si>
  <si>
    <t>M16-11</t>
  </si>
  <si>
    <t>M17-12</t>
  </si>
  <si>
    <t>السبت</t>
  </si>
  <si>
    <t xml:space="preserve">اسم المنتج </t>
  </si>
  <si>
    <t>مدى الوزن</t>
  </si>
  <si>
    <t>متوسط الوزن</t>
  </si>
  <si>
    <t>الأحد</t>
  </si>
  <si>
    <t>الإثنين</t>
  </si>
  <si>
    <t>الثلاثاء</t>
  </si>
  <si>
    <t>الأربعاء</t>
  </si>
  <si>
    <t>الخميس</t>
  </si>
  <si>
    <t>الجمعة</t>
  </si>
  <si>
    <t>Code</t>
  </si>
  <si>
    <t>Defect العيب</t>
  </si>
  <si>
    <t>Tolerance</t>
  </si>
  <si>
    <t xml:space="preserve">M10-6  </t>
  </si>
  <si>
    <t xml:space="preserve">M13-8 </t>
  </si>
  <si>
    <t xml:space="preserve">M16-11 </t>
  </si>
  <si>
    <t xml:space="preserve">M17-12 </t>
  </si>
  <si>
    <t xml:space="preserve">معدل الإنحراف اليومى والمتوسط الأسبوعى لماكينات صالة 1 وصالة 2 وصالة 3 </t>
  </si>
  <si>
    <t xml:space="preserve">M10-6 </t>
  </si>
  <si>
    <t xml:space="preserve">السبت </t>
  </si>
  <si>
    <t xml:space="preserve">الأحد </t>
  </si>
  <si>
    <t>sum</t>
  </si>
  <si>
    <t>Average</t>
  </si>
  <si>
    <t>أكواد العيوب</t>
  </si>
  <si>
    <t>كفاءة ماكينات صالة 1 وصالة 2 وصالة 3 (بالإعتماد على نسبة المنتج السليم)</t>
  </si>
  <si>
    <t>Machine</t>
  </si>
  <si>
    <t>الكود</t>
  </si>
  <si>
    <t>الفئة</t>
  </si>
  <si>
    <t>Demerit</t>
  </si>
  <si>
    <t>Efficiency Rate %</t>
  </si>
  <si>
    <t xml:space="preserve">إضافات </t>
  </si>
  <si>
    <t>AD01</t>
  </si>
  <si>
    <t>تكتل الإضافات في جزء واحد</t>
  </si>
  <si>
    <t>AD02</t>
  </si>
  <si>
    <t>إضافات رطبة/مكسورة زيادة</t>
  </si>
  <si>
    <t>AD03</t>
  </si>
  <si>
    <t>نوع إضافات غير مطابق للوصفة</t>
  </si>
  <si>
    <t>AD04</t>
  </si>
  <si>
    <t xml:space="preserve">عدم وجود إضافة / إنسداد فى كل العيون   </t>
  </si>
  <si>
    <t>AD05</t>
  </si>
  <si>
    <t xml:space="preserve">عدم وجود إضافة / إنسداد فى بعض العيون   </t>
  </si>
  <si>
    <t xml:space="preserve">خطر كيميائى </t>
  </si>
  <si>
    <t>CHEM01</t>
  </si>
  <si>
    <t>تسريب</t>
  </si>
  <si>
    <t>LK01</t>
  </si>
  <si>
    <t>تسريب من جسم الكوب/العبوة</t>
  </si>
  <si>
    <t>LK02</t>
  </si>
  <si>
    <t>تسريب من منطقة الغطاء</t>
  </si>
  <si>
    <t>LK03</t>
  </si>
  <si>
    <t>تسريب بعد التجميد</t>
  </si>
  <si>
    <t>LK04</t>
  </si>
  <si>
    <t>تسريب أثناء النقل الداخلي</t>
  </si>
  <si>
    <t>LK05</t>
  </si>
  <si>
    <t>تسريب بسبب تشقق العبوة</t>
  </si>
  <si>
    <t>LK06</t>
  </si>
  <si>
    <t>تسريب من اللحام بعد الفحص</t>
  </si>
  <si>
    <t>خطر ميكروبى</t>
  </si>
  <si>
    <t>MIC01</t>
  </si>
  <si>
    <t xml:space="preserve">حدوث تلوث ميكروبى </t>
  </si>
  <si>
    <t>خطر فيزيائى</t>
  </si>
  <si>
    <t>PH01</t>
  </si>
  <si>
    <t>تلوث/شوائب في الإضافات</t>
  </si>
  <si>
    <t>PH02</t>
  </si>
  <si>
    <t>جسم غريب (بلاستيك/معدن)</t>
  </si>
  <si>
    <t>PH03</t>
  </si>
  <si>
    <t>شعر/ألياف</t>
  </si>
  <si>
    <t>PH04</t>
  </si>
  <si>
    <t>أتربة/رمل</t>
  </si>
  <si>
    <t>PH05</t>
  </si>
  <si>
    <t xml:space="preserve">تلوث المنتج بمواد خام </t>
  </si>
  <si>
    <t>PH06</t>
  </si>
  <si>
    <t>تلوث المنتج بآفات حشرية ومواد سامة</t>
  </si>
  <si>
    <t>PH07</t>
  </si>
  <si>
    <t xml:space="preserve">حدوث تلوث خلطى </t>
  </si>
  <si>
    <t>PH08</t>
  </si>
  <si>
    <t>اكسسورات</t>
  </si>
  <si>
    <t>PH09</t>
  </si>
  <si>
    <t>بقايا ورق/كرتون</t>
  </si>
  <si>
    <t>تعبئة وتغليف</t>
  </si>
  <si>
    <t>PK01</t>
  </si>
  <si>
    <t>اعوجاج/تشوه الكوب</t>
  </si>
  <si>
    <t>PK02</t>
  </si>
  <si>
    <t>كوب مكسور/مشقوق</t>
  </si>
  <si>
    <t>PK03</t>
  </si>
  <si>
    <t>اتساخ الكوب من الداخل قبل التعبئة</t>
  </si>
  <si>
    <t>PK04</t>
  </si>
  <si>
    <t>تجعد/تمزق في ورق التغليف</t>
  </si>
  <si>
    <t>PK05</t>
  </si>
  <si>
    <t>زيادة عدد الكراتين</t>
  </si>
  <si>
    <t>PK06</t>
  </si>
  <si>
    <t>نقص عدد الكراتين</t>
  </si>
  <si>
    <t>PK07</t>
  </si>
  <si>
    <t>تجميع كراتين غير محكم</t>
  </si>
  <si>
    <t>PK08</t>
  </si>
  <si>
    <t>عدم إحكام غلق الغطاء</t>
  </si>
  <si>
    <t>PK09</t>
  </si>
  <si>
    <t>غطاء مكسور/مشقوق</t>
  </si>
  <si>
    <t>PK10</t>
  </si>
  <si>
    <t>عدم وجود غطاء</t>
  </si>
  <si>
    <t>معدل العيوب الموجهه لكل إدارة</t>
  </si>
  <si>
    <t>PK11</t>
  </si>
  <si>
    <t>غطاء غير مطابق للمقاس</t>
  </si>
  <si>
    <t>PK12</t>
  </si>
  <si>
    <t>تراكب/ميل في الغطاء</t>
  </si>
  <si>
    <t>M352025@</t>
  </si>
  <si>
    <t>PK13</t>
  </si>
  <si>
    <t>مضارب الأغطية (خبطات/خدوش)</t>
  </si>
  <si>
    <t>PK14</t>
  </si>
  <si>
    <t>اتساخ الغطاء</t>
  </si>
  <si>
    <t>المخازن</t>
  </si>
  <si>
    <t>PK15</t>
  </si>
  <si>
    <t>تشوه حافة الغطاء</t>
  </si>
  <si>
    <t>نسب حيود  باقى الإدارات</t>
  </si>
  <si>
    <t>PK16</t>
  </si>
  <si>
    <t>عصا مكسورة</t>
  </si>
  <si>
    <t>PK17</t>
  </si>
  <si>
    <t>عصا غير في المنتصف</t>
  </si>
  <si>
    <t>الإنتاج</t>
  </si>
  <si>
    <t>PK18</t>
  </si>
  <si>
    <t>عصا طالعة زيادة/غاطسة زيادة</t>
  </si>
  <si>
    <t>الإنتاج (قسم التشغيل)</t>
  </si>
  <si>
    <t>PK19</t>
  </si>
  <si>
    <t>مضارب العصا (خبطات/تكسرات)</t>
  </si>
  <si>
    <t>الصيانة</t>
  </si>
  <si>
    <t>PK20</t>
  </si>
  <si>
    <t>خشونة/شوائب بالعصا</t>
  </si>
  <si>
    <t>الإنشاءات</t>
  </si>
  <si>
    <t>PK21</t>
  </si>
  <si>
    <t>ضعف لحام الغطاء/الفويل</t>
  </si>
  <si>
    <t>PK22</t>
  </si>
  <si>
    <t>لحام غير مكتمل (جزء مفتوح)</t>
  </si>
  <si>
    <t>المشتريات</t>
  </si>
  <si>
    <t>PK23</t>
  </si>
  <si>
    <t>احتراق/اسوداد في منطقة اللحام</t>
  </si>
  <si>
    <t>الجودة (قسم المعمل)</t>
  </si>
  <si>
    <t>PK24</t>
  </si>
  <si>
    <t>تجعيد الفويل داخل خط اللحام</t>
  </si>
  <si>
    <t>الجودة (قسم توكيد الجودة)</t>
  </si>
  <si>
    <t>PK25</t>
  </si>
  <si>
    <t>انحراف القطعة داخل الرول</t>
  </si>
  <si>
    <t>الجودة (قسم الهايجين)</t>
  </si>
  <si>
    <t>PK26</t>
  </si>
  <si>
    <t>تلوث في خط اللحام (شوكولاتة/ثلج)</t>
  </si>
  <si>
    <t>PK27</t>
  </si>
  <si>
    <t>ضغط لحام عالي يعمل قطع للفويل</t>
  </si>
  <si>
    <t>PK28</t>
  </si>
  <si>
    <t>عيوب الكرتون</t>
  </si>
  <si>
    <t>PK29</t>
  </si>
  <si>
    <t>كرتونة ضعيفة/مبللة</t>
  </si>
  <si>
    <t>PK30</t>
  </si>
  <si>
    <t>سوء رص داخل الكرتونة</t>
  </si>
  <si>
    <t>PK31</t>
  </si>
  <si>
    <t>عدم لصق/تلزيق الكرتونة</t>
  </si>
  <si>
    <t>PK32</t>
  </si>
  <si>
    <t>مكونات غير مدونة/خطأ حساسية</t>
  </si>
  <si>
    <t>PK34</t>
  </si>
  <si>
    <t>عطل / توقف روبوتات الماكينة</t>
  </si>
  <si>
    <t>PK35</t>
  </si>
  <si>
    <t>اتساخ الكوب من الخارج</t>
  </si>
  <si>
    <t>PK36</t>
  </si>
  <si>
    <t>باركود كرتونة غير صحيح/غير مقروء</t>
  </si>
  <si>
    <t>طباعة وبيانات</t>
  </si>
  <si>
    <t>PR01</t>
  </si>
  <si>
    <t>خطأ فى طباعة الرسالة</t>
  </si>
  <si>
    <t>PR02</t>
  </si>
  <si>
    <t>عدم وضوح الطباعة</t>
  </si>
  <si>
    <t>PR03</t>
  </si>
  <si>
    <t>انعدام الطباعة</t>
  </si>
  <si>
    <t>PR04</t>
  </si>
  <si>
    <t>طباعة مقلوبة/في مكان غلط</t>
  </si>
  <si>
    <t>PR05</t>
  </si>
  <si>
    <t>خطأ في اسم المنتج/الباركود</t>
  </si>
  <si>
    <t>جودة المنتج</t>
  </si>
  <si>
    <t>Q01</t>
  </si>
  <si>
    <t>قوام ناعم زيادة (ذوبان/ضعف تجميد/ سيولة )</t>
  </si>
  <si>
    <t>Q02</t>
  </si>
  <si>
    <t>قوام متصلب</t>
  </si>
  <si>
    <t>Q03</t>
  </si>
  <si>
    <t>بلورات ثلجية واضحة</t>
  </si>
  <si>
    <t>Q04</t>
  </si>
  <si>
    <t>انفصال دهني/تزييت</t>
  </si>
  <si>
    <t>Q05</t>
  </si>
  <si>
    <t>طعم/رائحة غير طبيعية</t>
  </si>
  <si>
    <t>Q06</t>
  </si>
  <si>
    <t>لون غير مطابق</t>
  </si>
  <si>
    <t>Q07</t>
  </si>
  <si>
    <t>تكتل/تحبب في المنتج</t>
  </si>
  <si>
    <t>Q08</t>
  </si>
  <si>
    <t>فقاعات/فراغات داخل المنتج</t>
  </si>
  <si>
    <t>Q09</t>
  </si>
  <si>
    <t>شكل غير متناسق</t>
  </si>
  <si>
    <t xml:space="preserve">إنحرافات التبريد </t>
  </si>
  <si>
    <t>T01</t>
  </si>
  <si>
    <t>ارتفاع حرارة الفريزر</t>
  </si>
  <si>
    <t>T02</t>
  </si>
  <si>
    <t>انخفاض حرارة شديد (تجمد زائد)</t>
  </si>
  <si>
    <t>T03</t>
  </si>
  <si>
    <t>وقت تجميد غير كافي</t>
  </si>
  <si>
    <t>T04</t>
  </si>
  <si>
    <t>تذبذب الحرارة أثناء التشغيل</t>
  </si>
  <si>
    <t>T05</t>
  </si>
  <si>
    <t>تكوّن ثلج زائد على المعدات</t>
  </si>
  <si>
    <t>T06</t>
  </si>
  <si>
    <t>انسداد هواء/مراوح ضعيفة</t>
  </si>
  <si>
    <t>تخزين ونقل</t>
  </si>
  <si>
    <t>VA01</t>
  </si>
  <si>
    <t>تكسير/سحق أثناء النقل الداخلي</t>
  </si>
  <si>
    <t>VA02</t>
  </si>
  <si>
    <t>تعرض لحرارة أثناء التحميل</t>
  </si>
  <si>
    <t>VA03</t>
  </si>
  <si>
    <t>تكديس خاطئ يسبب تلف العبوات</t>
  </si>
  <si>
    <t>VA04</t>
  </si>
  <si>
    <t>اختلاط دفعات/عدم تتبع</t>
  </si>
  <si>
    <t>أوزان</t>
  </si>
  <si>
    <t>W01</t>
  </si>
  <si>
    <t>نقص وزن</t>
  </si>
  <si>
    <t>W02</t>
  </si>
  <si>
    <t>زيادة وزن</t>
  </si>
  <si>
    <t>W03</t>
  </si>
  <si>
    <t>تذبذب وزن</t>
  </si>
  <si>
    <t>W04</t>
  </si>
  <si>
    <t>نقص الإضافات (مكسرات/بسكوت/شوكولاتة)</t>
  </si>
  <si>
    <t>W05</t>
  </si>
  <si>
    <t>زيادة الإضافات</t>
  </si>
  <si>
    <t>W06</t>
  </si>
  <si>
    <t>توزيع غير منتظم للإضافات</t>
  </si>
  <si>
    <t>W07</t>
  </si>
  <si>
    <t>عدم تفعيل ميزان العد</t>
  </si>
  <si>
    <t>حجز وتحليل</t>
  </si>
  <si>
    <t>X01</t>
  </si>
  <si>
    <t>منتج غير مطابق بدون سبب واضح (يحتاج تحقيق)</t>
  </si>
  <si>
    <t>ماكينة كونو 1( M1-1   )</t>
  </si>
  <si>
    <t>ماكينة كونو2 ( M2-1   )</t>
  </si>
  <si>
    <t>ماكينة كونو3 ( M3-2   )</t>
  </si>
  <si>
    <t>ماكينة كونو4 ( M4-2   )</t>
  </si>
  <si>
    <t>اسم المنتج</t>
  </si>
  <si>
    <t>الباتشة</t>
  </si>
  <si>
    <t>اليوم</t>
  </si>
  <si>
    <t>التاريخ</t>
  </si>
  <si>
    <t>الوردية</t>
  </si>
  <si>
    <t>وزن البسكوت</t>
  </si>
  <si>
    <t xml:space="preserve">وزن شوكلاتة السفلية </t>
  </si>
  <si>
    <t>وزن الآيس</t>
  </si>
  <si>
    <t>وزن الصوص</t>
  </si>
  <si>
    <t>وزن المكسرات</t>
  </si>
  <si>
    <t>الحد الأدنى</t>
  </si>
  <si>
    <t xml:space="preserve">الوزن الفعلى </t>
  </si>
  <si>
    <t xml:space="preserve">الحد الأعلى </t>
  </si>
  <si>
    <t>I</t>
  </si>
  <si>
    <t>II</t>
  </si>
  <si>
    <t>الاربعاء</t>
  </si>
  <si>
    <t>ماكينة 5G M5-3</t>
  </si>
  <si>
    <t>ماكينةالمزاج  M6-3</t>
  </si>
  <si>
    <t>ماكينةالفريسكو  M7-3</t>
  </si>
  <si>
    <t>ماكينةكومبو M8-4</t>
  </si>
  <si>
    <t>وزن الكراميل</t>
  </si>
  <si>
    <t>وزن الشوكولاتةالعلوية</t>
  </si>
  <si>
    <t>وزن الشوكولاتة العلوية</t>
  </si>
  <si>
    <t>ماكينة السويتش M9-5</t>
  </si>
  <si>
    <t xml:space="preserve"> ماكينة الأستيك M10-6 </t>
  </si>
  <si>
    <t xml:space="preserve"> ماكينة الأستيك M10-6 (PK2)</t>
  </si>
  <si>
    <t>ماكينة الفروتى M18-13</t>
  </si>
  <si>
    <t>Weekly Deviations Record Prpduction Hall 1</t>
  </si>
  <si>
    <t>الماكينة</t>
  </si>
  <si>
    <t>M10-6 (PK2)</t>
  </si>
  <si>
    <t>Defect Av. Rate %</t>
  </si>
  <si>
    <t xml:space="preserve">الإنتاجية </t>
  </si>
  <si>
    <t>Deviation Daily Rate %</t>
  </si>
  <si>
    <t>Dev.W.Rate%</t>
  </si>
  <si>
    <t>متوسط الأسبوع</t>
  </si>
  <si>
    <t>Machine Efficiency</t>
  </si>
  <si>
    <t>M10-62</t>
  </si>
  <si>
    <t>ماكينة 5G M11-7</t>
  </si>
  <si>
    <t>ماكينة 5G M12-7</t>
  </si>
  <si>
    <t>ماكينة الأستيك M13-8</t>
  </si>
  <si>
    <t>ماكينة الأستيك M13-8(PK2)</t>
  </si>
  <si>
    <t>ماكينة الأستيك M16-11</t>
  </si>
  <si>
    <t>ماكينة الأستيك M16-11(PK2)</t>
  </si>
  <si>
    <t xml:space="preserve"> وزن البسكوت</t>
  </si>
  <si>
    <t>ماكينة كومبو M14-9</t>
  </si>
  <si>
    <t>ماكينة كومبو M15-10</t>
  </si>
  <si>
    <t>ماكينة الأستيك M17-12</t>
  </si>
  <si>
    <t>ماكينة الأستيك M17-12(PK2)</t>
  </si>
  <si>
    <t>Weekly Deviations Record Prpduction Hall 2</t>
  </si>
  <si>
    <t>M13-8(PK2)</t>
  </si>
  <si>
    <t>M16-11(PK2)</t>
  </si>
  <si>
    <t>M17-12(PK2)</t>
  </si>
  <si>
    <t>إسم المنتج</t>
  </si>
  <si>
    <t>الإنتاجية</t>
  </si>
  <si>
    <t>M13-82</t>
  </si>
  <si>
    <t>M16-113</t>
  </si>
  <si>
    <t>M17-124</t>
  </si>
  <si>
    <t>Weekly Deviations Record Prpduction Hall 3</t>
  </si>
  <si>
    <t>CAPA Procedure</t>
  </si>
  <si>
    <t>Customer Complaint Procedure</t>
  </si>
  <si>
    <t>م</t>
  </si>
  <si>
    <t>اسم العميل</t>
  </si>
  <si>
    <t>ملخص الشكوى</t>
  </si>
  <si>
    <t>تاريخ الشكوى</t>
  </si>
  <si>
    <t>رقم الشكوى</t>
  </si>
  <si>
    <t>الإدارة المعنية</t>
  </si>
  <si>
    <t>المسؤل عن حل الشكوى</t>
  </si>
  <si>
    <t>الافعال التصحيحية/الوقائية لحل مشكلة العميل</t>
  </si>
  <si>
    <t>حــل الشكوى</t>
  </si>
  <si>
    <t>إبلاغ العميل بالموقف من التنفيذ</t>
  </si>
  <si>
    <t>وقت وتاريخ إبلاغ العميل</t>
  </si>
  <si>
    <t>الماكينة Machine</t>
  </si>
  <si>
    <t>اليوم   Day</t>
  </si>
  <si>
    <t>التاريخ Date</t>
  </si>
  <si>
    <t xml:space="preserve"> الوردية Shift</t>
  </si>
  <si>
    <t xml:space="preserve">      الوقت      Time   </t>
  </si>
  <si>
    <t>رقم الباتشة Patch No</t>
  </si>
  <si>
    <t>المنتج    Product</t>
  </si>
  <si>
    <t>الكمية     Quantity</t>
  </si>
  <si>
    <t>كود العيب Defect code</t>
  </si>
  <si>
    <t xml:space="preserve"> السبب المحتمل Probable Cause</t>
  </si>
  <si>
    <t>الإجراء التصحيحى الفورى Correction action</t>
  </si>
  <si>
    <t xml:space="preserve">الإجراء التصحيحى Corrective action </t>
  </si>
  <si>
    <t xml:space="preserve">الإجراء الوقائى Prevention action </t>
  </si>
  <si>
    <t xml:space="preserve">حالة الإغلاق /  الموقف النهائى </t>
  </si>
  <si>
    <t>التوجيه للإدارة المعنية</t>
  </si>
  <si>
    <t>Defect Mode</t>
  </si>
  <si>
    <t>تم</t>
  </si>
  <si>
    <t>لم يتم بعد</t>
  </si>
  <si>
    <t>لم يتم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</si>
</sst>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0000]h:mm:ss;@"/>
    <numFmt numFmtId="165" formatCode="0.00&quot;%&quot;"/>
    <numFmt numFmtId="166" formatCode="0.000&quot;%&quot;"/>
  </numFmts>
  <fonts count="38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48"/>
      <color theme="1"/>
      <name val="Times New Roman"/>
      <family val="1"/>
    </font>
    <font>
      <b/>
      <sz val="20"/>
      <name val="Times New Roman"/>
      <family val="1"/>
    </font>
    <font>
      <b/>
      <sz val="28"/>
      <color theme="0"/>
      <name val="Times New Roman"/>
      <family val="1"/>
    </font>
    <font>
      <b/>
      <sz val="22"/>
      <color theme="0"/>
      <name val="Times New Roman"/>
      <family val="1"/>
    </font>
    <font>
      <b/>
      <sz val="22"/>
      <name val="Times New Roman"/>
      <family val="1"/>
    </font>
    <font>
      <b/>
      <sz val="48"/>
      <name val="Times New Roman"/>
      <family val="1"/>
    </font>
    <font>
      <b/>
      <sz val="36"/>
      <name val="Times New Roman"/>
      <family val="1"/>
    </font>
    <font>
      <b/>
      <sz val="12"/>
      <color theme="1"/>
      <name val="Times New Roman"/>
      <family val="1"/>
    </font>
    <font>
      <b/>
      <sz val="72"/>
      <color theme="1"/>
      <name val="Times New Roman"/>
      <family val="1"/>
    </font>
    <font>
      <b/>
      <sz val="72"/>
      <color theme="0"/>
      <name val="Times New Roman"/>
      <family val="1"/>
    </font>
    <font>
      <b/>
      <sz val="3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2"/>
      <color theme="1"/>
      <name val="Times New Roman"/>
      <family val="1"/>
    </font>
    <font>
      <b/>
      <sz val="22"/>
      <color rgb="FFFFFFFF"/>
      <name val="Times New Roman"/>
      <family val="1"/>
    </font>
    <font>
      <sz val="22"/>
      <color theme="4" tint="-0.249977111117893"/>
      <name val="Times New Roman"/>
      <family val="1"/>
    </font>
    <font>
      <b/>
      <sz val="22"/>
      <color theme="4" tint="-0.249977111117893"/>
      <name val="Times New Roman"/>
      <family val="1"/>
    </font>
    <font>
      <b/>
      <sz val="22"/>
      <color theme="1"/>
      <name val="Arial"/>
      <family val="2"/>
      <scheme val="minor"/>
    </font>
    <font>
      <b/>
      <sz val="20"/>
      <color rgb="FFFFFFFF"/>
      <name val="Times New Roman"/>
      <family val="1"/>
    </font>
    <font>
      <b/>
      <sz val="48"/>
      <color rgb="FFFFFFFF"/>
      <name val="Times New Roman"/>
      <family val="1"/>
    </font>
    <font>
      <b/>
      <sz val="48"/>
      <color theme="0"/>
      <name val="Times New Roman"/>
      <family val="1"/>
    </font>
    <font>
      <b/>
      <sz val="100"/>
      <color theme="1"/>
      <name val="Times New Roman"/>
      <family val="1"/>
    </font>
    <font>
      <b/>
      <sz val="72"/>
      <color rgb="FFFFFFFF"/>
      <name val="Times New Roman"/>
      <family val="1"/>
    </font>
    <font>
      <b/>
      <sz val="72"/>
      <color theme="4" tint="-0.249977111117893"/>
      <name val="Times New Roman"/>
      <family val="1"/>
    </font>
    <font>
      <b/>
      <sz val="65"/>
      <color theme="4" tint="-0.249977111117893"/>
      <name val="Times New Roman"/>
      <family val="1"/>
    </font>
    <font>
      <b/>
      <sz val="65"/>
      <color rgb="FFFFFFFF"/>
      <name val="Times New Roman"/>
      <family val="1"/>
    </font>
    <font>
      <b/>
      <sz val="100"/>
      <name val="Times New Roman"/>
      <family val="1"/>
    </font>
    <font>
      <b/>
      <sz val="70"/>
      <name val="Times New Roman"/>
      <family val="1"/>
    </font>
    <font>
      <b/>
      <sz val="70"/>
      <color theme="0"/>
      <name val="Times New Roman"/>
      <family val="1"/>
    </font>
    <font>
      <b/>
      <sz val="70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28"/>
      <color theme="1"/>
      <name val="Times New Roman"/>
      <family val="1"/>
    </font>
    <font>
      <b/>
      <sz val="120"/>
      <color theme="1"/>
      <name val="Times New Roman"/>
      <family val="1"/>
    </font>
    <font>
      <b/>
      <sz val="120"/>
      <color theme="0"/>
      <name val="Times New Roman"/>
      <family val="1"/>
    </font>
    <font>
      <b/>
      <sz val="96"/>
      <color theme="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theme="4"/>
      </bottom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indexed="64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rgb="FF9E9E9E"/>
      </left>
      <right/>
      <top style="thin">
        <color rgb="FF9E9E9E"/>
      </top>
      <bottom style="thin">
        <color theme="4" tint="0.39997558519241921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theme="4" tint="0.39997558519241921"/>
      </bottom>
      <diagonal/>
    </border>
    <border>
      <left style="thin">
        <color rgb="FF9E9E9E"/>
      </left>
      <right style="thin">
        <color theme="4" tint="0.39997558519241921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33" fillId="0" borderId="0"/>
  </cellStyleXfs>
  <cellXfs count="264">
    <xf numFmtId="0" fontId="0" fillId="0" borderId="0" xfId="0"/>
    <xf numFmtId="2" fontId="3" fillId="0" borderId="0" xfId="0" applyNumberFormat="1" applyFont="1" applyAlignment="1" applyProtection="1">
      <alignment horizontal="center" vertical="center"/>
      <protection locked="0"/>
    </xf>
    <xf numFmtId="2" fontId="6" fillId="5" borderId="2" xfId="0" applyNumberFormat="1" applyFont="1" applyFill="1" applyBorder="1" applyAlignment="1" applyProtection="1">
      <alignment vertical="center"/>
      <protection locked="0"/>
    </xf>
    <xf numFmtId="2" fontId="2" fillId="5" borderId="0" xfId="0" applyNumberFormat="1" applyFont="1" applyFill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4" xfId="0" applyNumberFormat="1" applyFont="1" applyBorder="1" applyAlignment="1" applyProtection="1">
      <alignment horizontal="center" vertical="center" wrapText="1"/>
      <protection locked="0"/>
    </xf>
    <xf numFmtId="2" fontId="2" fillId="0" borderId="3" xfId="0" applyNumberFormat="1" applyFont="1" applyBorder="1" applyAlignment="1" applyProtection="1">
      <alignment horizontal="center" vertical="center" wrapText="1"/>
      <protection locked="0"/>
    </xf>
    <xf numFmtId="14" fontId="2" fillId="0" borderId="3" xfId="0" applyNumberFormat="1" applyFont="1" applyBorder="1" applyAlignment="1" applyProtection="1">
      <alignment horizontal="center" vertical="center" wrapText="1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locked="0"/>
    </xf>
    <xf numFmtId="2" fontId="2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 readingOrder="1"/>
      <protection locked="0"/>
    </xf>
    <xf numFmtId="0" fontId="11" fillId="0" borderId="30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2" fontId="4" fillId="0" borderId="0" xfId="0" applyNumberFormat="1" applyFont="1" applyAlignment="1" applyProtection="1">
      <alignment horizontal="center" vertical="center" wrapText="1"/>
      <protection locked="0"/>
    </xf>
    <xf numFmtId="2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14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164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2" fontId="2" fillId="5" borderId="5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6" xfId="0" applyNumberFormat="1" applyFont="1" applyBorder="1" applyAlignment="1" applyProtection="1">
      <alignment horizontal="center" vertical="center" wrapText="1"/>
      <protection locked="0"/>
    </xf>
    <xf numFmtId="2" fontId="2" fillId="0" borderId="7" xfId="0" applyNumberFormat="1" applyFont="1" applyBorder="1" applyAlignment="1" applyProtection="1">
      <alignment horizontal="center" vertical="center" wrapText="1"/>
      <protection locked="0"/>
    </xf>
    <xf numFmtId="14" fontId="2" fillId="0" borderId="7" xfId="0" applyNumberFormat="1" applyFont="1" applyBorder="1" applyAlignment="1" applyProtection="1">
      <alignment horizontal="center" vertical="center" wrapText="1"/>
      <protection locked="0"/>
    </xf>
    <xf numFmtId="164" fontId="2" fillId="0" borderId="7" xfId="0" applyNumberFormat="1" applyFont="1" applyBorder="1" applyAlignment="1" applyProtection="1">
      <alignment horizontal="center" vertical="center" wrapText="1"/>
      <protection locked="0"/>
    </xf>
    <xf numFmtId="2" fontId="2" fillId="0" borderId="8" xfId="0" applyNumberFormat="1" applyFont="1" applyBorder="1" applyAlignment="1" applyProtection="1">
      <alignment horizontal="center" vertical="center" wrapText="1"/>
      <protection locked="0"/>
    </xf>
    <xf numFmtId="14" fontId="2" fillId="0" borderId="0" xfId="0" applyNumberFormat="1" applyFont="1" applyAlignment="1" applyProtection="1">
      <alignment horizontal="center" vertical="center" wrapText="1"/>
      <protection locked="0"/>
    </xf>
    <xf numFmtId="164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hidden="1"/>
    </xf>
    <xf numFmtId="2" fontId="5" fillId="7" borderId="12" xfId="0" applyNumberFormat="1" applyFont="1" applyFill="1" applyBorder="1" applyAlignment="1" applyProtection="1">
      <alignment horizontal="center" vertical="center" wrapText="1"/>
      <protection hidden="1"/>
    </xf>
    <xf numFmtId="2" fontId="5" fillId="7" borderId="14" xfId="0" applyNumberFormat="1" applyFont="1" applyFill="1" applyBorder="1" applyAlignment="1" applyProtection="1">
      <alignment horizontal="center" vertical="center" wrapText="1"/>
      <protection hidden="1"/>
    </xf>
    <xf numFmtId="14" fontId="5" fillId="7" borderId="14" xfId="0" applyNumberFormat="1" applyFont="1" applyFill="1" applyBorder="1" applyAlignment="1" applyProtection="1">
      <alignment horizontal="center" vertical="center" wrapText="1"/>
      <protection hidden="1"/>
    </xf>
    <xf numFmtId="164" fontId="8" fillId="7" borderId="14" xfId="0" applyNumberFormat="1" applyFont="1" applyFill="1" applyBorder="1" applyAlignment="1" applyProtection="1">
      <alignment horizontal="center" vertical="center" wrapText="1"/>
      <protection hidden="1"/>
    </xf>
    <xf numFmtId="2" fontId="5" fillId="7" borderId="11" xfId="0" applyNumberFormat="1" applyFont="1" applyFill="1" applyBorder="1" applyAlignment="1" applyProtection="1">
      <alignment horizontal="center" vertical="center" wrapText="1"/>
      <protection hidden="1"/>
    </xf>
    <xf numFmtId="2" fontId="9" fillId="7" borderId="3" xfId="0" applyNumberFormat="1" applyFont="1" applyFill="1" applyBorder="1" applyAlignment="1" applyProtection="1">
      <alignment horizontal="center" vertical="center" wrapText="1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" fontId="15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4" borderId="8" xfId="0" applyNumberFormat="1" applyFont="1" applyFill="1" applyBorder="1" applyAlignment="1" applyProtection="1">
      <alignment horizontal="center" vertical="center"/>
      <protection locked="0"/>
    </xf>
    <xf numFmtId="14" fontId="16" fillId="4" borderId="3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 applyProtection="1">
      <alignment horizontal="center" vertical="center"/>
      <protection hidden="1"/>
    </xf>
    <xf numFmtId="0" fontId="16" fillId="4" borderId="8" xfId="0" applyFont="1" applyFill="1" applyBorder="1" applyAlignment="1" applyProtection="1">
      <alignment horizontal="center" vertical="center"/>
      <protection locked="0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14" borderId="8" xfId="0" applyFont="1" applyFill="1" applyBorder="1" applyAlignment="1" applyProtection="1">
      <alignment horizontal="center" vertical="center"/>
      <protection hidden="1"/>
    </xf>
    <xf numFmtId="0" fontId="16" fillId="4" borderId="8" xfId="0" applyFont="1" applyFill="1" applyBorder="1" applyAlignment="1" applyProtection="1">
      <alignment horizontal="center" vertical="center"/>
      <protection hidden="1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4" borderId="3" xfId="0" applyFont="1" applyFill="1" applyBorder="1" applyAlignment="1" applyProtection="1">
      <alignment horizontal="center" vertical="center"/>
      <protection hidden="1"/>
    </xf>
    <xf numFmtId="0" fontId="18" fillId="0" borderId="17" xfId="0" applyFont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8" fillId="12" borderId="1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8" fillId="12" borderId="19" xfId="0" applyFont="1" applyFill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/>
      <protection hidden="1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8" xfId="0" applyFont="1" applyFill="1" applyBorder="1" applyAlignment="1" applyProtection="1">
      <alignment vertical="center"/>
      <protection hidden="1"/>
    </xf>
    <xf numFmtId="0" fontId="16" fillId="2" borderId="16" xfId="0" applyFont="1" applyFill="1" applyBorder="1" applyAlignment="1" applyProtection="1">
      <alignment vertical="center"/>
      <protection hidden="1"/>
    </xf>
    <xf numFmtId="0" fontId="16" fillId="2" borderId="6" xfId="0" applyFont="1" applyFill="1" applyBorder="1" applyAlignment="1" applyProtection="1">
      <alignment vertical="center"/>
      <protection hidden="1"/>
    </xf>
    <xf numFmtId="0" fontId="16" fillId="14" borderId="3" xfId="0" applyFont="1" applyFill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horizontal="center" vertical="center"/>
      <protection hidden="1"/>
    </xf>
    <xf numFmtId="0" fontId="16" fillId="4" borderId="3" xfId="0" applyFont="1" applyFill="1" applyBorder="1" applyAlignment="1" applyProtection="1">
      <alignment horizontal="center" vertical="center"/>
      <protection locked="0"/>
    </xf>
    <xf numFmtId="0" fontId="17" fillId="8" borderId="0" xfId="0" applyFont="1" applyFill="1" applyAlignment="1" applyProtection="1">
      <alignment horizontal="center" vertical="center" wrapText="1"/>
      <protection locked="0"/>
    </xf>
    <xf numFmtId="0" fontId="17" fillId="8" borderId="28" xfId="0" applyFont="1" applyFill="1" applyBorder="1" applyAlignment="1" applyProtection="1">
      <alignment horizontal="center" vertical="center" wrapText="1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17" fillId="8" borderId="25" xfId="0" applyFont="1" applyFill="1" applyBorder="1" applyAlignment="1" applyProtection="1">
      <alignment horizontal="center" vertical="center" wrapText="1"/>
      <protection locked="0"/>
    </xf>
    <xf numFmtId="0" fontId="17" fillId="8" borderId="27" xfId="0" applyFont="1" applyFill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19" fillId="12" borderId="26" xfId="0" applyFont="1" applyFill="1" applyBorder="1" applyAlignment="1" applyProtection="1">
      <alignment horizontal="center" vertical="center" wrapText="1"/>
      <protection locked="0"/>
    </xf>
    <xf numFmtId="0" fontId="19" fillId="12" borderId="17" xfId="0" applyFont="1" applyFill="1" applyBorder="1" applyAlignment="1" applyProtection="1">
      <alignment horizontal="center" vertical="center" wrapText="1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9" fillId="12" borderId="25" xfId="0" applyFont="1" applyFill="1" applyBorder="1" applyAlignment="1" applyProtection="1">
      <alignment horizontal="center" vertical="center" wrapText="1"/>
      <protection locked="0"/>
    </xf>
    <xf numFmtId="0" fontId="19" fillId="12" borderId="19" xfId="0" applyFont="1" applyFill="1" applyBorder="1" applyAlignment="1" applyProtection="1">
      <alignment horizontal="center" vertical="center" wrapText="1"/>
      <protection locked="0"/>
    </xf>
    <xf numFmtId="0" fontId="16" fillId="5" borderId="5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vertical="center"/>
      <protection hidden="1"/>
    </xf>
    <xf numFmtId="0" fontId="16" fillId="2" borderId="9" xfId="0" applyFont="1" applyFill="1" applyBorder="1" applyAlignment="1" applyProtection="1">
      <alignment vertical="center"/>
      <protection hidden="1"/>
    </xf>
    <xf numFmtId="0" fontId="16" fillId="2" borderId="4" xfId="0" applyFont="1" applyFill="1" applyBorder="1" applyAlignment="1" applyProtection="1">
      <alignment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2" fontId="21" fillId="8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4" fillId="6" borderId="3" xfId="0" applyNumberFormat="1" applyFont="1" applyFill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hidden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2" fontId="22" fillId="17" borderId="17" xfId="0" applyNumberFormat="1" applyFont="1" applyFill="1" applyBorder="1" applyAlignment="1" applyProtection="1">
      <alignment horizontal="center" vertical="center" wrapText="1"/>
      <protection locked="0"/>
    </xf>
    <xf numFmtId="2" fontId="4" fillId="16" borderId="3" xfId="0" applyNumberFormat="1" applyFont="1" applyFill="1" applyBorder="1" applyAlignment="1" applyProtection="1">
      <alignment vertical="center"/>
      <protection hidden="1"/>
    </xf>
    <xf numFmtId="2" fontId="4" fillId="16" borderId="3" xfId="0" applyNumberFormat="1" applyFont="1" applyFill="1" applyBorder="1" applyAlignment="1" applyProtection="1">
      <alignment horizontal="center" vertical="center"/>
      <protection hidden="1"/>
    </xf>
    <xf numFmtId="2" fontId="4" fillId="16" borderId="3" xfId="0" applyNumberFormat="1" applyFont="1" applyFill="1" applyBorder="1" applyAlignment="1" applyProtection="1">
      <alignment vertical="center"/>
      <protection locked="0"/>
    </xf>
    <xf numFmtId="2" fontId="4" fillId="16" borderId="3" xfId="0" applyNumberFormat="1" applyFont="1" applyFill="1" applyBorder="1" applyAlignment="1" applyProtection="1">
      <alignment horizontal="center" vertical="center"/>
      <protection locked="0"/>
    </xf>
    <xf numFmtId="2" fontId="4" fillId="16" borderId="14" xfId="0" applyNumberFormat="1" applyFont="1" applyFill="1" applyBorder="1" applyAlignment="1" applyProtection="1">
      <alignment horizontal="center" vertical="center"/>
      <protection hidden="1"/>
    </xf>
    <xf numFmtId="2" fontId="23" fillId="16" borderId="3" xfId="0" applyNumberFormat="1" applyFont="1" applyFill="1" applyBorder="1" applyAlignment="1" applyProtection="1">
      <alignment horizontal="center" vertical="center"/>
      <protection locked="0"/>
    </xf>
    <xf numFmtId="2" fontId="24" fillId="0" borderId="0" xfId="0" applyNumberFormat="1" applyFont="1" applyAlignment="1" applyProtection="1">
      <alignment horizontal="center" vertical="center"/>
      <protection locked="0"/>
    </xf>
    <xf numFmtId="2" fontId="25" fillId="8" borderId="0" xfId="0" applyNumberFormat="1" applyFont="1" applyFill="1" applyAlignment="1" applyProtection="1">
      <alignment horizontal="center" vertical="center" wrapText="1"/>
      <protection locked="0"/>
    </xf>
    <xf numFmtId="2" fontId="25" fillId="8" borderId="25" xfId="0" applyNumberFormat="1" applyFont="1" applyFill="1" applyBorder="1" applyAlignment="1" applyProtection="1">
      <alignment horizontal="center" vertical="center" wrapText="1"/>
      <protection locked="0"/>
    </xf>
    <xf numFmtId="2" fontId="26" fillId="0" borderId="26" xfId="0" applyNumberFormat="1" applyFont="1" applyBorder="1" applyAlignment="1" applyProtection="1">
      <alignment horizontal="center" vertical="center" wrapText="1"/>
      <protection locked="0"/>
    </xf>
    <xf numFmtId="2" fontId="26" fillId="12" borderId="26" xfId="0" applyNumberFormat="1" applyFont="1" applyFill="1" applyBorder="1" applyAlignment="1" applyProtection="1">
      <alignment horizontal="center" vertical="center" wrapText="1"/>
      <protection locked="0"/>
    </xf>
    <xf numFmtId="2" fontId="25" fillId="8" borderId="18" xfId="0" applyNumberFormat="1" applyFont="1" applyFill="1" applyBorder="1" applyAlignment="1">
      <alignment horizontal="center" vertical="center" wrapText="1"/>
    </xf>
    <xf numFmtId="2" fontId="26" fillId="12" borderId="33" xfId="0" applyNumberFormat="1" applyFont="1" applyFill="1" applyBorder="1" applyAlignment="1">
      <alignment horizontal="center" vertical="center" wrapText="1"/>
    </xf>
    <xf numFmtId="2" fontId="26" fillId="0" borderId="0" xfId="0" applyNumberFormat="1" applyFont="1" applyAlignment="1" applyProtection="1">
      <alignment horizontal="center" vertical="center" wrapText="1"/>
      <protection locked="0"/>
    </xf>
    <xf numFmtId="2" fontId="25" fillId="8" borderId="21" xfId="0" applyNumberFormat="1" applyFont="1" applyFill="1" applyBorder="1" applyAlignment="1" applyProtection="1">
      <alignment horizontal="center" vertical="center" wrapText="1"/>
      <protection locked="0"/>
    </xf>
    <xf numFmtId="2" fontId="25" fillId="8" borderId="18" xfId="0" applyNumberFormat="1" applyFont="1" applyFill="1" applyBorder="1" applyAlignment="1" applyProtection="1">
      <alignment horizontal="center" vertical="center" wrapText="1"/>
      <protection locked="0"/>
    </xf>
    <xf numFmtId="2" fontId="26" fillId="0" borderId="15" xfId="0" applyNumberFormat="1" applyFont="1" applyBorder="1" applyAlignment="1" applyProtection="1">
      <alignment horizontal="center" vertical="center" wrapText="1"/>
      <protection locked="0"/>
    </xf>
    <xf numFmtId="2" fontId="26" fillId="12" borderId="15" xfId="0" applyNumberFormat="1" applyFont="1" applyFill="1" applyBorder="1" applyAlignment="1" applyProtection="1">
      <alignment horizontal="center" vertical="center" wrapText="1"/>
      <protection locked="0"/>
    </xf>
    <xf numFmtId="2" fontId="25" fillId="8" borderId="35" xfId="0" applyNumberFormat="1" applyFont="1" applyFill="1" applyBorder="1" applyAlignment="1">
      <alignment horizontal="center" vertical="center" wrapText="1"/>
    </xf>
    <xf numFmtId="2" fontId="26" fillId="12" borderId="34" xfId="0" applyNumberFormat="1" applyFont="1" applyFill="1" applyBorder="1" applyAlignment="1">
      <alignment horizontal="center" vertical="center" wrapText="1"/>
    </xf>
    <xf numFmtId="2" fontId="26" fillId="12" borderId="17" xfId="0" applyNumberFormat="1" applyFont="1" applyFill="1" applyBorder="1" applyAlignment="1" applyProtection="1">
      <alignment horizontal="center" vertical="center" wrapText="1"/>
      <protection locked="0"/>
    </xf>
    <xf numFmtId="2" fontId="26" fillId="0" borderId="17" xfId="0" applyNumberFormat="1" applyFont="1" applyBorder="1" applyAlignment="1" applyProtection="1">
      <alignment horizontal="center" vertical="center" wrapText="1"/>
      <protection locked="0"/>
    </xf>
    <xf numFmtId="2" fontId="26" fillId="0" borderId="21" xfId="0" applyNumberFormat="1" applyFont="1" applyBorder="1" applyAlignment="1" applyProtection="1">
      <alignment horizontal="center" vertical="center" wrapText="1"/>
      <protection locked="0"/>
    </xf>
    <xf numFmtId="2" fontId="26" fillId="0" borderId="28" xfId="0" applyNumberFormat="1" applyFont="1" applyBorder="1" applyAlignment="1" applyProtection="1">
      <alignment horizontal="center" vertical="center" wrapText="1"/>
      <protection locked="0"/>
    </xf>
    <xf numFmtId="2" fontId="27" fillId="0" borderId="17" xfId="0" applyNumberFormat="1" applyFont="1" applyBorder="1" applyAlignment="1" applyProtection="1">
      <alignment horizontal="center" vertical="center" wrapText="1"/>
      <protection locked="0"/>
    </xf>
    <xf numFmtId="2" fontId="27" fillId="12" borderId="17" xfId="0" applyNumberFormat="1" applyFont="1" applyFill="1" applyBorder="1" applyAlignment="1" applyProtection="1">
      <alignment horizontal="center" vertical="center" wrapText="1"/>
      <protection locked="0"/>
    </xf>
    <xf numFmtId="2" fontId="28" fillId="8" borderId="1" xfId="0" applyNumberFormat="1" applyFont="1" applyFill="1" applyBorder="1" applyAlignment="1">
      <alignment horizontal="center" vertical="center" wrapText="1"/>
    </xf>
    <xf numFmtId="2" fontId="27" fillId="12" borderId="34" xfId="0" applyNumberFormat="1" applyFont="1" applyFill="1" applyBorder="1" applyAlignment="1">
      <alignment horizontal="center" vertical="center" wrapText="1"/>
    </xf>
    <xf numFmtId="2" fontId="28" fillId="8" borderId="1" xfId="0" applyNumberFormat="1" applyFont="1" applyFill="1" applyBorder="1" applyAlignment="1" applyProtection="1">
      <alignment horizontal="center" vertical="center" wrapText="1"/>
      <protection locked="0"/>
    </xf>
    <xf numFmtId="2" fontId="27" fillId="0" borderId="28" xfId="0" applyNumberFormat="1" applyFont="1" applyBorder="1" applyAlignment="1" applyProtection="1">
      <alignment horizontal="center" vertical="center" wrapText="1"/>
      <protection locked="0"/>
    </xf>
    <xf numFmtId="2" fontId="30" fillId="4" borderId="17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 applyProtection="1">
      <alignment horizontal="center" vertical="center"/>
      <protection locked="0"/>
    </xf>
    <xf numFmtId="0" fontId="17" fillId="8" borderId="1" xfId="0" applyFont="1" applyFill="1" applyBorder="1" applyAlignment="1" applyProtection="1">
      <alignment horizontal="center" vertical="center" wrapText="1"/>
      <protection locked="0"/>
    </xf>
    <xf numFmtId="0" fontId="18" fillId="0" borderId="26" xfId="0" applyFont="1" applyBorder="1" applyAlignment="1" applyProtection="1">
      <alignment horizontal="center" vertical="center" wrapText="1"/>
      <protection locked="0"/>
    </xf>
    <xf numFmtId="0" fontId="18" fillId="12" borderId="26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6" fillId="5" borderId="4" xfId="0" applyFont="1" applyFill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2" fontId="20" fillId="0" borderId="0" xfId="0" applyNumberFormat="1" applyFont="1" applyAlignment="1" applyProtection="1">
      <alignment horizontal="center" wrapText="1"/>
      <protection locked="0"/>
    </xf>
    <xf numFmtId="2" fontId="16" fillId="0" borderId="0" xfId="0" applyNumberFormat="1" applyFont="1" applyAlignment="1" applyProtection="1">
      <alignment wrapText="1"/>
      <protection locked="0"/>
    </xf>
    <xf numFmtId="2" fontId="16" fillId="0" borderId="3" xfId="0" applyNumberFormat="1" applyFont="1" applyBorder="1" applyAlignment="1" applyProtection="1">
      <alignment horizontal="center" vertical="center" wrapText="1"/>
      <protection locked="0"/>
    </xf>
    <xf numFmtId="14" fontId="16" fillId="0" borderId="3" xfId="0" applyNumberFormat="1" applyFont="1" applyBorder="1" applyAlignment="1" applyProtection="1">
      <alignment horizontal="center" vertical="center" wrapText="1"/>
      <protection locked="0"/>
    </xf>
    <xf numFmtId="2" fontId="16" fillId="20" borderId="3" xfId="0" applyNumberFormat="1" applyFont="1" applyFill="1" applyBorder="1" applyAlignment="1" applyProtection="1">
      <alignment horizontal="center" vertical="center" wrapText="1"/>
      <protection locked="0"/>
    </xf>
    <xf numFmtId="2" fontId="16" fillId="21" borderId="3" xfId="0" applyNumberFormat="1" applyFont="1" applyFill="1" applyBorder="1" applyAlignment="1" applyProtection="1">
      <alignment horizontal="center" vertical="center" wrapText="1"/>
      <protection locked="0"/>
    </xf>
    <xf numFmtId="14" fontId="16" fillId="0" borderId="0" xfId="0" applyNumberFormat="1" applyFont="1" applyAlignment="1" applyProtection="1">
      <alignment wrapText="1"/>
      <protection locked="0"/>
    </xf>
    <xf numFmtId="2" fontId="16" fillId="0" borderId="0" xfId="0" applyNumberFormat="1" applyFont="1" applyAlignment="1" applyProtection="1">
      <alignment horizontal="center" vertical="center" wrapText="1"/>
      <protection locked="0"/>
    </xf>
    <xf numFmtId="14" fontId="16" fillId="0" borderId="0" xfId="0" applyNumberFormat="1" applyFont="1" applyAlignment="1" applyProtection="1">
      <alignment horizontal="center" vertical="center" wrapText="1"/>
      <protection locked="0"/>
    </xf>
    <xf numFmtId="2" fontId="16" fillId="5" borderId="3" xfId="0" applyNumberFormat="1" applyFont="1" applyFill="1" applyBorder="1" applyAlignment="1" applyProtection="1">
      <alignment horizontal="center" vertical="center" wrapText="1"/>
      <protection locked="0"/>
    </xf>
    <xf numFmtId="2" fontId="16" fillId="5" borderId="0" xfId="0" applyNumberFormat="1" applyFont="1" applyFill="1" applyAlignment="1" applyProtection="1">
      <alignment horizontal="center" vertical="center" wrapText="1"/>
      <protection locked="0"/>
    </xf>
    <xf numFmtId="14" fontId="16" fillId="5" borderId="0" xfId="0" applyNumberFormat="1" applyFont="1" applyFill="1" applyAlignment="1" applyProtection="1">
      <alignment horizontal="center" vertical="center" wrapText="1"/>
      <protection locked="0"/>
    </xf>
    <xf numFmtId="2" fontId="16" fillId="5" borderId="0" xfId="0" applyNumberFormat="1" applyFont="1" applyFill="1" applyAlignment="1" applyProtection="1">
      <alignment vertical="center" wrapText="1"/>
      <protection locked="0"/>
    </xf>
    <xf numFmtId="2" fontId="16" fillId="0" borderId="0" xfId="0" applyNumberFormat="1" applyFont="1" applyAlignment="1" applyProtection="1">
      <alignment wrapText="1"/>
      <protection hidden="1"/>
    </xf>
    <xf numFmtId="2" fontId="16" fillId="4" borderId="3" xfId="0" applyNumberFormat="1" applyFont="1" applyFill="1" applyBorder="1" applyAlignment="1" applyProtection="1">
      <alignment horizontal="center" vertical="center" wrapText="1"/>
      <protection hidden="1"/>
    </xf>
    <xf numFmtId="14" fontId="16" fillId="4" borderId="3" xfId="0" applyNumberFormat="1" applyFont="1" applyFill="1" applyBorder="1" applyAlignment="1" applyProtection="1">
      <alignment horizontal="center" vertical="center" wrapText="1"/>
      <protection hidden="1"/>
    </xf>
    <xf numFmtId="2" fontId="16" fillId="0" borderId="7" xfId="0" applyNumberFormat="1" applyFont="1" applyBorder="1" applyAlignment="1" applyProtection="1">
      <alignment vertical="center" wrapText="1"/>
      <protection hidden="1"/>
    </xf>
    <xf numFmtId="2" fontId="16" fillId="0" borderId="13" xfId="0" applyNumberFormat="1" applyFont="1" applyBorder="1" applyAlignment="1" applyProtection="1">
      <alignment vertical="center" wrapText="1"/>
      <protection hidden="1"/>
    </xf>
    <xf numFmtId="2" fontId="16" fillId="0" borderId="14" xfId="0" applyNumberFormat="1" applyFont="1" applyBorder="1" applyAlignment="1" applyProtection="1">
      <alignment vertical="center" wrapText="1"/>
      <protection hidden="1"/>
    </xf>
    <xf numFmtId="2" fontId="16" fillId="0" borderId="7" xfId="0" applyNumberFormat="1" applyFont="1" applyBorder="1" applyAlignment="1" applyProtection="1">
      <alignment horizontal="center" vertical="center" wrapText="1"/>
      <protection hidden="1"/>
    </xf>
    <xf numFmtId="2" fontId="16" fillId="0" borderId="13" xfId="0" applyNumberFormat="1" applyFont="1" applyBorder="1" applyAlignment="1" applyProtection="1">
      <alignment horizontal="center" vertical="center" wrapText="1"/>
      <protection hidden="1"/>
    </xf>
    <xf numFmtId="2" fontId="16" fillId="0" borderId="14" xfId="0" applyNumberFormat="1" applyFont="1" applyBorder="1" applyAlignment="1" applyProtection="1">
      <alignment horizontal="center" vertical="center" wrapText="1"/>
      <protection hidden="1"/>
    </xf>
    <xf numFmtId="2" fontId="16" fillId="0" borderId="3" xfId="0" applyNumberFormat="1" applyFont="1" applyBorder="1" applyAlignment="1" applyProtection="1">
      <alignment horizontal="center" vertical="center" wrapText="1"/>
      <protection hidden="1"/>
    </xf>
    <xf numFmtId="2" fontId="16" fillId="0" borderId="0" xfId="0" applyNumberFormat="1" applyFont="1" applyAlignment="1" applyProtection="1">
      <alignment horizontal="center" vertical="center" wrapText="1"/>
      <protection hidden="1"/>
    </xf>
    <xf numFmtId="2" fontId="20" fillId="0" borderId="0" xfId="0" applyNumberFormat="1" applyFont="1" applyAlignment="1" applyProtection="1">
      <alignment horizontal="center" wrapText="1"/>
      <protection hidden="1"/>
    </xf>
    <xf numFmtId="14" fontId="20" fillId="0" borderId="0" xfId="0" applyNumberFormat="1" applyFont="1" applyAlignment="1" applyProtection="1">
      <alignment horizontal="center" wrapText="1"/>
      <protection hidden="1"/>
    </xf>
    <xf numFmtId="14" fontId="20" fillId="0" borderId="0" xfId="0" applyNumberFormat="1" applyFont="1" applyAlignment="1" applyProtection="1">
      <alignment horizontal="center" wrapText="1"/>
      <protection locked="0"/>
    </xf>
    <xf numFmtId="2" fontId="20" fillId="0" borderId="3" xfId="0" applyNumberFormat="1" applyFont="1" applyBorder="1" applyAlignment="1" applyProtection="1">
      <alignment horizontal="center" wrapText="1"/>
      <protection locked="0"/>
    </xf>
    <xf numFmtId="14" fontId="20" fillId="0" borderId="3" xfId="0" applyNumberFormat="1" applyFont="1" applyBorder="1" applyAlignment="1" applyProtection="1">
      <alignment horizontal="center" wrapText="1"/>
      <protection locked="0"/>
    </xf>
    <xf numFmtId="0" fontId="17" fillId="8" borderId="12" xfId="0" applyFont="1" applyFill="1" applyBorder="1" applyAlignment="1" applyProtection="1">
      <alignment horizontal="center" vertical="center" wrapText="1"/>
      <protection hidden="1"/>
    </xf>
    <xf numFmtId="0" fontId="17" fillId="8" borderId="14" xfId="0" applyFont="1" applyFill="1" applyBorder="1" applyAlignment="1" applyProtection="1">
      <alignment horizontal="center" vertical="center" wrapText="1"/>
      <protection hidden="1"/>
    </xf>
    <xf numFmtId="2" fontId="17" fillId="8" borderId="14" xfId="0" applyNumberFormat="1" applyFont="1" applyFill="1" applyBorder="1" applyAlignment="1" applyProtection="1">
      <alignment horizontal="center" vertical="center" wrapText="1"/>
      <protection hidden="1"/>
    </xf>
    <xf numFmtId="2" fontId="17" fillId="8" borderId="11" xfId="0" applyNumberFormat="1" applyFont="1" applyFill="1" applyBorder="1" applyAlignment="1" applyProtection="1">
      <alignment horizontal="center" vertical="center" wrapText="1"/>
      <protection hidden="1"/>
    </xf>
    <xf numFmtId="0" fontId="17" fillId="8" borderId="11" xfId="0" applyFont="1" applyFill="1" applyBorder="1" applyAlignment="1" applyProtection="1">
      <alignment horizontal="center" vertical="center" wrapText="1"/>
      <protection hidden="1"/>
    </xf>
    <xf numFmtId="0" fontId="17" fillId="8" borderId="4" xfId="0" applyFont="1" applyFill="1" applyBorder="1" applyAlignment="1" applyProtection="1">
      <alignment horizontal="center" vertical="center" wrapText="1"/>
      <protection hidden="1"/>
    </xf>
    <xf numFmtId="0" fontId="17" fillId="8" borderId="3" xfId="0" applyFont="1" applyFill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8" fillId="0" borderId="4" xfId="0" applyFont="1" applyBorder="1" applyAlignment="1" applyProtection="1">
      <alignment horizontal="center" vertical="center" wrapText="1"/>
      <protection hidden="1"/>
    </xf>
    <xf numFmtId="0" fontId="18" fillId="0" borderId="3" xfId="0" applyFont="1" applyBorder="1" applyAlignment="1" applyProtection="1">
      <alignment horizontal="center" vertical="center" wrapText="1"/>
      <protection hidden="1"/>
    </xf>
    <xf numFmtId="0" fontId="18" fillId="12" borderId="4" xfId="0" applyFont="1" applyFill="1" applyBorder="1" applyAlignment="1" applyProtection="1">
      <alignment horizontal="center" vertical="center" wrapText="1"/>
      <protection hidden="1"/>
    </xf>
    <xf numFmtId="0" fontId="18" fillId="12" borderId="3" xfId="0" applyFont="1" applyFill="1" applyBorder="1" applyAlignment="1" applyProtection="1">
      <alignment horizontal="center" vertical="center" wrapText="1"/>
      <protection hidden="1"/>
    </xf>
    <xf numFmtId="0" fontId="18" fillId="12" borderId="6" xfId="0" applyFont="1" applyFill="1" applyBorder="1" applyAlignment="1" applyProtection="1">
      <alignment horizontal="center" vertical="center" wrapText="1"/>
      <protection hidden="1"/>
    </xf>
    <xf numFmtId="0" fontId="18" fillId="12" borderId="7" xfId="0" applyFont="1" applyFill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9" fillId="0" borderId="4" xfId="0" applyFont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 wrapText="1"/>
      <protection hidden="1"/>
    </xf>
    <xf numFmtId="0" fontId="19" fillId="12" borderId="4" xfId="0" applyFont="1" applyFill="1" applyBorder="1" applyAlignment="1" applyProtection="1">
      <alignment horizontal="center" vertical="center" wrapText="1"/>
      <protection hidden="1"/>
    </xf>
    <xf numFmtId="0" fontId="19" fillId="12" borderId="3" xfId="0" applyFont="1" applyFill="1" applyBorder="1" applyAlignment="1" applyProtection="1">
      <alignment horizontal="center" vertical="center" wrapText="1"/>
      <protection hidden="1"/>
    </xf>
    <xf numFmtId="0" fontId="19" fillId="12" borderId="6" xfId="0" applyFont="1" applyFill="1" applyBorder="1" applyAlignment="1" applyProtection="1">
      <alignment horizontal="center" vertical="center" wrapText="1"/>
      <protection hidden="1"/>
    </xf>
    <xf numFmtId="0" fontId="19" fillId="12" borderId="7" xfId="0" applyFont="1" applyFill="1" applyBorder="1" applyAlignment="1" applyProtection="1">
      <alignment horizontal="center" vertical="center" wrapText="1"/>
      <protection hidden="1"/>
    </xf>
    <xf numFmtId="2" fontId="31" fillId="9" borderId="12" xfId="0" applyNumberFormat="1" applyFont="1" applyFill="1" applyBorder="1" applyAlignment="1" applyProtection="1">
      <alignment horizontal="center" vertical="center"/>
      <protection locked="0"/>
    </xf>
    <xf numFmtId="2" fontId="31" fillId="9" borderId="14" xfId="0" applyNumberFormat="1" applyFont="1" applyFill="1" applyBorder="1" applyAlignment="1" applyProtection="1">
      <alignment horizontal="center" vertical="center"/>
      <protection locked="0"/>
    </xf>
    <xf numFmtId="2" fontId="31" fillId="9" borderId="11" xfId="0" applyNumberFormat="1" applyFont="1" applyFill="1" applyBorder="1" applyAlignment="1" applyProtection="1">
      <alignment horizontal="center" vertical="center"/>
      <protection locked="0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31" fillId="9" borderId="12" xfId="0" applyNumberFormat="1" applyFont="1" applyFill="1" applyBorder="1" applyAlignment="1">
      <alignment horizontal="center" vertical="center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6" fillId="5" borderId="16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7" fillId="8" borderId="16" xfId="0" applyFont="1" applyFill="1" applyBorder="1" applyAlignment="1" applyProtection="1">
      <alignment horizontal="center" vertical="center" wrapText="1"/>
      <protection locked="0"/>
    </xf>
    <xf numFmtId="0" fontId="17" fillId="8" borderId="8" xfId="0" applyFont="1" applyFill="1" applyBorder="1" applyAlignment="1" applyProtection="1">
      <alignment horizontal="center" vertical="center" wrapText="1"/>
      <protection locked="0"/>
    </xf>
    <xf numFmtId="2" fontId="23" fillId="7" borderId="8" xfId="0" applyNumberFormat="1" applyFont="1" applyFill="1" applyBorder="1" applyAlignment="1">
      <alignment horizontal="center" vertical="center"/>
    </xf>
    <xf numFmtId="2" fontId="23" fillId="7" borderId="7" xfId="0" applyNumberFormat="1" applyFont="1" applyFill="1" applyBorder="1" applyAlignment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7" xfId="0" applyNumberFormat="1" applyFont="1" applyBorder="1" applyAlignment="1" applyProtection="1">
      <alignment horizontal="center" vertical="center"/>
      <protection hidden="1"/>
    </xf>
    <xf numFmtId="2" fontId="23" fillId="7" borderId="8" xfId="0" applyNumberFormat="1" applyFont="1" applyFill="1" applyBorder="1" applyAlignment="1" applyProtection="1">
      <alignment horizontal="center" vertical="center"/>
      <protection hidden="1"/>
    </xf>
    <xf numFmtId="2" fontId="23" fillId="7" borderId="7" xfId="0" applyNumberFormat="1" applyFont="1" applyFill="1" applyBorder="1" applyAlignment="1" applyProtection="1">
      <alignment horizontal="center" vertical="center"/>
      <protection hidden="1"/>
    </xf>
    <xf numFmtId="2" fontId="4" fillId="15" borderId="5" xfId="0" applyNumberFormat="1" applyFont="1" applyFill="1" applyBorder="1" applyAlignment="1" applyProtection="1">
      <alignment horizontal="center" vertical="center" wrapText="1"/>
      <protection hidden="1"/>
    </xf>
    <xf numFmtId="2" fontId="34" fillId="16" borderId="0" xfId="0" applyNumberFormat="1" applyFont="1" applyFill="1" applyAlignment="1" applyProtection="1">
      <alignment horizontal="center" vertical="center"/>
      <protection hidden="1"/>
    </xf>
    <xf numFmtId="2" fontId="34" fillId="16" borderId="3" xfId="0" applyNumberFormat="1" applyFont="1" applyFill="1" applyBorder="1" applyAlignment="1" applyProtection="1">
      <alignment horizontal="center" vertical="center" wrapText="1"/>
      <protection locked="0"/>
    </xf>
    <xf numFmtId="2" fontId="12" fillId="6" borderId="10" xfId="0" applyNumberFormat="1" applyFont="1" applyFill="1" applyBorder="1" applyAlignment="1" applyProtection="1">
      <alignment vertical="center"/>
      <protection locked="0"/>
    </xf>
    <xf numFmtId="2" fontId="12" fillId="6" borderId="0" xfId="0" applyNumberFormat="1" applyFont="1" applyFill="1" applyAlignment="1" applyProtection="1">
      <alignment vertical="center"/>
      <protection locked="0"/>
    </xf>
    <xf numFmtId="2" fontId="12" fillId="16" borderId="5" xfId="0" applyNumberFormat="1" applyFont="1" applyFill="1" applyBorder="1" applyAlignment="1" applyProtection="1">
      <alignment horizontal="center" vertical="center" wrapText="1"/>
      <protection hidden="1"/>
    </xf>
    <xf numFmtId="2" fontId="12" fillId="16" borderId="3" xfId="0" applyNumberFormat="1" applyFont="1" applyFill="1" applyBorder="1" applyAlignment="1" applyProtection="1">
      <alignment horizontal="center" vertical="center" wrapText="1"/>
      <protection hidden="1"/>
    </xf>
    <xf numFmtId="2" fontId="12" fillId="5" borderId="0" xfId="0" applyNumberFormat="1" applyFont="1" applyFill="1" applyAlignment="1" applyProtection="1">
      <alignment horizontal="center" vertical="center" wrapText="1"/>
      <protection hidden="1"/>
    </xf>
    <xf numFmtId="14" fontId="12" fillId="5" borderId="0" xfId="0" applyNumberFormat="1" applyFont="1" applyFill="1" applyAlignment="1" applyProtection="1">
      <alignment horizontal="center" vertical="center" wrapText="1"/>
      <protection hidden="1"/>
    </xf>
    <xf numFmtId="165" fontId="4" fillId="0" borderId="7" xfId="0" applyNumberFormat="1" applyFont="1" applyBorder="1" applyAlignment="1" applyProtection="1">
      <alignment horizontal="center" vertical="center"/>
      <protection hidden="1"/>
    </xf>
    <xf numFmtId="165" fontId="4" fillId="0" borderId="8" xfId="0" applyNumberFormat="1" applyFont="1" applyBorder="1" applyAlignment="1" applyProtection="1">
      <alignment horizontal="center" vertical="center"/>
      <protection hidden="1"/>
    </xf>
    <xf numFmtId="166" fontId="4" fillId="0" borderId="3" xfId="0" applyNumberFormat="1" applyFont="1" applyBorder="1" applyAlignment="1" applyProtection="1">
      <alignment horizontal="center" vertical="center"/>
      <protection hidden="1"/>
    </xf>
    <xf numFmtId="166" fontId="4" fillId="0" borderId="5" xfId="0" applyNumberFormat="1" applyFont="1" applyBorder="1" applyAlignment="1" applyProtection="1">
      <alignment horizontal="center" vertical="center"/>
      <protection hidden="1"/>
    </xf>
    <xf numFmtId="166" fontId="4" fillId="0" borderId="7" xfId="0" applyNumberFormat="1" applyFont="1" applyBorder="1" applyAlignment="1" applyProtection="1">
      <alignment horizontal="center" vertical="center"/>
      <protection hidden="1"/>
    </xf>
    <xf numFmtId="166" fontId="4" fillId="0" borderId="8" xfId="0" applyNumberFormat="1" applyFont="1" applyBorder="1" applyAlignment="1" applyProtection="1">
      <alignment horizontal="center" vertical="center"/>
      <protection hidden="1"/>
    </xf>
    <xf numFmtId="165" fontId="12" fillId="16" borderId="3" xfId="4" applyNumberFormat="1" applyFont="1" applyFill="1" applyBorder="1" applyAlignment="1" applyProtection="1">
      <alignment horizontal="center" vertical="center" wrapText="1"/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5" fontId="4" fillId="2" borderId="8" xfId="0" applyNumberFormat="1" applyFont="1" applyFill="1" applyBorder="1" applyAlignment="1" applyProtection="1">
      <alignment horizontal="center" vertical="center"/>
      <protection hidden="1"/>
    </xf>
    <xf numFmtId="165" fontId="4" fillId="2" borderId="7" xfId="0" applyNumberFormat="1" applyFont="1" applyFill="1" applyBorder="1" applyAlignment="1" applyProtection="1">
      <alignment horizontal="center" vertical="center"/>
      <protection hidden="1"/>
    </xf>
    <xf numFmtId="165" fontId="4" fillId="2" borderId="5" xfId="0" applyNumberFormat="1" applyFont="1" applyFill="1" applyBorder="1" applyAlignment="1" applyProtection="1">
      <alignment horizontal="center" vertical="center"/>
      <protection hidden="1"/>
    </xf>
    <xf numFmtId="165" fontId="4" fillId="2" borderId="3" xfId="0" applyNumberFormat="1" applyFont="1" applyFill="1" applyBorder="1" applyAlignment="1" applyProtection="1">
      <alignment horizontal="center" vertical="center"/>
      <protection hidden="1"/>
    </xf>
    <xf numFmtId="0" fontId="33" fillId="0" borderId="31" xfId="0" applyFont="1" applyBorder="1" applyProtection="1">
      <protection locked="0"/>
    </xf>
    <xf numFmtId="0" fontId="33" fillId="0" borderId="32" xfId="0" applyFont="1" applyBorder="1" applyProtection="1">
      <protection locked="0"/>
    </xf>
    <xf numFmtId="0" fontId="33" fillId="0" borderId="0" xfId="0" applyFont="1" applyProtection="1">
      <protection locked="0"/>
    </xf>
    <xf numFmtId="2" fontId="36" fillId="18" borderId="37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0" fillId="0" borderId="32" xfId="0" applyBorder="1" applyProtection="1">
      <protection locked="0"/>
    </xf>
    <xf numFmtId="2" fontId="29" fillId="4" borderId="36" xfId="0" applyNumberFormat="1" applyFont="1" applyFill="1" applyBorder="1" applyAlignment="1" applyProtection="1">
      <alignment horizontal="center" vertical="center" textRotation="90" wrapText="1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2" fontId="35" fillId="6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" fontId="13" fillId="19" borderId="5" xfId="0" applyNumberFormat="1" applyFont="1" applyFill="1" applyBorder="1" applyAlignment="1" applyProtection="1">
      <alignment horizontal="left" vertical="center"/>
      <protection hidden="1"/>
    </xf>
    <xf numFmtId="0" fontId="0" fillId="0" borderId="9" xfId="0" applyBorder="1" applyProtection="1">
      <protection hidden="1"/>
    </xf>
    <xf numFmtId="2" fontId="12" fillId="11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2" fontId="37" fillId="19" borderId="3" xfId="0" applyNumberFormat="1" applyFont="1" applyFill="1" applyBorder="1" applyAlignment="1" applyProtection="1">
      <alignment horizontal="left" vertical="center"/>
      <protection hidden="1"/>
    </xf>
    <xf numFmtId="0" fontId="0" fillId="0" borderId="4" xfId="0" applyBorder="1" applyProtection="1">
      <protection hidden="1"/>
    </xf>
    <xf numFmtId="2" fontId="13" fillId="19" borderId="5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Border="1" applyProtection="1">
      <protection locked="0"/>
    </xf>
    <xf numFmtId="2" fontId="35" fillId="6" borderId="0" xfId="0" applyNumberFormat="1" applyFont="1" applyFill="1" applyAlignment="1" applyProtection="1">
      <alignment horizontal="center" vertical="center"/>
      <protection locked="0"/>
    </xf>
    <xf numFmtId="2" fontId="2" fillId="5" borderId="0" xfId="0" applyNumberFormat="1" applyFont="1" applyFill="1" applyAlignment="1" applyProtection="1">
      <alignment horizontal="center" vertical="center"/>
      <protection locked="0"/>
    </xf>
    <xf numFmtId="2" fontId="16" fillId="4" borderId="3" xfId="0" applyNumberFormat="1" applyFont="1" applyFill="1" applyBorder="1" applyAlignment="1" applyProtection="1">
      <alignment horizontal="center" vertical="center" wrapText="1"/>
      <protection hidden="1"/>
    </xf>
    <xf numFmtId="2" fontId="16" fillId="4" borderId="5" xfId="0" applyNumberFormat="1" applyFont="1" applyFill="1" applyBorder="1" applyAlignment="1" applyProtection="1">
      <alignment horizontal="center" vertical="center" wrapText="1"/>
      <protection hidden="1"/>
    </xf>
    <xf numFmtId="2" fontId="16" fillId="5" borderId="0" xfId="0" applyNumberFormat="1" applyFont="1" applyFill="1" applyAlignment="1" applyProtection="1">
      <alignment horizontal="center" vertical="center" wrapText="1"/>
      <protection locked="0"/>
    </xf>
    <xf numFmtId="0" fontId="15" fillId="4" borderId="3" xfId="0" applyFont="1" applyFill="1" applyBorder="1" applyAlignment="1" applyProtection="1">
      <alignment horizontal="center" vertical="center" textRotation="90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14" fillId="3" borderId="10" xfId="0" applyFont="1" applyFill="1" applyBorder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center" vertical="center"/>
      <protection locked="0"/>
    </xf>
    <xf numFmtId="49" fontId="16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15" fillId="4" borderId="3" xfId="0" applyFont="1" applyFill="1" applyBorder="1" applyAlignment="1" applyProtection="1">
      <alignment horizontal="center" vertical="center" textRotation="90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2" fontId="4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2" xfId="0" applyBorder="1" applyProtection="1">
      <protection hidden="1"/>
    </xf>
    <xf numFmtId="2" fontId="9" fillId="7" borderId="3" xfId="0" applyNumberFormat="1" applyFont="1" applyFill="1" applyBorder="1" applyAlignment="1" applyProtection="1">
      <alignment horizontal="center" vertical="center" wrapText="1"/>
      <protection hidden="1"/>
    </xf>
    <xf numFmtId="2" fontId="10" fillId="7" borderId="3" xfId="0" applyNumberFormat="1" applyFont="1" applyFill="1" applyBorder="1" applyAlignment="1" applyProtection="1">
      <alignment horizontal="center" vertical="center" wrapText="1"/>
      <protection hidden="1"/>
    </xf>
    <xf numFmtId="2" fontId="4" fillId="6" borderId="0" xfId="0" applyNumberFormat="1" applyFont="1" applyFill="1" applyAlignment="1" applyProtection="1">
      <alignment horizontal="center" vertical="center" wrapText="1"/>
      <protection hidden="1"/>
    </xf>
  </cellXfs>
  <cellStyles count="5">
    <cellStyle name="عادي" xfId="0" builtinId="0"/>
    <cellStyle name="Normal 10 2" xfId="1" xr:uid="{00000000-0005-0000-0000-000001000000}"/>
    <cellStyle name="Normal 2" xfId="3" xr:uid="{00000000-0005-0000-0000-000003000000}"/>
    <cellStyle name="Normal 7 2" xfId="2" xr:uid="{00000000-0005-0000-0000-000002000000}"/>
    <cellStyle name="Percent" xfId="4" builtinId="5"/>
  </cellStyles>
  <dxfs count="165"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164" formatCode="[$-1000000]h:mm:ss;@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167" formatCode="dd/mm/yyyy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Times New Roman"/>
        <family val="1"/>
      </font>
      <numFmt numFmtId="2" formatCode="0.00"/>
      <alignment horizontal="center" vertical="center" wrapText="1"/>
      <protection locked="0" hidden="0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20"/>
        <color auto="1"/>
        <name val="Times New Roman"/>
        <family val="1"/>
      </font>
      <numFmt numFmtId="2" formatCode="0.00"/>
      <fill>
        <patternFill patternType="solid">
          <fgColor indexed="64"/>
          <bgColor theme="4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4" tint="-0.249977111117893"/>
        <name val="Times New Roman"/>
        <family val="1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1" hidden="1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22"/>
        <color rgb="FFFFFFFF"/>
        <name val="Times New Roman"/>
        <family val="1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condense val="0"/>
        <extend val="0"/>
        <outline val="0"/>
        <shadow val="0"/>
        <vertAlign val="baseline"/>
        <sz val="22"/>
        <color theme="4" tint="-0.249977111117893"/>
        <name val="Times New Roman"/>
        <family val="1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  <border>
        <left/>
        <right/>
        <top style="thin">
          <color rgb="FF9E9E9E"/>
        </top>
        <bottom/>
      </border>
      <protection locked="0" hidden="0"/>
    </dxf>
    <dxf>
      <border outline="0">
        <left style="thin">
          <color rgb="FF9E9E9E"/>
        </left>
        <right style="thin">
          <color indexed="64"/>
        </right>
        <top style="thin">
          <color rgb="FF9E9E9E"/>
        </top>
      </border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condense val="0"/>
        <extend val="0"/>
        <outline val="0"/>
        <shadow val="0"/>
        <vertAlign val="baseline"/>
        <sz val="22"/>
        <color rgb="FFFFFFFF"/>
        <name val="Times New Roman"/>
        <family val="1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wrapText="1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4" tint="-0.249977111117893"/>
        <name val="Times New Roman"/>
        <family val="1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1" hidden="1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22"/>
        <color rgb="FFFFFFFF"/>
        <name val="Times New Roman"/>
        <family val="1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condense val="0"/>
        <extend val="0"/>
        <outline val="0"/>
        <shadow val="0"/>
        <vertAlign val="baseline"/>
        <sz val="22"/>
        <color theme="4" tint="-0.249977111117893"/>
        <name val="Times New Roman"/>
        <family val="1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  <border>
        <left/>
        <right/>
        <top style="thin">
          <color rgb="FF9E9E9E"/>
        </top>
        <bottom/>
      </border>
      <protection locked="0" hidden="0"/>
    </dxf>
    <dxf>
      <border outline="0">
        <left style="thin">
          <color rgb="FF9E9E9E"/>
        </left>
        <right style="thin">
          <color indexed="64"/>
        </right>
        <top style="thin">
          <color rgb="FF9E9E9E"/>
        </top>
      </border>
    </dxf>
    <dxf>
      <font>
        <b/>
        <strike val="0"/>
        <outline val="0"/>
        <shadow val="0"/>
        <vertAlign val="baseline"/>
        <sz val="22"/>
        <name val="Times New Roman"/>
        <family val="1"/>
      </font>
      <numFmt numFmtId="0" formatCode="General"/>
      <protection locked="0" hidden="0"/>
    </dxf>
    <dxf>
      <font>
        <b/>
        <strike val="0"/>
        <condense val="0"/>
        <extend val="0"/>
        <outline val="0"/>
        <shadow val="0"/>
        <vertAlign val="baseline"/>
        <sz val="22"/>
        <color rgb="FFFFFFFF"/>
        <name val="Times New Roman"/>
        <family val="1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wrapText="1"/>
      <protection locked="0" hidden="0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Times New Roman"/>
        <family val="1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1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22"/>
        <color rgb="FFFFFFFF"/>
        <name val="Times New Roman"/>
        <family val="1"/>
      </font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border outline="0">
        <left style="thin">
          <color rgb="FF9E9E9E"/>
        </left>
        <right style="thin">
          <color indexed="64"/>
        </right>
        <top style="thin">
          <color rgb="FF9E9E9E"/>
        </top>
      </border>
    </dxf>
    <dxf>
      <font>
        <b/>
        <strike val="0"/>
        <condense val="0"/>
        <extend val="0"/>
        <outline val="0"/>
        <shadow val="0"/>
        <vertAlign val="baseline"/>
        <sz val="22"/>
        <color rgb="FFFFFFFF"/>
        <name val="Times New Roman"/>
        <family val="1"/>
      </font>
      <fill>
        <patternFill patternType="solid">
          <fgColor indexed="64"/>
          <bgColor rgb="FF002060"/>
        </patternFill>
      </fill>
      <alignment horizontal="center" vertical="center" wrapText="1"/>
      <protection locked="0" hidden="0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alignment horizontal="center" vertical="center"/>
      <protection locked="1" hidden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70"/>
        <color theme="0"/>
        <name val="Times New Roman"/>
        <family val="1"/>
      </font>
      <numFmt numFmtId="2" formatCode="0.00"/>
      <fill>
        <patternFill patternType="solid">
          <fgColor theme="4"/>
          <bgColor theme="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alignment horizontal="center" vertical="center"/>
      <protection locked="1" hidden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70"/>
        <color theme="0"/>
        <name val="Times New Roman"/>
        <family val="1"/>
      </font>
      <numFmt numFmtId="2" formatCode="0.00"/>
      <fill>
        <patternFill patternType="solid">
          <fgColor theme="4"/>
          <bgColor theme="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166" formatCode="0.000&quot;%&quot;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numFmt numFmtId="2" formatCode="0.0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48"/>
        <color theme="1"/>
        <name val="Times New Roman"/>
        <family val="1"/>
      </font>
      <alignment horizontal="center" vertical="center"/>
      <protection locked="1" hidden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70"/>
        <color theme="0"/>
        <name val="Times New Roman"/>
        <family val="1"/>
      </font>
      <numFmt numFmtId="2" formatCode="0.00"/>
      <fill>
        <patternFill patternType="solid">
          <fgColor theme="4"/>
          <bgColor theme="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72"/>
        <color theme="4" tint="-0.249977111117893"/>
        <name val="Times New Roman"/>
        <family val="1"/>
      </font>
      <numFmt numFmtId="2" formatCode="0.00"/>
      <alignment horizontal="center" vertical="center" wrapText="1"/>
      <border outline="0">
        <left style="thin">
          <color rgb="FF9E9E9E"/>
        </left>
        <right style="thin">
          <color rgb="FF9E9E9E"/>
        </right>
        <top style="thin">
          <color rgb="FF9E9E9E"/>
        </top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72"/>
        <color theme="4" tint="-0.249977111117893"/>
        <name val="Times New Roman"/>
        <family val="1"/>
      </font>
      <numFmt numFmtId="2" formatCode="0.00"/>
      <alignment horizontal="center" vertical="center" wrapText="1"/>
      <border outline="0">
        <left style="thin">
          <color rgb="FF9E9E9E"/>
        </left>
        <right/>
        <top style="thin">
          <color rgb="FF9E9E9E"/>
        </top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20"/>
        <color theme="4" tint="-0.249977111117893"/>
        <name val="Times New Roman"/>
        <family val="1"/>
      </font>
      <numFmt numFmtId="2" formatCode="0.00"/>
      <alignment horizontal="center" vertical="center" wrapText="1"/>
      <border outline="0">
        <left style="thin">
          <color rgb="FF9E9E9E"/>
        </left>
        <right style="thin">
          <color rgb="FF9E9E9E"/>
        </right>
        <top style="thin">
          <color rgb="FF9E9E9E"/>
        </top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72"/>
        <color theme="4" tint="-0.249977111117893"/>
        <name val="Times New Roman"/>
        <family val="1"/>
      </font>
      <numFmt numFmtId="2" formatCode="0.00"/>
      <alignment horizontal="center" vertical="center" wrapText="1"/>
      <border outline="0">
        <left/>
        <right/>
        <top style="thin">
          <color rgb="FF9E9E9E"/>
        </top>
        <bottom/>
      </border>
      <protection locked="0" hidden="0"/>
    </dxf>
    <dxf>
      <border outline="0">
        <left style="thin">
          <color rgb="FF9E9E9E"/>
        </left>
        <top style="thin">
          <color rgb="FF9E9E9E"/>
        </top>
      </border>
    </dxf>
    <dxf>
      <font>
        <strike val="0"/>
        <outline val="0"/>
        <shadow val="0"/>
        <vertAlign val="baseline"/>
        <sz val="20"/>
        <name val="Times New Roman"/>
        <family val="1"/>
      </font>
      <numFmt numFmtId="2" formatCode="0.00"/>
    </dxf>
    <dxf>
      <font>
        <b/>
        <strike val="0"/>
        <condense val="0"/>
        <extend val="0"/>
        <outline val="0"/>
        <shadow val="0"/>
        <vertAlign val="baseline"/>
        <sz val="20"/>
        <color rgb="FFFFFFFF"/>
        <name val="Times New Roman"/>
        <family val="1"/>
      </font>
      <numFmt numFmtId="2" formatCode="0.00"/>
      <fill>
        <patternFill patternType="solid">
          <fgColor indexed="64"/>
          <bgColor rgb="FF002060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algn="ctr" rtl="1">
              <a:defRPr lang="en-US" sz="6600" b="0" i="0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j-cs"/>
              </a:defRPr>
            </a:pPr>
            <a:r>
              <a:rPr lang="en-US" sz="6600" b="0" i="0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j-cs"/>
              </a:rPr>
              <a:t> Product Efficiency Rate %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5085932036218083E-2"/>
          <c:y val="4.2527105277711481E-2"/>
          <c:w val="0.92069709754452467"/>
          <c:h val="0.90989713825343388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'Quality Control Dashboard   '!$T$106</c:f>
              <c:strCache>
                <c:ptCount val="1"/>
                <c:pt idx="0">
                  <c:v>Efficiency Rate %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6B-2749-BC8C-985D253773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6B-2749-BC8C-985D2537739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6B-2749-BC8C-985D2537739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6B-2749-BC8C-985D2537739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A6B-2749-BC8C-985D25377392}"/>
              </c:ext>
            </c:extLst>
          </c:dPt>
          <c:dPt>
            <c:idx val="7"/>
            <c:invertIfNegative val="0"/>
            <c:bubble3D val="0"/>
            <c:spPr>
              <a:solidFill>
                <a:srgbClr val="CC6600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A6B-2749-BC8C-985D2537739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A6B-2749-BC8C-985D2537739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'!$U$105:$AD$105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'!$U$106:$AD$106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6B-2749-BC8C-985D253773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17769744"/>
        <c:axId val="2017771664"/>
      </c:barChart>
      <c:catAx>
        <c:axId val="2017769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7771664"/>
        <c:crosses val="autoZero"/>
        <c:auto val="1"/>
        <c:lblAlgn val="ctr"/>
        <c:lblOffset val="100"/>
        <c:noMultiLvlLbl val="0"/>
      </c:catAx>
      <c:valAx>
        <c:axId val="2017771664"/>
        <c:scaling>
          <c:orientation val="minMax"/>
        </c:scaling>
        <c:delete val="0"/>
        <c:axPos val="b"/>
        <c:numFmt formatCode="0.00&quot;%&quot;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7769744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EG" sz="4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j-cs"/>
              </a:defRPr>
            </a:pPr>
            <a:r>
              <a:rPr lang="ar-EG" sz="96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j-cs"/>
              </a:rPr>
              <a:t>معدل إنحراف ماكينات صالة 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1732087227414323E-2"/>
          <c:y val="7.9868237400557499E-2"/>
          <c:w val="0.96826791277258561"/>
          <c:h val="0.736516185476815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'Quality Control Dashboard   '!$B$53</c:f>
              <c:strCache>
                <c:ptCount val="1"/>
                <c:pt idx="0">
                  <c:v>السبت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'!$C$53:$N$53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8-654F-868A-CD50DF2E8404}"/>
            </c:ext>
          </c:extLst>
        </c:ser>
        <c:ser>
          <c:idx val="1"/>
          <c:order val="1"/>
          <c:tx>
            <c:strRef>
              <c:f>'Quality Control Dashboard   '!$B$54</c:f>
              <c:strCache>
                <c:ptCount val="1"/>
                <c:pt idx="0">
                  <c:v>الأحد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'!$C$54:$N$54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8-654F-868A-CD50DF2E8404}"/>
            </c:ext>
          </c:extLst>
        </c:ser>
        <c:ser>
          <c:idx val="2"/>
          <c:order val="2"/>
          <c:tx>
            <c:strRef>
              <c:f>'Quality Control Dashboard   '!$B$55</c:f>
              <c:strCache>
                <c:ptCount val="1"/>
                <c:pt idx="0">
                  <c:v>الإثنين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'!$C$55:$N$55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8-654F-868A-CD50DF2E8404}"/>
            </c:ext>
          </c:extLst>
        </c:ser>
        <c:ser>
          <c:idx val="3"/>
          <c:order val="3"/>
          <c:tx>
            <c:strRef>
              <c:f>'Quality Control Dashboard   '!$B$56</c:f>
              <c:strCache>
                <c:ptCount val="1"/>
                <c:pt idx="0">
                  <c:v>الثلاثاء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'!$C$56:$N$56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8-654F-868A-CD50DF2E8404}"/>
            </c:ext>
          </c:extLst>
        </c:ser>
        <c:ser>
          <c:idx val="4"/>
          <c:order val="4"/>
          <c:tx>
            <c:strRef>
              <c:f>'Quality Control Dashboard   '!$B$57</c:f>
              <c:strCache>
                <c:ptCount val="1"/>
                <c:pt idx="0">
                  <c:v>الأربعاء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'!$C$57:$N$57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8-654F-868A-CD50DF2E8404}"/>
            </c:ext>
          </c:extLst>
        </c:ser>
        <c:ser>
          <c:idx val="5"/>
          <c:order val="5"/>
          <c:tx>
            <c:strRef>
              <c:f>'Quality Control Dashboard   '!$B$58</c:f>
              <c:strCache>
                <c:ptCount val="1"/>
                <c:pt idx="0">
                  <c:v>الخميس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4000" b="1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'!$C$58:$N$58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28-654F-868A-CD50DF2E8404}"/>
            </c:ext>
          </c:extLst>
        </c:ser>
        <c:ser>
          <c:idx val="6"/>
          <c:order val="6"/>
          <c:tx>
            <c:strRef>
              <c:f>'Quality Control Dashboard   '!$B$59</c:f>
              <c:strCache>
                <c:ptCount val="1"/>
                <c:pt idx="0">
                  <c:v>الجمعة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'!$C$59:$N$59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28-654F-868A-CD50DF2E84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87715168"/>
        <c:axId val="1587706048"/>
      </c:barChart>
      <c:lineChart>
        <c:grouping val="standard"/>
        <c:varyColors val="0"/>
        <c:ser>
          <c:idx val="7"/>
          <c:order val="7"/>
          <c:tx>
            <c:strRef>
              <c:f>'Quality Control Dashboard   '!$B$60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'!$C$60:$N$60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28-654F-868A-CD50DF2E8404}"/>
            </c:ext>
          </c:extLst>
        </c:ser>
        <c:ser>
          <c:idx val="8"/>
          <c:order val="8"/>
          <c:tx>
            <c:strRef>
              <c:f>'Quality Control Dashboard   '!$B$61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4000" b="1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'!$C$52:$N$52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'!$C$61:$N$61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28-654F-868A-CD50DF2E84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7715168"/>
        <c:axId val="1587706048"/>
      </c:lineChart>
      <c:catAx>
        <c:axId val="15877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87706048"/>
        <c:crosses val="autoZero"/>
        <c:auto val="1"/>
        <c:lblAlgn val="ctr"/>
        <c:lblOffset val="100"/>
        <c:noMultiLvlLbl val="0"/>
      </c:catAx>
      <c:valAx>
        <c:axId val="1587706048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877151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4758073932347248E-2"/>
          <c:y val="0.86978634757269513"/>
          <c:w val="0.94706507714573063"/>
          <c:h val="8.545613491226983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algn="ctr">
            <a:defRPr lang="en-US" sz="8800" b="1" i="0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algn="ctr" rtl="1">
              <a:defRPr lang="en-US" sz="6600" b="0" i="0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j-cs"/>
              </a:defRPr>
            </a:pPr>
            <a:r>
              <a:rPr lang="en-US" sz="6600" b="0" i="0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j-cs"/>
              </a:rPr>
              <a:t> Product Efficiency Rate %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5085932036218083E-2"/>
          <c:y val="4.2527105277711481E-2"/>
          <c:w val="0.92069709754452467"/>
          <c:h val="0.909897138253433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'Quality Control Dashboard   '!$F$105:$R$105</c:f>
              <c:strCache>
                <c:ptCount val="13"/>
                <c:pt idx="0">
                  <c:v>Machine</c:v>
                </c:pt>
                <c:pt idx="1">
                  <c:v>M1-1</c:v>
                </c:pt>
                <c:pt idx="2">
                  <c:v>M2-1</c:v>
                </c:pt>
                <c:pt idx="3">
                  <c:v>M3-2</c:v>
                </c:pt>
                <c:pt idx="4">
                  <c:v>M4-2</c:v>
                </c:pt>
                <c:pt idx="5">
                  <c:v>M5-3</c:v>
                </c:pt>
                <c:pt idx="6">
                  <c:v>M6-3</c:v>
                </c:pt>
                <c:pt idx="7">
                  <c:v>M7-3</c:v>
                </c:pt>
                <c:pt idx="8">
                  <c:v>M8-4</c:v>
                </c:pt>
                <c:pt idx="9">
                  <c:v>M9-5</c:v>
                </c:pt>
                <c:pt idx="10">
                  <c:v>M10-6</c:v>
                </c:pt>
                <c:pt idx="11">
                  <c:v>M10-6 </c:v>
                </c:pt>
                <c:pt idx="12">
                  <c:v>M18-13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5E-9644-9F13-A71E75DE06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5E-9644-9F13-A71E75DE06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rgbClr val="66FF99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5E-9644-9F13-A71E75DE06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5E-9644-9F13-A71E75DE069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5E-9644-9F13-A71E75DE069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C5E-9644-9F13-A71E75DE0694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C5E-9644-9F13-A71E75DE069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C5E-9644-9F13-A71E75DE069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C5E-9644-9F13-A71E75DE069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C5E-9644-9F13-A71E75DE069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C5E-9644-9F13-A71E75DE0694}"/>
              </c:ext>
            </c:extLst>
          </c:dPt>
          <c:dLbls>
            <c:delete val="1"/>
          </c:dLbls>
          <c:cat>
            <c:strRef>
              <c:f>'Quality Control Dashboard   '!$G$105:$R$105</c:f>
              <c:strCache>
                <c:ptCount val="12"/>
                <c:pt idx="0">
                  <c:v>M1-1</c:v>
                </c:pt>
                <c:pt idx="1">
                  <c:v>M2-1</c:v>
                </c:pt>
                <c:pt idx="2">
                  <c:v>M3-2</c:v>
                </c:pt>
                <c:pt idx="3">
                  <c:v>M4-2</c:v>
                </c:pt>
                <c:pt idx="4">
                  <c:v>M5-3</c:v>
                </c:pt>
                <c:pt idx="5">
                  <c:v>M6-3</c:v>
                </c:pt>
                <c:pt idx="6">
                  <c:v>M7-3</c:v>
                </c:pt>
                <c:pt idx="7">
                  <c:v>M8-4</c:v>
                </c:pt>
                <c:pt idx="8">
                  <c:v>M9-5</c:v>
                </c:pt>
                <c:pt idx="9">
                  <c:v>M10-6</c:v>
                </c:pt>
                <c:pt idx="10">
                  <c:v>M10-6 </c:v>
                </c:pt>
                <c:pt idx="11">
                  <c:v>M18-13</c:v>
                </c:pt>
              </c:strCache>
            </c:strRef>
          </c:cat>
          <c:val>
            <c:numRef>
              <c:f>'Quality Control Dashboard   '!$G$106:$R$106</c:f>
              <c:numCache>
                <c:formatCode>0.00"%"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5E-9644-9F13-A71E75DE06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17769744"/>
        <c:axId val="2017771664"/>
      </c:barChart>
      <c:catAx>
        <c:axId val="2017769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7771664"/>
        <c:crosses val="autoZero"/>
        <c:auto val="1"/>
        <c:lblAlgn val="ctr"/>
        <c:lblOffset val="100"/>
        <c:noMultiLvlLbl val="0"/>
      </c:catAx>
      <c:valAx>
        <c:axId val="2017771664"/>
        <c:scaling>
          <c:orientation val="minMax"/>
        </c:scaling>
        <c:delete val="0"/>
        <c:axPos val="b"/>
        <c:numFmt formatCode="0.00&quot;%&quot;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7769744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7565989545424475E-2"/>
          <c:y val="0"/>
          <c:w val="0.81017891881161908"/>
          <c:h val="1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85-AE43-B1E8-623E07AB40C0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85-AE43-B1E8-623E07AB40C0}"/>
              </c:ext>
            </c:extLst>
          </c:dPt>
          <c:dLbls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0" b="0" i="0" strike="noStrike" kern="1200" baseline="0">
                      <a:solidFill>
                        <a:schemeClr val="bg1"/>
                      </a:solidFill>
                      <a:latin typeface="72 Black" panose="020B0A04030603020204" pitchFamily="34" charset="0"/>
                      <a:ea typeface="+mn-ea"/>
                      <a:cs typeface="72 Black" panose="020B0A04030603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585-AE43-B1E8-623E07AB40C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72 Black" panose="020B0A04030603020204" pitchFamily="34" charset="0"/>
                    <a:ea typeface="+mn-ea"/>
                    <a:cs typeface="72 Black" panose="020B0A04030603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'Quality Control Dashboard   '!$L$148:$L$149</c:f>
              <c:strCache>
                <c:ptCount val="2"/>
                <c:pt idx="0">
                  <c:v>المخازن</c:v>
                </c:pt>
                <c:pt idx="1">
                  <c:v>نسب حيود  باقى الإدارات</c:v>
                </c:pt>
              </c:strCache>
            </c:strRef>
          </c:cat>
          <c:val>
            <c:numRef>
              <c:f>'Quality Control Dashboard   '!$M$148:$M$149</c:f>
              <c:numCache>
                <c:formatCode>0.00"%"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85-AE43-B1E8-623E07AB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j-cs"/>
              </a:defRPr>
            </a:pPr>
            <a:r>
              <a:rPr lang="ar-EG" sz="9600" b="1">
                <a:solidFill>
                  <a:sysClr val="windowText" lastClr="000000"/>
                </a:solidFill>
                <a:cs typeface="+mj-cs"/>
              </a:rPr>
              <a:t>معدل إنحراف ماكينات صالة 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2787401909896737E-2"/>
          <c:y val="4.7325624885986607E-2"/>
          <c:w val="0.95721259809010328"/>
          <c:h val="0.76821836812200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'Quality Control Dashboard   '!$S$53</c:f>
              <c:strCache>
                <c:ptCount val="1"/>
                <c:pt idx="0">
                  <c:v>السبت 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'!$T$53:$AC$53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5-A748-8128-B4E8C6B54F24}"/>
            </c:ext>
          </c:extLst>
        </c:ser>
        <c:ser>
          <c:idx val="1"/>
          <c:order val="1"/>
          <c:tx>
            <c:strRef>
              <c:f>'Quality Control Dashboard   '!$S$54</c:f>
              <c:strCache>
                <c:ptCount val="1"/>
                <c:pt idx="0">
                  <c:v>الأحد 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'!$T$54:$AC$54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5-A748-8128-B4E8C6B54F24}"/>
            </c:ext>
          </c:extLst>
        </c:ser>
        <c:ser>
          <c:idx val="2"/>
          <c:order val="2"/>
          <c:tx>
            <c:strRef>
              <c:f>'Quality Control Dashboard   '!$S$55</c:f>
              <c:strCache>
                <c:ptCount val="1"/>
                <c:pt idx="0">
                  <c:v>الإثنين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'!$T$55:$AC$55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45-A748-8128-B4E8C6B54F24}"/>
            </c:ext>
          </c:extLst>
        </c:ser>
        <c:ser>
          <c:idx val="3"/>
          <c:order val="3"/>
          <c:tx>
            <c:strRef>
              <c:f>'Quality Control Dashboard   '!$S$56</c:f>
              <c:strCache>
                <c:ptCount val="1"/>
                <c:pt idx="0">
                  <c:v>الثلاثاء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'!$T$56:$AC$56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45-A748-8128-B4E8C6B54F24}"/>
            </c:ext>
          </c:extLst>
        </c:ser>
        <c:ser>
          <c:idx val="4"/>
          <c:order val="4"/>
          <c:tx>
            <c:strRef>
              <c:f>'Quality Control Dashboard   '!$S$57</c:f>
              <c:strCache>
                <c:ptCount val="1"/>
                <c:pt idx="0">
                  <c:v>الأربعاء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'!$T$57:$AC$57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45-A748-8128-B4E8C6B54F24}"/>
            </c:ext>
          </c:extLst>
        </c:ser>
        <c:ser>
          <c:idx val="5"/>
          <c:order val="5"/>
          <c:tx>
            <c:strRef>
              <c:f>'Quality Control Dashboard   '!$S$58</c:f>
              <c:strCache>
                <c:ptCount val="1"/>
                <c:pt idx="0">
                  <c:v>الخميس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'!$T$58:$AC$58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45-A748-8128-B4E8C6B54F24}"/>
            </c:ext>
          </c:extLst>
        </c:ser>
        <c:ser>
          <c:idx val="6"/>
          <c:order val="6"/>
          <c:tx>
            <c:strRef>
              <c:f>'Quality Control Dashboard   '!$S$59</c:f>
              <c:strCache>
                <c:ptCount val="1"/>
                <c:pt idx="0">
                  <c:v>الجمعة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'!$T$59:$AC$59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45-A748-8128-B4E8C6B5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278671"/>
        <c:axId val="202293071"/>
      </c:barChart>
      <c:lineChart>
        <c:grouping val="standard"/>
        <c:varyColors val="0"/>
        <c:ser>
          <c:idx val="7"/>
          <c:order val="7"/>
          <c:tx>
            <c:strRef>
              <c:f>'Quality Control Dashboard   '!$S$60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'!$T$60:$AC$60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45-A748-8128-B4E8C6B54F24}"/>
            </c:ext>
          </c:extLst>
        </c:ser>
        <c:ser>
          <c:idx val="8"/>
          <c:order val="8"/>
          <c:tx>
            <c:strRef>
              <c:f>'Quality Control Dashboard   '!$S$61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'!$T$61:$AC$61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45-A748-8128-B4E8C6B5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78671"/>
        <c:axId val="202293071"/>
      </c:lineChart>
      <c:catAx>
        <c:axId val="2022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2293071"/>
        <c:crosses val="autoZero"/>
        <c:auto val="1"/>
        <c:lblAlgn val="ctr"/>
        <c:lblOffset val="100"/>
        <c:noMultiLvlLbl val="0"/>
      </c:catAx>
      <c:valAx>
        <c:axId val="202293071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227867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5501549167027913E-2"/>
          <c:y val="0.88565363330378333"/>
          <c:w val="0.93702808282571382"/>
          <c:h val="8.826971674495649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algn="ctr">
            <a:defRPr lang="en-US" sz="8800" b="1" i="0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Product Efficiency Rate % - Hall 3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085932036218083E-2"/>
          <c:y val="4.2527105277711481E-2"/>
          <c:w val="0.92069709754452467"/>
          <c:h val="0.90989713825343388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'Quality Control Dashboard   '!$AI$106</c:f>
              <c:strCache>
                <c:ptCount val="1"/>
                <c:pt idx="0">
                  <c:v>Efficiency Rate %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53-EA4B-8BFC-AC06A1D195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53-EA4B-8BFC-AC06A1D1954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53-EA4B-8BFC-AC06A1D1954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53-EA4B-8BFC-AC06A1D1954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53-EA4B-8BFC-AC06A1D19546}"/>
              </c:ext>
            </c:extLst>
          </c:dPt>
          <c:dPt>
            <c:idx val="7"/>
            <c:invertIfNegative val="0"/>
            <c:bubble3D val="0"/>
            <c:spPr>
              <a:solidFill>
                <a:srgbClr val="CC6600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853-EA4B-8BFC-AC06A1D1954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853-EA4B-8BFC-AC06A1D1954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'Quality Control Dashboard   '!$AJ$105:$AS$105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'!$AJ$106:$AS$106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853-EA4B-8BFC-AC06A1D195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17769744"/>
        <c:axId val="2017771664"/>
      </c:barChart>
      <c:catAx>
        <c:axId val="2017769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7771664"/>
        <c:crosses val="autoZero"/>
        <c:auto val="1"/>
        <c:lblAlgn val="ctr"/>
        <c:lblOffset val="100"/>
        <c:noMultiLvlLbl val="0"/>
      </c:catAx>
      <c:valAx>
        <c:axId val="2017771664"/>
        <c:scaling>
          <c:orientation val="minMax"/>
        </c:scaling>
        <c:delete val="0"/>
        <c:axPos val="b"/>
        <c:numFmt formatCode="0.00&quot;%&quot;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7769744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EG"/>
              <a:t>معدل إنحراف ماكينات صالة 3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2787401909896737E-2"/>
          <c:y val="4.7325624885986607E-2"/>
          <c:w val="0.95721259809010328"/>
          <c:h val="0.76821836812200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'Quality Control Dashboard   '!$AH$53</c:f>
              <c:strCache>
                <c:ptCount val="1"/>
                <c:pt idx="0">
                  <c:v>السبت 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'!$AI$53:$AR$53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5-CA45-B8B8-8A8389603F25}"/>
            </c:ext>
          </c:extLst>
        </c:ser>
        <c:ser>
          <c:idx val="1"/>
          <c:order val="1"/>
          <c:tx>
            <c:strRef>
              <c:f>'Quality Control Dashboard   '!$AH$54</c:f>
              <c:strCache>
                <c:ptCount val="1"/>
                <c:pt idx="0">
                  <c:v>الأحد 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'!$AI$54:$AR$54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5-CA45-B8B8-8A8389603F25}"/>
            </c:ext>
          </c:extLst>
        </c:ser>
        <c:ser>
          <c:idx val="2"/>
          <c:order val="2"/>
          <c:tx>
            <c:strRef>
              <c:f>'Quality Control Dashboard   '!$AH$55</c:f>
              <c:strCache>
                <c:ptCount val="1"/>
                <c:pt idx="0">
                  <c:v>الإثنين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'!$AI$55:$AR$55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5-CA45-B8B8-8A8389603F25}"/>
            </c:ext>
          </c:extLst>
        </c:ser>
        <c:ser>
          <c:idx val="3"/>
          <c:order val="3"/>
          <c:tx>
            <c:strRef>
              <c:f>'Quality Control Dashboard   '!$AH$56</c:f>
              <c:strCache>
                <c:ptCount val="1"/>
                <c:pt idx="0">
                  <c:v>الثلاثاء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'!$AI$56:$AR$56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5-CA45-B8B8-8A8389603F25}"/>
            </c:ext>
          </c:extLst>
        </c:ser>
        <c:ser>
          <c:idx val="4"/>
          <c:order val="4"/>
          <c:tx>
            <c:strRef>
              <c:f>'Quality Control Dashboard   '!$AH$57</c:f>
              <c:strCache>
                <c:ptCount val="1"/>
                <c:pt idx="0">
                  <c:v>الأربعاء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'!$AI$57:$AR$57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95-CA45-B8B8-8A8389603F25}"/>
            </c:ext>
          </c:extLst>
        </c:ser>
        <c:ser>
          <c:idx val="5"/>
          <c:order val="5"/>
          <c:tx>
            <c:strRef>
              <c:f>'Quality Control Dashboard   '!$AH$58</c:f>
              <c:strCache>
                <c:ptCount val="1"/>
                <c:pt idx="0">
                  <c:v>الخميس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'!$AI$58:$AR$58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95-CA45-B8B8-8A8389603F25}"/>
            </c:ext>
          </c:extLst>
        </c:ser>
        <c:ser>
          <c:idx val="6"/>
          <c:order val="6"/>
          <c:tx>
            <c:strRef>
              <c:f>'Quality Control Dashboard   '!$AH$59</c:f>
              <c:strCache>
                <c:ptCount val="1"/>
                <c:pt idx="0">
                  <c:v>الجمعة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'Quality Control Dashboard   '!$AI$52:$AR$52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'!$AI$59:$AR$59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95-CA45-B8B8-8A838960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278671"/>
        <c:axId val="202293071"/>
      </c:barChart>
      <c:lineChart>
        <c:grouping val="standard"/>
        <c:varyColors val="0"/>
        <c:ser>
          <c:idx val="7"/>
          <c:order val="7"/>
          <c:tx>
            <c:strRef>
              <c:f>'Quality Control Dashboard   '!$S$60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'!$T$60:$AC$60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95-CA45-B8B8-8A8389603F25}"/>
            </c:ext>
          </c:extLst>
        </c:ser>
        <c:ser>
          <c:idx val="8"/>
          <c:order val="8"/>
          <c:tx>
            <c:strRef>
              <c:f>'Quality Control Dashboard   '!$S$61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'Quality Control Dashboard   '!$T$52:$AC$52</c:f>
              <c:strCache>
                <c:ptCount val="10"/>
                <c:pt idx="0">
                  <c:v>M11-7</c:v>
                </c:pt>
                <c:pt idx="1">
                  <c:v>M12-7</c:v>
                </c:pt>
                <c:pt idx="2">
                  <c:v>M13-8</c:v>
                </c:pt>
                <c:pt idx="3">
                  <c:v>M13-8 </c:v>
                </c:pt>
                <c:pt idx="4">
                  <c:v>M14-9</c:v>
                </c:pt>
                <c:pt idx="5">
                  <c:v>M15-10</c:v>
                </c:pt>
                <c:pt idx="6">
                  <c:v>M16-11</c:v>
                </c:pt>
                <c:pt idx="7">
                  <c:v>M16-11 </c:v>
                </c:pt>
                <c:pt idx="8">
                  <c:v>M17-12</c:v>
                </c:pt>
                <c:pt idx="9">
                  <c:v>M17-12 </c:v>
                </c:pt>
              </c:strCache>
            </c:strRef>
          </c:cat>
          <c:val>
            <c:numRef>
              <c:f>'Quality Control Dashboard   '!$T$61:$AC$61</c:f>
              <c:numCache>
                <c:formatCode>0.00"%"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95-CA45-B8B8-8A838960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78671"/>
        <c:axId val="202293071"/>
      </c:lineChart>
      <c:catAx>
        <c:axId val="2022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2293071"/>
        <c:crosses val="autoZero"/>
        <c:auto val="1"/>
        <c:lblAlgn val="ctr"/>
        <c:lblOffset val="100"/>
        <c:noMultiLvlLbl val="0"/>
      </c:catAx>
      <c:valAx>
        <c:axId val="202293071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600" b="1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227867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5501549167027913E-2"/>
          <c:y val="0.88565363330378333"/>
          <c:w val="0.93702808282571382"/>
          <c:h val="8.826971674495649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algn="ctr">
            <a:defRPr lang="en-US" sz="8800" b="1" i="0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5447632</xdr:colOff>
      <xdr:row>106</xdr:row>
      <xdr:rowOff>825500</xdr:rowOff>
    </xdr:from>
    <xdr:to>
      <xdr:col>29</xdr:col>
      <xdr:colOff>5385954</xdr:colOff>
      <xdr:row>142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1524000</xdr:colOff>
      <xdr:row>61</xdr:row>
      <xdr:rowOff>317500</xdr:rowOff>
    </xdr:from>
    <xdr:to>
      <xdr:col>17</xdr:col>
      <xdr:colOff>5715000</xdr:colOff>
      <xdr:row>95</xdr:row>
      <xdr:rowOff>317500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-1</xdr:colOff>
      <xdr:row>106</xdr:row>
      <xdr:rowOff>952500</xdr:rowOff>
    </xdr:from>
    <xdr:to>
      <xdr:col>18</xdr:col>
      <xdr:colOff>100263</xdr:colOff>
      <xdr:row>142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1778000</xdr:colOff>
      <xdr:row>149</xdr:row>
      <xdr:rowOff>1333500</xdr:rowOff>
    </xdr:from>
    <xdr:to>
      <xdr:col>14</xdr:col>
      <xdr:colOff>2921000</xdr:colOff>
      <xdr:row>163</xdr:row>
      <xdr:rowOff>381000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6159499</xdr:colOff>
      <xdr:row>61</xdr:row>
      <xdr:rowOff>406400</xdr:rowOff>
    </xdr:from>
    <xdr:to>
      <xdr:col>29</xdr:col>
      <xdr:colOff>381000</xdr:colOff>
      <xdr:row>95</xdr:row>
      <xdr:rowOff>346364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31</xdr:col>
      <xdr:colOff>0</xdr:colOff>
      <xdr:row>106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31</xdr:col>
      <xdr:colOff>0</xdr:colOff>
      <xdr:row>61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06:D211" totalsRowShown="0" headerRowDxfId="164" dataDxfId="163" tableBorderDxfId="162">
  <autoFilter ref="A106:D211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الكود" dataDxfId="161"/>
    <tableColumn id="2" xr3:uid="{00000000-0010-0000-0000-000002000000}" name="الفئة" dataDxfId="160"/>
    <tableColumn id="3" xr3:uid="{00000000-0010-0000-0000-000003000000}" name="Tolerance" dataDxfId="159"/>
    <tableColumn id="4" xr3:uid="{00000000-0010-0000-0000-000004000000}" name="Demerit" dataDxfId="1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A33:O48" totalsRowShown="0" headerRowDxfId="157" dataDxfId="155" headerRowBorderDxfId="156" tableBorderDxfId="154" totalsRowBorderDxfId="153">
  <autoFilter ref="A33:O48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100-000001000000}" name="Code" dataDxfId="152">
      <calculatedColumnFormula array="1">INDEX('QC Deviation Record Hall 1 '!$A$120:$A$221,MATCH(Table7[[#This Row],[Defect العيب]],'QC Deviation Record Hall 1 '!$B$120:$B$221,0))</calculatedColumnFormula>
    </tableColumn>
    <tableColumn id="2" xr3:uid="{00000000-0010-0000-0100-000002000000}" name="Defect العيب" dataDxfId="151">
      <calculatedColumnFormula array="1">INDEX('QC Deviation Record Hall 1 '!$B$120:$B$221,MATCH(LARGE('QC Deviation Record Hall 1 '!$O$120:$O$221-ROW('QC Deviation Record Hall 1 '!$O$120:$O$221)/10000000,ROW(A1)),'QC Deviation Record Hall 1 '!$O$120:$O$221-ROW('QC Deviation Record Hall 1 '!$O$120:$O$221)/10000000,0))</calculatedColumnFormula>
    </tableColumn>
    <tableColumn id="3" xr3:uid="{00000000-0010-0000-0100-000003000000}" name="Tolerance" dataDxfId="150"/>
    <tableColumn id="4" xr3:uid="{00000000-0010-0000-0100-000004000000}" name="M1-1" dataDxfId="149">
      <calculatedColumnFormula array="1">INDEX('QC Deviation Record Hall 1 '!$C$120:$C$221,MATCH(Table7[[#This Row],[Defect العيب]],'QC Deviation Record Hall 1 '!$B$120:$B$221,0))</calculatedColumnFormula>
    </tableColumn>
    <tableColumn id="5" xr3:uid="{00000000-0010-0000-0100-000005000000}" name="M2-1" dataDxfId="148">
      <calculatedColumnFormula array="1">INDEX('QC Deviation Record Hall 1 '!$D$120:$D$221,MATCH(Table7[[#This Row],[Defect العيب]],'QC Deviation Record Hall 1 '!$B$120:$B$221,0))</calculatedColumnFormula>
    </tableColumn>
    <tableColumn id="6" xr3:uid="{00000000-0010-0000-0100-000006000000}" name="M3-2" dataDxfId="147">
      <calculatedColumnFormula array="1">INDEX('QC Deviation Record Hall 1 '!$E$120:$E$221,MATCH(Table7[[#This Row],[Defect العيب]],'QC Deviation Record Hall 1 '!$B$120:$B$221,0))</calculatedColumnFormula>
    </tableColumn>
    <tableColumn id="7" xr3:uid="{00000000-0010-0000-0100-000007000000}" name="M4-2" dataDxfId="146">
      <calculatedColumnFormula array="1">INDEX('QC Deviation Record Hall 1 '!$F$120:$F$221,MATCH(Table7[[#This Row],[Defect العيب]],'QC Deviation Record Hall 1 '!$B$120:$B$221,0))</calculatedColumnFormula>
    </tableColumn>
    <tableColumn id="8" xr3:uid="{00000000-0010-0000-0100-000008000000}" name="M5-3" dataDxfId="145">
      <calculatedColumnFormula array="1">INDEX('QC Deviation Record Hall 1 '!$G$120:$G$221,MATCH(Table7[[#This Row],[Defect العيب]],'QC Deviation Record Hall 1 '!$B$120:$B$221,0))</calculatedColumnFormula>
    </tableColumn>
    <tableColumn id="9" xr3:uid="{00000000-0010-0000-0100-000009000000}" name="M6-3" dataDxfId="144">
      <calculatedColumnFormula array="1">INDEX('QC Deviation Record Hall 1 '!$H$120:$H$221,MATCH(Table7[[#This Row],[Defect العيب]],'QC Deviation Record Hall 1 '!$B$120:$B$221,0))</calculatedColumnFormula>
    </tableColumn>
    <tableColumn id="10" xr3:uid="{00000000-0010-0000-0100-00000A000000}" name="M7-3" dataDxfId="143">
      <calculatedColumnFormula array="1">INDEX('QC Deviation Record Hall 1 '!$I$120:$I$221,MATCH(Table7[[#This Row],[Defect العيب]],'QC Deviation Record Hall 1 '!$B$120:$B$221,0))</calculatedColumnFormula>
    </tableColumn>
    <tableColumn id="11" xr3:uid="{00000000-0010-0000-0100-00000B000000}" name="M8-4" dataDxfId="142">
      <calculatedColumnFormula array="1">INDEX('QC Deviation Record Hall 1 '!$J$120:$J$221,MATCH(Table7[[#This Row],[Defect العيب]],'QC Deviation Record Hall 1 '!$B$120:$B$221,0))</calculatedColumnFormula>
    </tableColumn>
    <tableColumn id="12" xr3:uid="{00000000-0010-0000-0100-00000C000000}" name="M9-5" dataDxfId="141">
      <calculatedColumnFormula array="1">INDEX('QC Deviation Record Hall 1 '!$K$120:$K$221,MATCH(Table7[[#This Row],[Defect العيب]],'QC Deviation Record Hall 1 '!$B$120:$B$221,0))</calculatedColumnFormula>
    </tableColumn>
    <tableColumn id="13" xr3:uid="{00000000-0010-0000-0100-00000D000000}" name="M10-6" dataDxfId="140">
      <calculatedColumnFormula array="1">INDEX('QC Deviation Record Hall 1 '!$L$120:$L$221,MATCH(Table7[[#This Row],[Defect العيب]],'QC Deviation Record Hall 1 '!$B$120:$B$221,0))</calculatedColumnFormula>
    </tableColumn>
    <tableColumn id="14" xr3:uid="{00000000-0010-0000-0100-00000E000000}" name="M10-6  " dataDxfId="139">
      <calculatedColumnFormula array="1">INDEX('QC Deviation Record Hall 1 '!$M$120:$M$221,MATCH(Table7[[#This Row],[Defect العيب]],'QC Deviation Record Hall 1 '!$B$120:$B$221,0))</calculatedColumnFormula>
    </tableColumn>
    <tableColumn id="15" xr3:uid="{00000000-0010-0000-0100-00000F000000}" name="M18-13" dataDxfId="138">
      <calculatedColumnFormula array="1">INDEX('QC Deviation Record Hall 1 '!$N$120:$N$221,MATCH(Table7[[#This Row],[Defect العيب]],'QC Deviation Record Hall 1 '!$B$120:$B$221,0))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" displayName="Table11" ref="Q33:AC48" totalsRowShown="0" headerRowDxfId="137" dataDxfId="135" headerRowBorderDxfId="136" tableBorderDxfId="134" totalsRowBorderDxfId="133">
  <autoFilter ref="Q33:AC48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200-000001000000}" name="Code" dataDxfId="132">
      <calculatedColumnFormula array="1">INDEX('QC Deviation Record Hall 2'!$A$119:$A$220,MATCH(Table11[[#This Row],[Defect العيب]],'QC Deviation Record Hall 2'!$B$119:$B$220,0))</calculatedColumnFormula>
    </tableColumn>
    <tableColumn id="2" xr3:uid="{00000000-0010-0000-0200-000002000000}" name="Defect العيب" dataDxfId="131">
      <calculatedColumnFormula array="1">INDEX('QC Deviation Record Hall 2'!$B$119:$B$220,MATCH(LARGE('QC Deviation Record Hall 2'!$M$119:$M$220-ROW('QC Deviation Record Hall 2'!$M$119:$M$220)/10000000,ROW(A1)),'QC Deviation Record Hall 2'!$M$119:$M$220-ROW('QC Deviation Record Hall 2'!$M$119:$M$220)/10000000,0))</calculatedColumnFormula>
    </tableColumn>
    <tableColumn id="3" xr3:uid="{00000000-0010-0000-0200-000003000000}" name="Tolerance" dataDxfId="130"/>
    <tableColumn id="4" xr3:uid="{00000000-0010-0000-0200-000004000000}" name="M11-7" dataDxfId="129">
      <calculatedColumnFormula array="1">INDEX('QC Deviation Record Hall 2'!$C$119:$C$220,MATCH(Table11[[#This Row],[Defect العيب]],'QC Deviation Record Hall 2'!$B$119:$B$220,0))</calculatedColumnFormula>
    </tableColumn>
    <tableColumn id="5" xr3:uid="{00000000-0010-0000-0200-000005000000}" name="M12-7" dataDxfId="128">
      <calculatedColumnFormula array="1">INDEX('QC Deviation Record Hall 2'!$D$119:$D$220,MATCH(Table11[[#This Row],[Defect العيب]],'QC Deviation Record Hall 2'!$B$119:$B$220,0))</calculatedColumnFormula>
    </tableColumn>
    <tableColumn id="6" xr3:uid="{00000000-0010-0000-0200-000006000000}" name="M13-8" dataDxfId="127">
      <calculatedColumnFormula array="1">INDEX('QC Deviation Record Hall 2'!$E$119:$E$220,MATCH(Table11[[#This Row],[Defect العيب]],'QC Deviation Record Hall 2'!$B$119:$B$220,0))</calculatedColumnFormula>
    </tableColumn>
    <tableColumn id="7" xr3:uid="{00000000-0010-0000-0200-000007000000}" name="M13-8 " dataDxfId="126">
      <calculatedColumnFormula array="1">INDEX('QC Deviation Record Hall 2'!$F$119:$F$220,MATCH(Table11[[#This Row],[Defect العيب]],'QC Deviation Record Hall 2'!$B$119:$B$220,0))</calculatedColumnFormula>
    </tableColumn>
    <tableColumn id="8" xr3:uid="{00000000-0010-0000-0200-000008000000}" name="M14-9" dataDxfId="125">
      <calculatedColumnFormula array="1">INDEX('QC Deviation Record Hall 2'!$G$119:$G$220,MATCH(Table11[[#This Row],[Defect العيب]],'QC Deviation Record Hall 2'!$B$119:$B$220,0))</calculatedColumnFormula>
    </tableColumn>
    <tableColumn id="9" xr3:uid="{00000000-0010-0000-0200-000009000000}" name="M15-10" dataDxfId="124">
      <calculatedColumnFormula array="1">INDEX('QC Deviation Record Hall 2'!$H$119:$H$220,MATCH(Table11[[#This Row],[Defect العيب]],'QC Deviation Record Hall 2'!$B$119:$B$220,0))</calculatedColumnFormula>
    </tableColumn>
    <tableColumn id="10" xr3:uid="{00000000-0010-0000-0200-00000A000000}" name="M16-11" dataDxfId="123">
      <calculatedColumnFormula array="1">INDEX('QC Deviation Record Hall 2'!$I$119:$I$220,MATCH(Table11[[#This Row],[Defect العيب]],'QC Deviation Record Hall 2'!$B$119:$B$220,0))</calculatedColumnFormula>
    </tableColumn>
    <tableColumn id="11" xr3:uid="{00000000-0010-0000-0200-00000B000000}" name="M16-11 " dataDxfId="122">
      <calculatedColumnFormula array="1">INDEX('QC Deviation Record Hall 2'!$J$119:$J$220,MATCH(Table11[[#This Row],[Defect العيب]],'QC Deviation Record Hall 2'!$B$119:$B$220,0))</calculatedColumnFormula>
    </tableColumn>
    <tableColumn id="12" xr3:uid="{00000000-0010-0000-0200-00000C000000}" name="M17-12" dataDxfId="121">
      <calculatedColumnFormula array="1">INDEX('QC Deviation Record Hall 2'!$K$119:$K$220,MATCH(Table11[[#This Row],[Defect العيب]],'QC Deviation Record Hall 2'!$B$119:$B$220,0))</calculatedColumnFormula>
    </tableColumn>
    <tableColumn id="13" xr3:uid="{00000000-0010-0000-0200-00000D000000}" name="M17-12 " dataDxfId="120">
      <calculatedColumnFormula array="1">INDEX('QC Deviation Record Hall 2'!$L$119:$L$220,MATCH(Table11[[#This Row],[Defect العيب]],'QC Deviation Record Hall 2'!$B$119:$B$220,0))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11" displayName="Table111" ref="AF33:AR48" totalsRowShown="0" headerRowDxfId="119" dataDxfId="117" headerRowBorderDxfId="118" tableBorderDxfId="116" totalsRowBorderDxfId="115">
  <autoFilter ref="AF33:AR48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300-000001000000}" name="Code" dataDxfId="114">
      <calculatedColumnFormula array="1">INDEX('QC Deviation Record Hall 3'!$A$119:$A$220,MATCH(Table111[[#This Row],[Defect العيب]],'QC Deviation Record Hall 3'!$B$119:$B$220,0))</calculatedColumnFormula>
    </tableColumn>
    <tableColumn id="2" xr3:uid="{00000000-0010-0000-0300-000002000000}" name="Defect العيب" dataDxfId="113">
      <calculatedColumnFormula array="1">INDEX('QC Deviation Record Hall 3'!$B$119:$B$220,MATCH(LARGE('QC Deviation Record Hall 3'!$M$119:$M$220-ROW('QC Deviation Record Hall 3'!$M$119:$M$220)/10000000,ROW(A1)),'QC Deviation Record Hall 3'!$M$119:$M$220-ROW('QC Deviation Record Hall 3'!$M$119:$M$220)/10000000,0))</calculatedColumnFormula>
    </tableColumn>
    <tableColumn id="3" xr3:uid="{00000000-0010-0000-0300-000003000000}" name="Tolerance" dataDxfId="112"/>
    <tableColumn id="4" xr3:uid="{00000000-0010-0000-0300-000004000000}" name="M11-7" dataDxfId="111">
      <calculatedColumnFormula array="1">INDEX('QC Deviation Record Hall 3'!$C$119:$C$220,MATCH(Table111[[#This Row],[Defect العيب]],'QC Deviation Record Hall 3'!$B$119:$B$220,0))</calculatedColumnFormula>
    </tableColumn>
    <tableColumn id="5" xr3:uid="{00000000-0010-0000-0300-000005000000}" name="M12-7" dataDxfId="110">
      <calculatedColumnFormula array="1">INDEX('QC Deviation Record Hall 3'!$D$119:$D$220,MATCH(Table111[[#This Row],[Defect العيب]],'QC Deviation Record Hall 3'!$B$119:$B$220,0))</calculatedColumnFormula>
    </tableColumn>
    <tableColumn id="6" xr3:uid="{00000000-0010-0000-0300-000006000000}" name="M13-8" dataDxfId="109">
      <calculatedColumnFormula array="1">INDEX('QC Deviation Record Hall 3'!$E$119:$E$220,MATCH(Table111[[#This Row],[Defect العيب]],'QC Deviation Record Hall 3'!$B$119:$B$220,0))</calculatedColumnFormula>
    </tableColumn>
    <tableColumn id="7" xr3:uid="{00000000-0010-0000-0300-000007000000}" name="M13-8 " dataDxfId="108">
      <calculatedColumnFormula array="1">INDEX('QC Deviation Record Hall 3'!$F$119:$F$220,MATCH(Table111[[#This Row],[Defect العيب]],'QC Deviation Record Hall 3'!$B$119:$B$220,0))</calculatedColumnFormula>
    </tableColumn>
    <tableColumn id="8" xr3:uid="{00000000-0010-0000-0300-000008000000}" name="M14-9" dataDxfId="107">
      <calculatedColumnFormula array="1">INDEX('QC Deviation Record Hall 3'!$G$119:$G$220,MATCH(Table111[[#This Row],[Defect العيب]],'QC Deviation Record Hall 3'!$B$119:$B$220,0))</calculatedColumnFormula>
    </tableColumn>
    <tableColumn id="9" xr3:uid="{00000000-0010-0000-0300-000009000000}" name="M15-10" dataDxfId="106">
      <calculatedColumnFormula array="1">INDEX('QC Deviation Record Hall 3'!$H$119:$H$220,MATCH(Table111[[#This Row],[Defect العيب]],'QC Deviation Record Hall 3'!$B$119:$B$220,0))</calculatedColumnFormula>
    </tableColumn>
    <tableColumn id="10" xr3:uid="{00000000-0010-0000-0300-00000A000000}" name="M16-11" dataDxfId="105">
      <calculatedColumnFormula array="1">INDEX('QC Deviation Record Hall 3'!$I$119:$I$220,MATCH(Table111[[#This Row],[Defect العيب]],'QC Deviation Record Hall 3'!$B$119:$B$220,0))</calculatedColumnFormula>
    </tableColumn>
    <tableColumn id="11" xr3:uid="{00000000-0010-0000-0300-00000B000000}" name="M16-11 " dataDxfId="104">
      <calculatedColumnFormula array="1">INDEX('QC Deviation Record Hall 3'!$J$119:$J$220,MATCH(Table111[[#This Row],[Defect العيب]],'QC Deviation Record Hall 3'!$B$119:$B$220,0))</calculatedColumnFormula>
    </tableColumn>
    <tableColumn id="12" xr3:uid="{00000000-0010-0000-0300-00000C000000}" name="M17-12" dataDxfId="103">
      <calculatedColumnFormula array="1">INDEX('QC Deviation Record Hall 3'!$K$119:$K$220,MATCH(Table111[[#This Row],[Defect العيب]],'QC Deviation Record Hall 3'!$B$119:$B$220,0))</calculatedColumnFormula>
    </tableColumn>
    <tableColumn id="13" xr3:uid="{00000000-0010-0000-0300-00000D000000}" name="M17-12 " dataDxfId="102">
      <calculatedColumnFormula array="1">INDEX('QC Deviation Record Hall 3'!$L$119:$L$220,MATCH(Table111[[#This Row],[Defect العيب]],'QC Deviation Record Hall 3'!$B$119:$B$220,0))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8:B111" totalsRowShown="0" headerRowDxfId="101" tableBorderDxfId="100">
  <autoFilter ref="A8:B111" xr:uid="{00000000-0009-0000-0100-000005000000}">
    <filterColumn colId="0" hiddenButton="1"/>
    <filterColumn colId="1" hiddenButton="1"/>
  </autoFilter>
  <tableColumns count="2">
    <tableColumn id="1" xr3:uid="{00000000-0010-0000-0400-000001000000}" name="الكود"/>
    <tableColumn id="2" xr3:uid="{00000000-0010-0000-0400-000002000000}" name="الفئ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5" displayName="Table25" ref="A118:O221" totalsRowShown="0" headerRowDxfId="99" dataDxfId="97" headerRowBorderDxfId="98" tableBorderDxfId="96" totalsRowBorderDxfId="95">
  <autoFilter ref="A118:O221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500-000001000000}" name="الكود" dataDxfId="94"/>
    <tableColumn id="2" xr3:uid="{00000000-0010-0000-0500-000002000000}" name="الفئة" dataDxfId="93"/>
    <tableColumn id="3" xr3:uid="{00000000-0010-0000-0500-000003000000}" name="M1-1" dataDxfId="92">
      <calculatedColumnFormula>J9</calculatedColumnFormula>
    </tableColumn>
    <tableColumn id="4" xr3:uid="{00000000-0010-0000-0500-000004000000}" name="M2-1" dataDxfId="91">
      <calculatedColumnFormula>R9</calculatedColumnFormula>
    </tableColumn>
    <tableColumn id="5" xr3:uid="{00000000-0010-0000-0500-000005000000}" name="M3-2" dataDxfId="90">
      <calculatedColumnFormula>Z9</calculatedColumnFormula>
    </tableColumn>
    <tableColumn id="6" xr3:uid="{00000000-0010-0000-0500-000006000000}" name="M4-2" dataDxfId="89">
      <calculatedColumnFormula>AH9</calculatedColumnFormula>
    </tableColumn>
    <tableColumn id="7" xr3:uid="{00000000-0010-0000-0500-000007000000}" name="M5-3" dataDxfId="88">
      <calculatedColumnFormula>AP9</calculatedColumnFormula>
    </tableColumn>
    <tableColumn id="8" xr3:uid="{00000000-0010-0000-0500-000008000000}" name="M6-3" dataDxfId="87">
      <calculatedColumnFormula>AX9</calculatedColumnFormula>
    </tableColumn>
    <tableColumn id="9" xr3:uid="{00000000-0010-0000-0500-000009000000}" name="M7-3" dataDxfId="86">
      <calculatedColumnFormula>BF9</calculatedColumnFormula>
    </tableColumn>
    <tableColumn id="10" xr3:uid="{00000000-0010-0000-0500-00000A000000}" name="M8-4" dataDxfId="85">
      <calculatedColumnFormula>BN9</calculatedColumnFormula>
    </tableColumn>
    <tableColumn id="11" xr3:uid="{00000000-0010-0000-0500-00000B000000}" name="M9-5" dataDxfId="84">
      <calculatedColumnFormula>BV9</calculatedColumnFormula>
    </tableColumn>
    <tableColumn id="12" xr3:uid="{00000000-0010-0000-0500-00000C000000}" name="M10-6" dataDxfId="83">
      <calculatedColumnFormula>CD9</calculatedColumnFormula>
    </tableColumn>
    <tableColumn id="13" xr3:uid="{00000000-0010-0000-0500-00000D000000}" name="M10-62" dataDxfId="82">
      <calculatedColumnFormula>CL9</calculatedColumnFormula>
    </tableColumn>
    <tableColumn id="14" xr3:uid="{00000000-0010-0000-0500-00000E000000}" name="M18-13" dataDxfId="81">
      <calculatedColumnFormula>CT9</calculatedColumnFormula>
    </tableColumn>
    <tableColumn id="15" xr3:uid="{00000000-0010-0000-0500-00000F000000}" name="sum" dataDxfId="80">
      <calculatedColumnFormula>SUM(Table25[[#This Row],[M1-1]:[M18-13]])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8" displayName="Table8" ref="A7:I110" totalsRowShown="0" headerRowDxfId="79" dataDxfId="78" tableBorderDxfId="77">
  <autoFilter ref="A7:I110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600-000001000000}" name="الكود" dataDxfId="76"/>
    <tableColumn id="2" xr3:uid="{00000000-0010-0000-0600-000002000000}" name="الفئة" dataDxfId="75"/>
    <tableColumn id="3" xr3:uid="{00000000-0010-0000-0600-000003000000}" name="السبت" dataDxfId="74"/>
    <tableColumn id="4" xr3:uid="{00000000-0010-0000-0600-000004000000}" name="الأحد" dataDxfId="73"/>
    <tableColumn id="5" xr3:uid="{00000000-0010-0000-0600-000005000000}" name="الإثنين" dataDxfId="72"/>
    <tableColumn id="6" xr3:uid="{00000000-0010-0000-0600-000006000000}" name="الثلاثاء" dataDxfId="71"/>
    <tableColumn id="7" xr3:uid="{00000000-0010-0000-0600-000007000000}" name="الأربعاء" dataDxfId="70"/>
    <tableColumn id="8" xr3:uid="{00000000-0010-0000-0600-000008000000}" name="الخميس" dataDxfId="69"/>
    <tableColumn id="9" xr3:uid="{00000000-0010-0000-0600-000009000000}" name="الجمعة" dataDxfId="6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6" displayName="Table86" ref="A117:M220" totalsRowShown="0" headerRowDxfId="67" dataDxfId="65" headerRowBorderDxfId="66" tableBorderDxfId="64" totalsRowBorderDxfId="63">
  <autoFilter ref="A117:M220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700-000001000000}" name="الكود" dataDxfId="62"/>
    <tableColumn id="2" xr3:uid="{00000000-0010-0000-0700-000002000000}" name="الفئة" dataDxfId="61"/>
    <tableColumn id="3" xr3:uid="{00000000-0010-0000-0700-000003000000}" name="M11-7" dataDxfId="60">
      <calculatedColumnFormula>J8</calculatedColumnFormula>
    </tableColumn>
    <tableColumn id="4" xr3:uid="{00000000-0010-0000-0700-000004000000}" name="M12-7" dataDxfId="59">
      <calculatedColumnFormula>R8</calculatedColumnFormula>
    </tableColumn>
    <tableColumn id="5" xr3:uid="{00000000-0010-0000-0700-000005000000}" name="M13-8" dataDxfId="58">
      <calculatedColumnFormula>Z8</calculatedColumnFormula>
    </tableColumn>
    <tableColumn id="6" xr3:uid="{00000000-0010-0000-0700-000006000000}" name="M13-82" dataDxfId="57">
      <calculatedColumnFormula>AH8</calculatedColumnFormula>
    </tableColumn>
    <tableColumn id="7" xr3:uid="{00000000-0010-0000-0700-000007000000}" name="M14-9" dataDxfId="56">
      <calculatedColumnFormula>AP8</calculatedColumnFormula>
    </tableColumn>
    <tableColumn id="8" xr3:uid="{00000000-0010-0000-0700-000008000000}" name="M15-10" dataDxfId="55">
      <calculatedColumnFormula>AX8</calculatedColumnFormula>
    </tableColumn>
    <tableColumn id="9" xr3:uid="{00000000-0010-0000-0700-000009000000}" name="M16-11" dataDxfId="54">
      <calculatedColumnFormula>BF8</calculatedColumnFormula>
    </tableColumn>
    <tableColumn id="10" xr3:uid="{00000000-0010-0000-0700-00000A000000}" name="M16-113" dataDxfId="53">
      <calculatedColumnFormula>BN8</calculatedColumnFormula>
    </tableColumn>
    <tableColumn id="11" xr3:uid="{00000000-0010-0000-0700-00000B000000}" name="M17-12" dataDxfId="52">
      <calculatedColumnFormula>BV8</calculatedColumnFormula>
    </tableColumn>
    <tableColumn id="12" xr3:uid="{00000000-0010-0000-0700-00000C000000}" name="M17-124" dataDxfId="51">
      <calculatedColumnFormula>CD8</calculatedColumnFormula>
    </tableColumn>
    <tableColumn id="13" xr3:uid="{00000000-0010-0000-0700-00000D000000}" name="sum" dataDxfId="50">
      <calculatedColumnFormula>SUM(Table86[[#This Row],[M11-7]:[M17-124]])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8" displayName="Table38" ref="A7:I110" totalsRowShown="0" headerRowDxfId="49" dataDxfId="48" tableBorderDxfId="47">
  <autoFilter ref="A7:I110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800-000001000000}" name="الكود" dataDxfId="46"/>
    <tableColumn id="2" xr3:uid="{00000000-0010-0000-0800-000002000000}" name="الفئة" dataDxfId="45"/>
    <tableColumn id="3" xr3:uid="{00000000-0010-0000-0800-000003000000}" name="السبت" dataDxfId="44"/>
    <tableColumn id="4" xr3:uid="{00000000-0010-0000-0800-000004000000}" name="الأحد" dataDxfId="43"/>
    <tableColumn id="5" xr3:uid="{00000000-0010-0000-0800-000005000000}" name="الإثنين" dataDxfId="42"/>
    <tableColumn id="6" xr3:uid="{00000000-0010-0000-0800-000006000000}" name="الثلاثاء" dataDxfId="41"/>
    <tableColumn id="7" xr3:uid="{00000000-0010-0000-0800-000007000000}" name="الأربعاء" dataDxfId="40"/>
    <tableColumn id="8" xr3:uid="{00000000-0010-0000-0800-000008000000}" name="الخميس" dataDxfId="39"/>
    <tableColumn id="9" xr3:uid="{00000000-0010-0000-0800-000009000000}" name="الجمعة" dataDxfId="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386" displayName="Table386" ref="A117:M220" totalsRowShown="0" headerRowDxfId="37" dataDxfId="35" headerRowBorderDxfId="36" tableBorderDxfId="34" totalsRowBorderDxfId="33">
  <autoFilter ref="A117:M220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900-000001000000}" name="الكود" dataDxfId="32"/>
    <tableColumn id="2" xr3:uid="{00000000-0010-0000-0900-000002000000}" name="الفئة" dataDxfId="31"/>
    <tableColumn id="3" xr3:uid="{00000000-0010-0000-0900-000003000000}" name="M11-7" dataDxfId="30">
      <calculatedColumnFormula>J8</calculatedColumnFormula>
    </tableColumn>
    <tableColumn id="4" xr3:uid="{00000000-0010-0000-0900-000004000000}" name="M12-7" dataDxfId="29">
      <calculatedColumnFormula>R8</calculatedColumnFormula>
    </tableColumn>
    <tableColumn id="5" xr3:uid="{00000000-0010-0000-0900-000005000000}" name="M13-8" dataDxfId="28">
      <calculatedColumnFormula>Z8</calculatedColumnFormula>
    </tableColumn>
    <tableColumn id="6" xr3:uid="{00000000-0010-0000-0900-000006000000}" name="M13-82" dataDxfId="27">
      <calculatedColumnFormula>AH8</calculatedColumnFormula>
    </tableColumn>
    <tableColumn id="7" xr3:uid="{00000000-0010-0000-0900-000007000000}" name="M14-9" dataDxfId="26">
      <calculatedColumnFormula>AP8</calculatedColumnFormula>
    </tableColumn>
    <tableColumn id="8" xr3:uid="{00000000-0010-0000-0900-000008000000}" name="M15-10" dataDxfId="25">
      <calculatedColumnFormula>AX8</calculatedColumnFormula>
    </tableColumn>
    <tableColumn id="9" xr3:uid="{00000000-0010-0000-0900-000009000000}" name="M16-11" dataDxfId="24">
      <calculatedColumnFormula>BF8</calculatedColumnFormula>
    </tableColumn>
    <tableColumn id="10" xr3:uid="{00000000-0010-0000-0900-00000A000000}" name="M16-113" dataDxfId="23">
      <calculatedColumnFormula>BN8</calculatedColumnFormula>
    </tableColumn>
    <tableColumn id="11" xr3:uid="{00000000-0010-0000-0900-00000B000000}" name="M17-12" dataDxfId="22">
      <calculatedColumnFormula>BV8</calculatedColumnFormula>
    </tableColumn>
    <tableColumn id="12" xr3:uid="{00000000-0010-0000-0900-00000C000000}" name="M17-124" dataDxfId="21">
      <calculatedColumnFormula>CD8</calculatedColumnFormula>
    </tableColumn>
    <tableColumn id="13" xr3:uid="{00000000-0010-0000-0900-00000D000000}" name="sum" dataDxfId="20">
      <calculatedColumnFormula>SUM(Table386[[#This Row],[M11-7]:[M17-124]])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" displayName="Table1" ref="A3:P647" totalsRowShown="0" headerRowDxfId="19" dataDxfId="17" headerRowBorderDxfId="18" tableBorderDxfId="16">
  <autoFilter ref="A3:P647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A00-000001000000}" name="الماكينة Machine" dataDxfId="15"/>
    <tableColumn id="2" xr3:uid="{00000000-0010-0000-0A00-000002000000}" name="اليوم   Day" dataDxfId="14"/>
    <tableColumn id="3" xr3:uid="{00000000-0010-0000-0A00-000003000000}" name="التاريخ Date" dataDxfId="13"/>
    <tableColumn id="4" xr3:uid="{00000000-0010-0000-0A00-000004000000}" name=" الوردية Shift" dataDxfId="12"/>
    <tableColumn id="5" xr3:uid="{00000000-0010-0000-0A00-000005000000}" name="      الوقت      Time   " dataDxfId="11"/>
    <tableColumn id="6" xr3:uid="{00000000-0010-0000-0A00-000006000000}" name="رقم الباتشة Patch No" dataDxfId="10"/>
    <tableColumn id="7" xr3:uid="{00000000-0010-0000-0A00-000007000000}" name="المنتج    Product" dataDxfId="9"/>
    <tableColumn id="8" xr3:uid="{00000000-0010-0000-0A00-000008000000}" name="الكمية     Quantity" dataDxfId="8"/>
    <tableColumn id="9" xr3:uid="{00000000-0010-0000-0A00-000009000000}" name="كود العيب Defect code" dataDxfId="7"/>
    <tableColumn id="10" xr3:uid="{00000000-0010-0000-0A00-00000A000000}" name=" السبب المحتمل Probable Cause" dataDxfId="6"/>
    <tableColumn id="11" xr3:uid="{00000000-0010-0000-0A00-00000B000000}" name="الإجراء التصحيحى الفورى Correction action" dataDxfId="5"/>
    <tableColumn id="12" xr3:uid="{00000000-0010-0000-0A00-00000C000000}" name="الإجراء التصحيحى Corrective action " dataDxfId="4"/>
    <tableColumn id="13" xr3:uid="{00000000-0010-0000-0A00-00000D000000}" name="الإجراء الوقائى Prevention action " dataDxfId="3"/>
    <tableColumn id="14" xr3:uid="{00000000-0010-0000-0A00-00000E000000}" name="حالة الإغلاق /  الموقف النهائى " dataDxfId="2"/>
    <tableColumn id="17" xr3:uid="{00000000-0010-0000-0A00-000011000000}" name="التوجيه للإدارة المعنية" dataDxfId="1"/>
    <tableColumn id="15" xr3:uid="{00000000-0010-0000-0A00-00000F000000}" name="Defect 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S213"/>
  <sheetViews>
    <sheetView showGridLines="0" showZeros="0" tabSelected="1" zoomScale="10" zoomScaleNormal="40" zoomScaleSheetLayoutView="10" zoomScalePageLayoutView="10" workbookViewId="0">
      <selection activeCell="Y49" sqref="A49:AP50"/>
    </sheetView>
  </sheetViews>
  <sheetFormatPr baseColWidth="10" defaultColWidth="9.1640625" defaultRowHeight="20" x14ac:dyDescent="0.15"/>
  <cols>
    <col min="1" max="1" width="71" style="1" customWidth="1"/>
    <col min="2" max="2" width="149.33203125" style="1" bestFit="1" customWidth="1"/>
    <col min="3" max="11" width="78.1640625" style="1" customWidth="1"/>
    <col min="12" max="12" width="133.6640625" style="1" bestFit="1" customWidth="1"/>
    <col min="13" max="16" width="78.1640625" style="1" customWidth="1"/>
    <col min="17" max="17" width="13" customWidth="1"/>
    <col min="18" max="18" width="148.33203125" style="1" customWidth="1"/>
    <col min="19" max="19" width="73.6640625" style="1" bestFit="1" customWidth="1"/>
    <col min="20" max="20" width="78.1640625" style="1" customWidth="1"/>
    <col min="21" max="28" width="13" customWidth="1"/>
    <col min="29" max="29" width="79" style="1" customWidth="1"/>
    <col min="30" max="30" width="13" customWidth="1"/>
    <col min="31" max="31" width="79" style="1" customWidth="1"/>
    <col min="32" max="32" width="13" customWidth="1"/>
    <col min="33" max="33" width="148.33203125" style="1" customWidth="1"/>
    <col min="34" max="34" width="73.6640625" customWidth="1"/>
    <col min="35" max="35" width="78.1640625" style="1" customWidth="1"/>
    <col min="36" max="36" width="13" customWidth="1"/>
    <col min="37" max="38" width="13" style="1" customWidth="1"/>
    <col min="39" max="43" width="13" customWidth="1"/>
    <col min="44" max="44" width="79" customWidth="1"/>
    <col min="45" max="45" width="13" customWidth="1"/>
    <col min="46" max="56" width="13" style="1" customWidth="1"/>
    <col min="57" max="57" width="9.1640625" style="1" customWidth="1"/>
    <col min="58" max="16384" width="9.1640625" style="1"/>
  </cols>
  <sheetData>
    <row r="1" spans="1:44" ht="20.5" customHeight="1" thickTop="1" x14ac:dyDescent="0.15">
      <c r="J1" s="221" t="s">
        <v>0</v>
      </c>
      <c r="K1" s="222"/>
      <c r="L1" s="222"/>
      <c r="M1" s="222"/>
      <c r="N1" s="222"/>
      <c r="O1" s="222"/>
      <c r="P1" s="222"/>
      <c r="Q1" s="222"/>
      <c r="R1" s="222"/>
      <c r="S1" s="222"/>
      <c r="AF1" s="218"/>
      <c r="AG1" s="218"/>
      <c r="AH1" s="218"/>
    </row>
    <row r="2" spans="1:44" ht="192.5" customHeight="1" thickBot="1" x14ac:dyDescent="0.2">
      <c r="A2" s="236" t="s">
        <v>1</v>
      </c>
      <c r="B2" s="233"/>
      <c r="C2" s="237"/>
      <c r="J2" s="223"/>
      <c r="K2" s="223"/>
      <c r="L2" s="223"/>
      <c r="M2" s="223"/>
      <c r="N2" s="223"/>
      <c r="O2" s="223"/>
      <c r="P2" s="223"/>
      <c r="Q2" s="223"/>
      <c r="R2" s="223"/>
      <c r="S2" s="223"/>
      <c r="AF2" s="219"/>
      <c r="AG2" s="219"/>
      <c r="AH2" s="219"/>
    </row>
    <row r="3" spans="1:44" s="4" customFormat="1" ht="105.5" customHeight="1" thickTop="1" x14ac:dyDescent="0.15">
      <c r="A3" s="232" t="s">
        <v>2</v>
      </c>
      <c r="B3" s="233"/>
      <c r="C3" s="233"/>
      <c r="J3" s="3"/>
      <c r="K3" s="2"/>
      <c r="L3" s="2"/>
      <c r="M3" s="2"/>
      <c r="N3" s="2"/>
      <c r="O3" s="2"/>
      <c r="P3" s="2"/>
      <c r="Q3" s="2"/>
      <c r="R3" s="2"/>
      <c r="S3" s="3"/>
      <c r="AF3" s="2"/>
      <c r="AG3" s="2"/>
      <c r="AH3" s="3"/>
    </row>
    <row r="4" spans="1:44" s="4" customFormat="1" ht="105.5" customHeight="1" x14ac:dyDescent="0.15">
      <c r="A4" s="232" t="s">
        <v>3</v>
      </c>
      <c r="B4" s="233"/>
      <c r="C4" s="233"/>
    </row>
    <row r="5" spans="1:44" s="4" customFormat="1" ht="105.5" customHeight="1" x14ac:dyDescent="0.15">
      <c r="A5" s="238" t="s">
        <v>4</v>
      </c>
      <c r="B5" s="239"/>
      <c r="C5" s="239"/>
    </row>
    <row r="6" spans="1:44" s="4" customFormat="1" ht="105.5" customHeight="1" x14ac:dyDescent="0.15"/>
    <row r="7" spans="1:44" s="4" customFormat="1" ht="53" customHeight="1" x14ac:dyDescent="0.15"/>
    <row r="8" spans="1:44" s="4" customFormat="1" ht="53" customHeight="1" x14ac:dyDescent="0.15">
      <c r="C8" s="4" t="s">
        <v>5</v>
      </c>
    </row>
    <row r="9" spans="1:44" s="4" customFormat="1" ht="160" customHeight="1" x14ac:dyDescent="0.15">
      <c r="A9" s="230" t="s">
        <v>6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</row>
    <row r="10" spans="1:44" s="4" customFormat="1" ht="53" customHeight="1" x14ac:dyDescent="0.15">
      <c r="A10" s="241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44" s="85" customFormat="1" ht="118" customHeight="1" x14ac:dyDescent="0.15">
      <c r="D11" s="89" t="s">
        <v>7</v>
      </c>
      <c r="E11" s="89" t="s">
        <v>8</v>
      </c>
      <c r="F11" s="89" t="s">
        <v>9</v>
      </c>
      <c r="G11" s="89" t="s">
        <v>10</v>
      </c>
      <c r="H11" s="89" t="s">
        <v>11</v>
      </c>
      <c r="I11" s="89" t="s">
        <v>12</v>
      </c>
      <c r="J11" s="89" t="s">
        <v>13</v>
      </c>
      <c r="K11" s="89" t="s">
        <v>14</v>
      </c>
      <c r="L11" s="89" t="s">
        <v>15</v>
      </c>
      <c r="M11" s="89" t="s">
        <v>16</v>
      </c>
      <c r="N11" s="89" t="s">
        <v>16</v>
      </c>
      <c r="O11" s="89" t="s">
        <v>17</v>
      </c>
      <c r="T11" s="89" t="s">
        <v>18</v>
      </c>
      <c r="U11" s="89" t="s">
        <v>19</v>
      </c>
      <c r="V11" s="89" t="s">
        <v>20</v>
      </c>
      <c r="W11" s="89" t="s">
        <v>20</v>
      </c>
      <c r="X11" s="89" t="s">
        <v>21</v>
      </c>
      <c r="Y11" s="89" t="s">
        <v>22</v>
      </c>
      <c r="Z11" s="89" t="s">
        <v>23</v>
      </c>
      <c r="AA11" s="89" t="s">
        <v>23</v>
      </c>
      <c r="AB11" s="89" t="s">
        <v>24</v>
      </c>
      <c r="AC11" s="89" t="s">
        <v>24</v>
      </c>
      <c r="AI11" s="89" t="s">
        <v>18</v>
      </c>
      <c r="AJ11" s="89" t="s">
        <v>19</v>
      </c>
      <c r="AK11" s="89" t="s">
        <v>20</v>
      </c>
      <c r="AL11" s="89" t="s">
        <v>20</v>
      </c>
      <c r="AM11" s="89" t="s">
        <v>21</v>
      </c>
      <c r="AN11" s="89" t="s">
        <v>22</v>
      </c>
      <c r="AO11" s="89" t="s">
        <v>23</v>
      </c>
      <c r="AP11" s="89" t="s">
        <v>23</v>
      </c>
      <c r="AQ11" s="89" t="s">
        <v>24</v>
      </c>
      <c r="AR11" s="89" t="s">
        <v>24</v>
      </c>
    </row>
    <row r="12" spans="1:44" s="85" customFormat="1" ht="118" customHeight="1" x14ac:dyDescent="0.15">
      <c r="A12" s="224" t="s">
        <v>25</v>
      </c>
      <c r="B12" s="225"/>
      <c r="C12" s="120" t="s">
        <v>26</v>
      </c>
      <c r="D12" s="90">
        <f>'QC Deviation Record Hall 1 '!C5</f>
        <v>0</v>
      </c>
      <c r="E12" s="91">
        <f>'QC Deviation Record Hall 1 '!K5</f>
        <v>0</v>
      </c>
      <c r="F12" s="91">
        <f>'QC Deviation Record Hall 1 '!S5</f>
        <v>0</v>
      </c>
      <c r="G12" s="91">
        <f>'QC Deviation Record Hall 1 '!AA5</f>
        <v>0</v>
      </c>
      <c r="H12" s="91">
        <f>'QC Deviation Record Hall 1 '!AI5</f>
        <v>0</v>
      </c>
      <c r="I12" s="91">
        <f>'QC Deviation Record Hall 1 '!AQ5</f>
        <v>0</v>
      </c>
      <c r="J12" s="91">
        <f>'QC Deviation Record Hall 1 '!AY5</f>
        <v>0</v>
      </c>
      <c r="K12" s="91">
        <f>'QC Deviation Record Hall 1 '!BG5</f>
        <v>0</v>
      </c>
      <c r="L12" s="91">
        <f>'QC Deviation Record Hall 1 '!BO5</f>
        <v>0</v>
      </c>
      <c r="M12" s="91">
        <f>'QC Deviation Record Hall 1 '!BW5</f>
        <v>0</v>
      </c>
      <c r="N12" s="91">
        <f>'QC Deviation Record Hall 1 '!CE5</f>
        <v>0</v>
      </c>
      <c r="O12" s="91">
        <f>'QC Deviation Record Hall 1 '!CM5</f>
        <v>0</v>
      </c>
      <c r="Q12" s="224" t="s">
        <v>25</v>
      </c>
      <c r="R12" s="225"/>
      <c r="S12" s="120" t="s">
        <v>26</v>
      </c>
      <c r="T12" s="91">
        <f>'QC Deviation Record Hall 2'!C4</f>
        <v>0</v>
      </c>
      <c r="U12" s="91">
        <f>'QC Deviation Record Hall 2'!K4</f>
        <v>0</v>
      </c>
      <c r="V12" s="91">
        <f>'QC Deviation Record Hall 2'!S4</f>
        <v>0</v>
      </c>
      <c r="W12" s="91">
        <f>'QC Deviation Record Hall 2'!AA4</f>
        <v>0</v>
      </c>
      <c r="X12" s="91">
        <f>'QC Deviation Record Hall 2'!AI4</f>
        <v>0</v>
      </c>
      <c r="Y12" s="91">
        <f>'QC Deviation Record Hall 2'!AQ4</f>
        <v>0</v>
      </c>
      <c r="Z12" s="91">
        <f>'QC Deviation Record Hall 2'!AY4</f>
        <v>0</v>
      </c>
      <c r="AA12" s="91">
        <f>'QC Deviation Record Hall 2'!BG4</f>
        <v>0</v>
      </c>
      <c r="AB12" s="91">
        <f>'QC Deviation Record Hall 2'!BO4</f>
        <v>0</v>
      </c>
      <c r="AC12" s="91">
        <f>'QC Deviation Record Hall 2'!BW4</f>
        <v>0</v>
      </c>
      <c r="AF12" s="224" t="s">
        <v>25</v>
      </c>
      <c r="AG12" s="225"/>
      <c r="AH12" s="120" t="s">
        <v>26</v>
      </c>
      <c r="AI12" s="91">
        <f>'QC Deviation Record Hall 3'!C4</f>
        <v>0</v>
      </c>
      <c r="AJ12" s="91">
        <f>'QC Deviation Record Hall 3'!K4</f>
        <v>0</v>
      </c>
      <c r="AK12" s="91">
        <f>'QC Deviation Record Hall 3'!S4</f>
        <v>0</v>
      </c>
      <c r="AL12" s="91">
        <f>'QC Deviation Record Hall 3'!AA4</f>
        <v>0</v>
      </c>
      <c r="AM12" s="91">
        <f>'QC Deviation Record Hall 3'!AI4</f>
        <v>0</v>
      </c>
      <c r="AN12" s="91">
        <f>'QC Deviation Record Hall 3'!AQ4</f>
        <v>0</v>
      </c>
      <c r="AO12" s="91">
        <f>'QC Deviation Record Hall 3'!AY4</f>
        <v>0</v>
      </c>
      <c r="AP12" s="91">
        <f>'QC Deviation Record Hall 3'!BG4</f>
        <v>0</v>
      </c>
      <c r="AQ12" s="91">
        <f>'QC Deviation Record Hall 3'!BO4</f>
        <v>0</v>
      </c>
      <c r="AR12" s="91">
        <f>'QC Deviation Record Hall 3'!BW4</f>
        <v>0</v>
      </c>
    </row>
    <row r="13" spans="1:44" s="85" customFormat="1" ht="118" customHeight="1" x14ac:dyDescent="0.15">
      <c r="A13" s="226"/>
      <c r="B13" s="227"/>
      <c r="C13" s="120" t="s">
        <v>27</v>
      </c>
      <c r="D13" s="92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Q13" s="226"/>
      <c r="R13" s="227"/>
      <c r="S13" s="120" t="s">
        <v>27</v>
      </c>
      <c r="T13" s="93"/>
      <c r="U13" s="93"/>
      <c r="V13" s="93"/>
      <c r="W13" s="93"/>
      <c r="X13" s="93"/>
      <c r="Y13" s="93"/>
      <c r="Z13" s="93"/>
      <c r="AA13" s="93"/>
      <c r="AB13" s="93"/>
      <c r="AC13" s="93"/>
      <c r="AF13" s="226"/>
      <c r="AG13" s="227"/>
      <c r="AH13" s="120" t="s">
        <v>27</v>
      </c>
      <c r="AI13" s="93"/>
      <c r="AJ13" s="93"/>
      <c r="AK13" s="93"/>
      <c r="AL13" s="93"/>
      <c r="AM13" s="93"/>
      <c r="AN13" s="93"/>
      <c r="AO13" s="93"/>
      <c r="AP13" s="93"/>
      <c r="AQ13" s="93"/>
      <c r="AR13" s="93"/>
    </row>
    <row r="14" spans="1:44" s="85" customFormat="1" ht="118" customHeight="1" x14ac:dyDescent="0.15">
      <c r="A14" s="228"/>
      <c r="B14" s="229"/>
      <c r="C14" s="120" t="s">
        <v>28</v>
      </c>
      <c r="D14" s="90" t="str">
        <f>IFERROR(AVERAGE('QC Record Production Hall 1'!L6:L8),"")</f>
        <v/>
      </c>
      <c r="E14" s="91" t="str">
        <f>IFERROR(AVERAGE('QC Record Production Hall 1'!Z6:Z8),"")</f>
        <v/>
      </c>
      <c r="F14" s="91" t="str">
        <f>IFERROR(AVERAGE('QC Record Production Hall 1'!AN6:AN8),"")</f>
        <v/>
      </c>
      <c r="G14" s="91" t="str">
        <f>IFERROR(AVERAGE('QC Record Production Hall 1'!BB6:BB8),"")</f>
        <v/>
      </c>
      <c r="H14" s="91" t="str">
        <f>IFERROR(AVERAGE('QC Record Production Hall 1'!J30:J32),"")</f>
        <v/>
      </c>
      <c r="I14" s="91" t="str">
        <f>IFERROR(AVERAGE('QC Record Production Hall 1'!V30:V32),"")</f>
        <v/>
      </c>
      <c r="J14" s="91" t="str">
        <f>IFERROR(AVERAGE('QC Record Production Hall 1'!AN30:AN32),"")</f>
        <v/>
      </c>
      <c r="K14" s="91" t="str">
        <f>IFERROR(AVERAGE('QC Record Production Hall 1'!BB30:BB32),"")</f>
        <v/>
      </c>
      <c r="L14" s="91" t="str">
        <f>IFERROR(AVERAGE('QC Record Production Hall 1'!J54:J56),"")</f>
        <v/>
      </c>
      <c r="M14" s="91" t="str">
        <f>IFERROR(AVERAGE('QC Record Production Hall 1'!W54:W56),"")</f>
        <v/>
      </c>
      <c r="N14" s="91" t="str">
        <f>IFERROR(AVERAGE('QC Record Production Hall 1'!AK54:AK56),"")</f>
        <v/>
      </c>
      <c r="O14" s="91" t="str">
        <f>IFERROR(AVERAGE('QC Record Production Hall 1'!AX54:AX56),"")</f>
        <v/>
      </c>
      <c r="Q14" s="228"/>
      <c r="R14" s="229"/>
      <c r="S14" s="120" t="s">
        <v>28</v>
      </c>
      <c r="T14" s="91" t="str">
        <f>IFERROR(AVERAGE('QC Record Production Hall 2'!J6:J8),"")</f>
        <v/>
      </c>
      <c r="U14" s="91" t="str">
        <f>IFERROR(AVERAGE('QC Record Production Hall 2'!V6:V8),"")</f>
        <v/>
      </c>
      <c r="V14" s="91" t="str">
        <f>IFERROR(AVERAGE('QC Record Production Hall 2'!AG6:AG8),"")</f>
        <v/>
      </c>
      <c r="W14" s="91" t="str">
        <f>IFERROR(AVERAGE('QC Record Production Hall 2'!AR6:AR8),"")</f>
        <v/>
      </c>
      <c r="X14" s="91" t="str">
        <f>IFERROR(AVERAGE('QC Record Production Hall 2'!L30:L32),"")</f>
        <v/>
      </c>
      <c r="Y14" s="91" t="str">
        <f>IFERROR(AVERAGE('QC Record Production Hall 2'!AD30:AD32),"")</f>
        <v/>
      </c>
      <c r="Z14" s="91" t="str">
        <f>IFERROR(AVERAGE('QC Record Production Hall 2'!BC6:BC8),"")</f>
        <v/>
      </c>
      <c r="AA14" s="91" t="str">
        <f>IFERROR(AVERAGE('QC Record Production Hall 2'!BN6:BN8),"")</f>
        <v/>
      </c>
      <c r="AB14" s="91" t="str">
        <f>IFERROR(AVERAGE('QC Record Production Hall 2'!AR30:AR32),"")</f>
        <v/>
      </c>
      <c r="AC14" s="91" t="str">
        <f>IFERROR(AVERAGE('QC Record Production Hall 2'!BC30:BC32),"")</f>
        <v/>
      </c>
      <c r="AF14" s="228"/>
      <c r="AG14" s="229"/>
      <c r="AH14" s="120" t="s">
        <v>28</v>
      </c>
      <c r="AI14" s="91" t="str">
        <f>IFERROR(AVERAGE('QC Record Production Hall 3'!J6:J8),"")</f>
        <v/>
      </c>
      <c r="AJ14" s="91" t="str">
        <f>IFERROR(AVERAGE('QC Record Production Hall 3'!V6:V8),"")</f>
        <v/>
      </c>
      <c r="AK14" s="91" t="str">
        <f>IFERROR(AVERAGE('QC Record Production Hall 3'!AG6:AG8),"")</f>
        <v/>
      </c>
      <c r="AL14" s="91" t="str">
        <f>IFERROR(AVERAGE('QC Record Production Hall 3'!AR6:AR8),"")</f>
        <v/>
      </c>
      <c r="AM14" s="91" t="str">
        <f>IFERROR(AVERAGE('QC Record Production Hall 3'!L30:L32),"")</f>
        <v/>
      </c>
      <c r="AN14" s="91" t="str">
        <f>IFERROR(AVERAGE('QC Record Production Hall 3'!AD30:AD32),"")</f>
        <v/>
      </c>
      <c r="AO14" s="91" t="str">
        <f>IFERROR(AVERAGE('QC Record Production Hall 3'!BC6:BC8),"")</f>
        <v/>
      </c>
      <c r="AP14" s="91" t="str">
        <f>IFERROR(AVERAGE('QC Record Production Hall 3'!BN6:BN8),"")</f>
        <v/>
      </c>
      <c r="AQ14" s="91" t="str">
        <f>IFERROR(AVERAGE('QC Record Production Hall 3'!AR30:AR32),"")</f>
        <v/>
      </c>
      <c r="AR14" s="91" t="str">
        <f>IFERROR(AVERAGE('QC Record Production Hall 3'!BC30:BC32),"")</f>
        <v/>
      </c>
    </row>
    <row r="15" spans="1:44" s="85" customFormat="1" ht="118" customHeight="1" x14ac:dyDescent="0.15">
      <c r="A15" s="224" t="s">
        <v>29</v>
      </c>
      <c r="B15" s="225"/>
      <c r="C15" s="120" t="s">
        <v>26</v>
      </c>
      <c r="D15" s="94">
        <f>'QC Deviation Record Hall 1 '!D5</f>
        <v>0</v>
      </c>
      <c r="E15" s="91">
        <f>'QC Deviation Record Hall 1 '!L5</f>
        <v>0</v>
      </c>
      <c r="F15" s="91">
        <f>'QC Deviation Record Hall 1 '!T5</f>
        <v>0</v>
      </c>
      <c r="G15" s="91">
        <f>'QC Deviation Record Hall 1 '!AB5</f>
        <v>0</v>
      </c>
      <c r="H15" s="91">
        <f>'QC Deviation Record Hall 1 '!AJ5</f>
        <v>0</v>
      </c>
      <c r="I15" s="91">
        <f>'QC Deviation Record Hall 1 '!AR5</f>
        <v>0</v>
      </c>
      <c r="J15" s="91">
        <f>'QC Deviation Record Hall 1 '!AZ5</f>
        <v>0</v>
      </c>
      <c r="K15" s="91">
        <f>'QC Deviation Record Hall 1 '!BH5</f>
        <v>0</v>
      </c>
      <c r="L15" s="91">
        <f>'QC Deviation Record Hall 1 '!BP5</f>
        <v>0</v>
      </c>
      <c r="M15" s="91">
        <f>'QC Deviation Record Hall 1 '!BX5</f>
        <v>0</v>
      </c>
      <c r="N15" s="91">
        <f>'QC Deviation Record Hall 1 '!CF5</f>
        <v>0</v>
      </c>
      <c r="O15" s="91">
        <f>'QC Deviation Record Hall 1 '!CN5</f>
        <v>0</v>
      </c>
      <c r="Q15" s="224" t="s">
        <v>29</v>
      </c>
      <c r="R15" s="225"/>
      <c r="S15" s="120" t="s">
        <v>26</v>
      </c>
      <c r="T15" s="91">
        <f>'QC Deviation Record Hall 2'!D4</f>
        <v>0</v>
      </c>
      <c r="U15" s="91">
        <f>'QC Deviation Record Hall 2'!L4</f>
        <v>0</v>
      </c>
      <c r="V15" s="91">
        <f>'QC Deviation Record Hall 2'!T4</f>
        <v>0</v>
      </c>
      <c r="W15" s="91">
        <f>'QC Deviation Record Hall 2'!AB4</f>
        <v>0</v>
      </c>
      <c r="X15" s="91">
        <f>'QC Deviation Record Hall 2'!AJ4</f>
        <v>0</v>
      </c>
      <c r="Y15" s="91">
        <f>'QC Deviation Record Hall 2'!AR4</f>
        <v>0</v>
      </c>
      <c r="Z15" s="91">
        <f>'QC Deviation Record Hall 2'!AZ4</f>
        <v>0</v>
      </c>
      <c r="AA15" s="91">
        <f>'QC Deviation Record Hall 2'!BH4</f>
        <v>0</v>
      </c>
      <c r="AB15" s="91">
        <f>'QC Deviation Record Hall 2'!BP4</f>
        <v>0</v>
      </c>
      <c r="AC15" s="91">
        <f>'QC Deviation Record Hall 2'!BX4</f>
        <v>0</v>
      </c>
      <c r="AF15" s="224" t="s">
        <v>29</v>
      </c>
      <c r="AG15" s="225"/>
      <c r="AH15" s="120" t="s">
        <v>26</v>
      </c>
      <c r="AI15" s="91">
        <f>'QC Deviation Record Hall 3'!D4</f>
        <v>0</v>
      </c>
      <c r="AJ15" s="91">
        <f>'QC Deviation Record Hall 3'!L4</f>
        <v>0</v>
      </c>
      <c r="AK15" s="91">
        <f>'QC Deviation Record Hall 3'!T4</f>
        <v>0</v>
      </c>
      <c r="AL15" s="91">
        <f>'QC Deviation Record Hall 3'!AB4</f>
        <v>0</v>
      </c>
      <c r="AM15" s="91">
        <f>'QC Deviation Record Hall 3'!AJ4</f>
        <v>0</v>
      </c>
      <c r="AN15" s="91">
        <f>'QC Deviation Record Hall 3'!AR4</f>
        <v>0</v>
      </c>
      <c r="AO15" s="91">
        <f>'QC Deviation Record Hall 3'!AZ4</f>
        <v>0</v>
      </c>
      <c r="AP15" s="91">
        <f>'QC Deviation Record Hall 3'!BH4</f>
        <v>0</v>
      </c>
      <c r="AQ15" s="91">
        <f>'QC Deviation Record Hall 3'!BP4</f>
        <v>0</v>
      </c>
      <c r="AR15" s="91">
        <f>'QC Deviation Record Hall 3'!BX4</f>
        <v>0</v>
      </c>
    </row>
    <row r="16" spans="1:44" s="85" customFormat="1" ht="118" customHeight="1" x14ac:dyDescent="0.15">
      <c r="A16" s="226"/>
      <c r="B16" s="227"/>
      <c r="C16" s="120" t="s">
        <v>27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Q16" s="226"/>
      <c r="R16" s="227"/>
      <c r="S16" s="120" t="s">
        <v>27</v>
      </c>
      <c r="T16" s="93"/>
      <c r="U16" s="93"/>
      <c r="V16" s="93"/>
      <c r="W16" s="93"/>
      <c r="X16" s="93"/>
      <c r="Y16" s="93"/>
      <c r="Z16" s="93"/>
      <c r="AA16" s="93"/>
      <c r="AB16" s="93"/>
      <c r="AC16" s="93"/>
      <c r="AF16" s="226"/>
      <c r="AG16" s="227"/>
      <c r="AH16" s="120" t="s">
        <v>27</v>
      </c>
      <c r="AI16" s="93"/>
      <c r="AJ16" s="93"/>
      <c r="AK16" s="93"/>
      <c r="AL16" s="93"/>
      <c r="AM16" s="93"/>
      <c r="AN16" s="93"/>
      <c r="AO16" s="93"/>
      <c r="AP16" s="93"/>
      <c r="AQ16" s="93"/>
      <c r="AR16" s="93"/>
    </row>
    <row r="17" spans="1:44" s="85" customFormat="1" ht="118" customHeight="1" x14ac:dyDescent="0.15">
      <c r="A17" s="228"/>
      <c r="B17" s="229"/>
      <c r="C17" s="120" t="s">
        <v>28</v>
      </c>
      <c r="D17" s="91" t="str">
        <f>IFERROR(AVERAGE('QC Record Production Hall 1'!L9:L11),"")</f>
        <v/>
      </c>
      <c r="E17" s="91" t="str">
        <f>IFERROR(AVERAGE('QC Record Production Hall 1'!Z9:Z11),"")</f>
        <v/>
      </c>
      <c r="F17" s="91" t="str">
        <f>IFERROR(AVERAGE('QC Record Production Hall 1'!AN9:AN11),"")</f>
        <v/>
      </c>
      <c r="G17" s="91" t="str">
        <f>IFERROR(AVERAGE('QC Record Production Hall 1'!BB9:BB11),"")</f>
        <v/>
      </c>
      <c r="H17" s="91" t="str">
        <f>IFERROR(AVERAGE('QC Record Production Hall 1'!J33:J35),"")</f>
        <v/>
      </c>
      <c r="I17" s="91" t="str">
        <f>IFERROR(AVERAGE('QC Record Production Hall 1'!V33:V35),"")</f>
        <v/>
      </c>
      <c r="J17" s="91" t="str">
        <f>IFERROR(AVERAGE('QC Record Production Hall 1'!AN33:AN35),"")</f>
        <v/>
      </c>
      <c r="K17" s="91" t="str">
        <f>IFERROR(AVERAGE('QC Record Production Hall 1'!BB33:BB35),"")</f>
        <v/>
      </c>
      <c r="L17" s="91" t="str">
        <f>IFERROR(AVERAGE('QC Record Production Hall 1'!J57:J59),"")</f>
        <v/>
      </c>
      <c r="M17" s="91" t="str">
        <f>IFERROR(AVERAGE('QC Record Production Hall 1'!W57:W59),"")</f>
        <v/>
      </c>
      <c r="N17" s="91" t="str">
        <f>IFERROR(AVERAGE('QC Record Production Hall 1'!AK57:AK59),"")</f>
        <v/>
      </c>
      <c r="O17" s="91" t="str">
        <f>IFERROR(AVERAGE('QC Record Production Hall 1'!AX57:AX59),"")</f>
        <v/>
      </c>
      <c r="Q17" s="228"/>
      <c r="R17" s="229"/>
      <c r="S17" s="120" t="s">
        <v>28</v>
      </c>
      <c r="T17" s="91" t="str">
        <f>IFERROR(AVERAGE('QC Record Production Hall 2'!J9:J11),"")</f>
        <v/>
      </c>
      <c r="U17" s="91" t="str">
        <f>IFERROR(AVERAGE('QC Record Production Hall 2'!V9:V11),"")</f>
        <v/>
      </c>
      <c r="V17" s="91" t="str">
        <f>IFERROR(AVERAGE('QC Record Production Hall 2'!AG9:AG11),"")</f>
        <v/>
      </c>
      <c r="W17" s="91" t="str">
        <f>IFERROR(AVERAGE('QC Record Production Hall 2'!AR9:AR11),"")</f>
        <v/>
      </c>
      <c r="X17" s="91" t="str">
        <f>IFERROR(AVERAGE('QC Record Production Hall 2'!L33:L35),"")</f>
        <v/>
      </c>
      <c r="Y17" s="91" t="str">
        <f>IFERROR(AVERAGE('QC Record Production Hall 2'!AD33:AD35),"")</f>
        <v/>
      </c>
      <c r="Z17" s="91" t="str">
        <f>IFERROR(AVERAGE('QC Record Production Hall 2'!BC9:BC11),"")</f>
        <v/>
      </c>
      <c r="AA17" s="91" t="str">
        <f>IFERROR(AVERAGE('QC Record Production Hall 2'!BN9:BN11),"")</f>
        <v/>
      </c>
      <c r="AB17" s="91" t="str">
        <f>IFERROR(AVERAGE('QC Record Production Hall 2'!AR33:AR35),"")</f>
        <v/>
      </c>
      <c r="AC17" s="91" t="str">
        <f>IFERROR(AVERAGE('QC Record Production Hall 2'!BC33:BC35),"")</f>
        <v/>
      </c>
      <c r="AF17" s="228"/>
      <c r="AG17" s="229"/>
      <c r="AH17" s="120" t="s">
        <v>28</v>
      </c>
      <c r="AI17" s="91" t="str">
        <f>IFERROR(AVERAGE('QC Record Production Hall 3'!J9:J11),"")</f>
        <v/>
      </c>
      <c r="AJ17" s="91" t="str">
        <f>IFERROR(AVERAGE('QC Record Production Hall 3'!V9:V11),"")</f>
        <v/>
      </c>
      <c r="AK17" s="91" t="str">
        <f>IFERROR(AVERAGE('QC Record Production Hall 3'!AG9:AG11),"")</f>
        <v/>
      </c>
      <c r="AL17" s="91" t="str">
        <f>IFERROR(AVERAGE('QC Record Production Hall 3'!AR9:AR11),"")</f>
        <v/>
      </c>
      <c r="AM17" s="91" t="str">
        <f>IFERROR(AVERAGE('QC Record Production Hall 3'!L33:L35),"")</f>
        <v/>
      </c>
      <c r="AN17" s="91" t="str">
        <f>IFERROR(AVERAGE('QC Record Production Hall 3'!AD33:AD35),"")</f>
        <v/>
      </c>
      <c r="AO17" s="91" t="str">
        <f>IFERROR(AVERAGE('QC Record Production Hall 3'!BC9:BC11),"")</f>
        <v/>
      </c>
      <c r="AP17" s="91" t="str">
        <f>IFERROR(AVERAGE('QC Record Production Hall 3'!BN9:BN11),"")</f>
        <v/>
      </c>
      <c r="AQ17" s="91" t="str">
        <f>IFERROR(AVERAGE('QC Record Production Hall 3'!AR33:AR35),"")</f>
        <v/>
      </c>
      <c r="AR17" s="91" t="str">
        <f>IFERROR(AVERAGE('QC Record Production Hall 3'!BC33:BC35),"")</f>
        <v/>
      </c>
    </row>
    <row r="18" spans="1:44" s="85" customFormat="1" ht="118" customHeight="1" x14ac:dyDescent="0.15">
      <c r="A18" s="224" t="s">
        <v>30</v>
      </c>
      <c r="B18" s="225"/>
      <c r="C18" s="120" t="s">
        <v>26</v>
      </c>
      <c r="D18" s="91">
        <f>'QC Deviation Record Hall 1 '!E5</f>
        <v>0</v>
      </c>
      <c r="E18" s="91">
        <f>'QC Deviation Record Hall 1 '!M5</f>
        <v>0</v>
      </c>
      <c r="F18" s="91">
        <f>'QC Deviation Record Hall 1 '!U5</f>
        <v>0</v>
      </c>
      <c r="G18" s="91">
        <f>'QC Deviation Record Hall 1 '!AC5</f>
        <v>0</v>
      </c>
      <c r="H18" s="91">
        <f>'QC Deviation Record Hall 1 '!AK5</f>
        <v>0</v>
      </c>
      <c r="I18" s="91">
        <f>'QC Deviation Record Hall 1 '!AS5</f>
        <v>0</v>
      </c>
      <c r="J18" s="91">
        <f>'QC Deviation Record Hall 1 '!BA5</f>
        <v>0</v>
      </c>
      <c r="K18" s="91">
        <f>'QC Deviation Record Hall 1 '!BI5</f>
        <v>0</v>
      </c>
      <c r="L18" s="91">
        <f>'QC Deviation Record Hall 1 '!BQ5</f>
        <v>0</v>
      </c>
      <c r="M18" s="91">
        <f>'QC Deviation Record Hall 1 '!BY5</f>
        <v>0</v>
      </c>
      <c r="N18" s="91">
        <f>'QC Deviation Record Hall 1 '!CG5</f>
        <v>0</v>
      </c>
      <c r="O18" s="91">
        <f>'QC Deviation Record Hall 1 '!CO5</f>
        <v>0</v>
      </c>
      <c r="Q18" s="224" t="s">
        <v>30</v>
      </c>
      <c r="R18" s="225"/>
      <c r="S18" s="120" t="s">
        <v>26</v>
      </c>
      <c r="T18" s="91">
        <f>'QC Deviation Record Hall 2'!E4</f>
        <v>0</v>
      </c>
      <c r="U18" s="91">
        <f>'QC Deviation Record Hall 2'!M4</f>
        <v>0</v>
      </c>
      <c r="V18" s="91">
        <f>'QC Deviation Record Hall 2'!U4</f>
        <v>0</v>
      </c>
      <c r="W18" s="91">
        <f>'QC Deviation Record Hall 2'!AC4</f>
        <v>0</v>
      </c>
      <c r="X18" s="91">
        <f>'QC Deviation Record Hall 2'!AK4</f>
        <v>0</v>
      </c>
      <c r="Y18" s="91">
        <f>'QC Deviation Record Hall 2'!AS4</f>
        <v>0</v>
      </c>
      <c r="Z18" s="91">
        <f>'QC Deviation Record Hall 2'!BA4</f>
        <v>0</v>
      </c>
      <c r="AA18" s="91">
        <f>'QC Deviation Record Hall 2'!BI4</f>
        <v>0</v>
      </c>
      <c r="AB18" s="91">
        <f>'QC Deviation Record Hall 2'!BQ4</f>
        <v>0</v>
      </c>
      <c r="AC18" s="91">
        <f>'QC Deviation Record Hall 2'!BY4</f>
        <v>0</v>
      </c>
      <c r="AF18" s="224" t="s">
        <v>30</v>
      </c>
      <c r="AG18" s="225"/>
      <c r="AH18" s="120" t="s">
        <v>26</v>
      </c>
      <c r="AI18" s="91">
        <f>'QC Deviation Record Hall 3'!E4</f>
        <v>0</v>
      </c>
      <c r="AJ18" s="91">
        <f>'QC Deviation Record Hall 3'!M4</f>
        <v>0</v>
      </c>
      <c r="AK18" s="91">
        <f>'QC Deviation Record Hall 3'!U4</f>
        <v>0</v>
      </c>
      <c r="AL18" s="91">
        <f>'QC Deviation Record Hall 3'!AC4</f>
        <v>0</v>
      </c>
      <c r="AM18" s="91">
        <f>'QC Deviation Record Hall 3'!AK4</f>
        <v>0</v>
      </c>
      <c r="AN18" s="91">
        <f>'QC Deviation Record Hall 3'!AS4</f>
        <v>0</v>
      </c>
      <c r="AO18" s="91">
        <f>'QC Deviation Record Hall 3'!BA4</f>
        <v>0</v>
      </c>
      <c r="AP18" s="91">
        <f>'QC Deviation Record Hall 3'!BI4</f>
        <v>0</v>
      </c>
      <c r="AQ18" s="91">
        <f>'QC Deviation Record Hall 3'!BQ4</f>
        <v>0</v>
      </c>
      <c r="AR18" s="91">
        <f>'QC Deviation Record Hall 3'!BY4</f>
        <v>0</v>
      </c>
    </row>
    <row r="19" spans="1:44" s="85" customFormat="1" ht="118" customHeight="1" x14ac:dyDescent="0.15">
      <c r="A19" s="226"/>
      <c r="B19" s="227"/>
      <c r="C19" s="120" t="s">
        <v>27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Q19" s="226"/>
      <c r="R19" s="227"/>
      <c r="S19" s="120" t="s">
        <v>27</v>
      </c>
      <c r="T19" s="93"/>
      <c r="U19" s="93"/>
      <c r="V19" s="93"/>
      <c r="W19" s="93"/>
      <c r="X19" s="93"/>
      <c r="Y19" s="93"/>
      <c r="Z19" s="93"/>
      <c r="AA19" s="93"/>
      <c r="AB19" s="93"/>
      <c r="AC19" s="93"/>
      <c r="AF19" s="226"/>
      <c r="AG19" s="227"/>
      <c r="AH19" s="120" t="s">
        <v>27</v>
      </c>
      <c r="AI19" s="93"/>
      <c r="AJ19" s="93"/>
      <c r="AK19" s="93"/>
      <c r="AL19" s="93"/>
      <c r="AM19" s="93"/>
      <c r="AN19" s="93"/>
      <c r="AO19" s="93"/>
      <c r="AP19" s="93"/>
      <c r="AQ19" s="93"/>
      <c r="AR19" s="93"/>
    </row>
    <row r="20" spans="1:44" s="85" customFormat="1" ht="118" customHeight="1" x14ac:dyDescent="0.15">
      <c r="A20" s="228"/>
      <c r="B20" s="229"/>
      <c r="C20" s="120" t="s">
        <v>28</v>
      </c>
      <c r="D20" s="91" t="str">
        <f>IFERROR(AVERAGE('QC Record Production Hall 1'!L12:L14),"")</f>
        <v/>
      </c>
      <c r="E20" s="91" t="str">
        <f>IFERROR(AVERAGE('QC Record Production Hall 1'!Z12:Z14),"")</f>
        <v/>
      </c>
      <c r="F20" s="91" t="str">
        <f>IFERROR(AVERAGE('QC Record Production Hall 1'!AN12:AN14),"")</f>
        <v/>
      </c>
      <c r="G20" s="91" t="str">
        <f>IFERROR(AVERAGE('QC Record Production Hall 1'!BB12:BB14),"")</f>
        <v/>
      </c>
      <c r="H20" s="91" t="str">
        <f>IFERROR(AVERAGE('QC Record Production Hall 1'!J36:J38),"")</f>
        <v/>
      </c>
      <c r="I20" s="91" t="str">
        <f>IFERROR(AVERAGE('QC Record Production Hall 1'!V36:V38),"")</f>
        <v/>
      </c>
      <c r="J20" s="91" t="str">
        <f>IFERROR(AVERAGE('QC Record Production Hall 1'!AN36:AN38),"")</f>
        <v/>
      </c>
      <c r="K20" s="91" t="str">
        <f>IFERROR(AVERAGE('QC Record Production Hall 1'!BB36:BB38),"")</f>
        <v/>
      </c>
      <c r="L20" s="91" t="str">
        <f>IFERROR(AVERAGE('QC Record Production Hall 1'!J60:J62),"")</f>
        <v/>
      </c>
      <c r="M20" s="91" t="str">
        <f>IFERROR(AVERAGE('QC Record Production Hall 1'!W60:W62),"")</f>
        <v/>
      </c>
      <c r="N20" s="91" t="str">
        <f>IFERROR(AVERAGE('QC Record Production Hall 1'!AK60:AK62),"")</f>
        <v/>
      </c>
      <c r="O20" s="91" t="str">
        <f>IFERROR(AVERAGE('QC Record Production Hall 1'!AX60:AX62),"")</f>
        <v/>
      </c>
      <c r="Q20" s="228"/>
      <c r="R20" s="229"/>
      <c r="S20" s="120" t="s">
        <v>28</v>
      </c>
      <c r="T20" s="91" t="str">
        <f>IFERROR(AVERAGE('QC Record Production Hall 2'!J12:J14),"")</f>
        <v/>
      </c>
      <c r="U20" s="91" t="str">
        <f>IFERROR(AVERAGE('QC Record Production Hall 2'!V12:V14),"")</f>
        <v/>
      </c>
      <c r="V20" s="91" t="str">
        <f>IFERROR(AVERAGE('QC Record Production Hall 2'!AG12:AG14),"")</f>
        <v/>
      </c>
      <c r="W20" s="91">
        <f>IFERROR(AVERAGE('QC Record Production Hall 2'!AR12:AR14),)</f>
        <v>0</v>
      </c>
      <c r="X20" s="91" t="str">
        <f>IFERROR(AVERAGE('QC Record Production Hall 2'!L36:L38),"")</f>
        <v/>
      </c>
      <c r="Y20" s="91" t="str">
        <f>IFERROR(AVERAGE('QC Record Production Hall 2'!AD36:AD38),"")</f>
        <v/>
      </c>
      <c r="Z20" s="91" t="str">
        <f>IFERROR(AVERAGE('QC Record Production Hall 2'!BC12:BC14),"")</f>
        <v/>
      </c>
      <c r="AA20" s="91" t="str">
        <f>IFERROR(AVERAGE('QC Record Production Hall 2'!BN12:BN14),"")</f>
        <v/>
      </c>
      <c r="AB20" s="91" t="str">
        <f>IFERROR(AVERAGE('QC Record Production Hall 2'!AR36:AR38),"")</f>
        <v/>
      </c>
      <c r="AC20" s="91" t="str">
        <f>IFERROR(AVERAGE('QC Record Production Hall 2'!BC36:BC38),"")</f>
        <v/>
      </c>
      <c r="AF20" s="228"/>
      <c r="AG20" s="229"/>
      <c r="AH20" s="120" t="s">
        <v>28</v>
      </c>
      <c r="AI20" s="91" t="str">
        <f>IFERROR(AVERAGE('QC Record Production Hall 3'!J12:J14),"")</f>
        <v/>
      </c>
      <c r="AJ20" s="91" t="str">
        <f>IFERROR(AVERAGE('QC Record Production Hall 3'!V12:V14),"")</f>
        <v/>
      </c>
      <c r="AK20" s="91" t="str">
        <f>IFERROR(AVERAGE('QC Record Production Hall 3'!AG12:AG14),"")</f>
        <v/>
      </c>
      <c r="AL20" s="91">
        <f>IFERROR(AVERAGE('QC Record Production Hall 3'!AR12:AR14),)</f>
        <v>0</v>
      </c>
      <c r="AM20" s="91" t="str">
        <f>IFERROR(AVERAGE('QC Record Production Hall 3'!L36:L38),"")</f>
        <v/>
      </c>
      <c r="AN20" s="91" t="str">
        <f>IFERROR(AVERAGE('QC Record Production Hall 3'!AD36:AD38),"")</f>
        <v/>
      </c>
      <c r="AO20" s="91" t="str">
        <f>IFERROR(AVERAGE('QC Record Production Hall 3'!BC12:BC14),"")</f>
        <v/>
      </c>
      <c r="AP20" s="91" t="str">
        <f>IFERROR(AVERAGE('QC Record Production Hall 3'!BN12:BN14),"")</f>
        <v/>
      </c>
      <c r="AQ20" s="91" t="str">
        <f>IFERROR(AVERAGE('QC Record Production Hall 3'!AR36:AR38),"")</f>
        <v/>
      </c>
      <c r="AR20" s="91" t="str">
        <f>IFERROR(AVERAGE('QC Record Production Hall 3'!BC36:BC38),"")</f>
        <v/>
      </c>
    </row>
    <row r="21" spans="1:44" s="85" customFormat="1" ht="118" customHeight="1" x14ac:dyDescent="0.15">
      <c r="A21" s="224" t="s">
        <v>31</v>
      </c>
      <c r="B21" s="225"/>
      <c r="C21" s="120" t="s">
        <v>26</v>
      </c>
      <c r="D21" s="91">
        <f>'QC Deviation Record Hall 1 '!F5</f>
        <v>0</v>
      </c>
      <c r="E21" s="91">
        <f>'QC Deviation Record Hall 1 '!N5</f>
        <v>0</v>
      </c>
      <c r="F21" s="91">
        <f>'QC Deviation Record Hall 1 '!V5</f>
        <v>0</v>
      </c>
      <c r="G21" s="91">
        <f>'QC Deviation Record Hall 1 '!AD5</f>
        <v>0</v>
      </c>
      <c r="H21" s="91">
        <f>'QC Deviation Record Hall 1 '!AL5</f>
        <v>0</v>
      </c>
      <c r="I21" s="91">
        <f>'QC Deviation Record Hall 1 '!AT5</f>
        <v>0</v>
      </c>
      <c r="J21" s="91">
        <f>'QC Deviation Record Hall 1 '!BB5</f>
        <v>0</v>
      </c>
      <c r="K21" s="91">
        <f>'QC Deviation Record Hall 1 '!BJ5</f>
        <v>0</v>
      </c>
      <c r="L21" s="91">
        <f>'QC Deviation Record Hall 1 '!BR5</f>
        <v>0</v>
      </c>
      <c r="M21" s="91">
        <f>'QC Deviation Record Hall 1 '!BZ5</f>
        <v>0</v>
      </c>
      <c r="N21" s="91">
        <f>'QC Deviation Record Hall 1 '!CH5</f>
        <v>0</v>
      </c>
      <c r="O21" s="91">
        <f>'QC Deviation Record Hall 1 '!CP5</f>
        <v>0</v>
      </c>
      <c r="Q21" s="224" t="s">
        <v>31</v>
      </c>
      <c r="R21" s="225"/>
      <c r="S21" s="120" t="s">
        <v>26</v>
      </c>
      <c r="T21" s="91">
        <f>'QC Deviation Record Hall 2'!F4</f>
        <v>0</v>
      </c>
      <c r="U21" s="91">
        <f>'QC Deviation Record Hall 2'!N4</f>
        <v>0</v>
      </c>
      <c r="V21" s="91">
        <f>'QC Deviation Record Hall 2'!V4</f>
        <v>0</v>
      </c>
      <c r="W21" s="91">
        <f>'QC Deviation Record Hall 2'!AD4</f>
        <v>0</v>
      </c>
      <c r="X21" s="91">
        <f>'QC Deviation Record Hall 2'!AL4</f>
        <v>0</v>
      </c>
      <c r="Y21" s="91">
        <f>'QC Deviation Record Hall 2'!AT4</f>
        <v>0</v>
      </c>
      <c r="Z21" s="91">
        <f>'QC Deviation Record Hall 2'!BB4</f>
        <v>0</v>
      </c>
      <c r="AA21" s="91">
        <f>'QC Deviation Record Hall 2'!BJ4</f>
        <v>0</v>
      </c>
      <c r="AB21" s="91">
        <f>'QC Deviation Record Hall 2'!BR4</f>
        <v>0</v>
      </c>
      <c r="AC21" s="91">
        <f>'QC Deviation Record Hall 2'!BZ4</f>
        <v>0</v>
      </c>
      <c r="AF21" s="224" t="s">
        <v>31</v>
      </c>
      <c r="AG21" s="225"/>
      <c r="AH21" s="120" t="s">
        <v>26</v>
      </c>
      <c r="AI21" s="91">
        <f>'QC Deviation Record Hall 3'!F4</f>
        <v>0</v>
      </c>
      <c r="AJ21" s="91">
        <f>'QC Deviation Record Hall 3'!N4</f>
        <v>0</v>
      </c>
      <c r="AK21" s="91">
        <f>'QC Deviation Record Hall 3'!V4</f>
        <v>0</v>
      </c>
      <c r="AL21" s="91">
        <f>'QC Deviation Record Hall 3'!AD4</f>
        <v>0</v>
      </c>
      <c r="AM21" s="91">
        <f>'QC Deviation Record Hall 3'!AL4</f>
        <v>0</v>
      </c>
      <c r="AN21" s="91">
        <f>'QC Deviation Record Hall 3'!AT4</f>
        <v>0</v>
      </c>
      <c r="AO21" s="91">
        <f>'QC Deviation Record Hall 3'!BB4</f>
        <v>0</v>
      </c>
      <c r="AP21" s="91">
        <f>'QC Deviation Record Hall 3'!BJ4</f>
        <v>0</v>
      </c>
      <c r="AQ21" s="91">
        <f>'QC Deviation Record Hall 3'!BR4</f>
        <v>0</v>
      </c>
      <c r="AR21" s="91">
        <f>'QC Deviation Record Hall 3'!BZ4</f>
        <v>0</v>
      </c>
    </row>
    <row r="22" spans="1:44" s="85" customFormat="1" ht="118" customHeight="1" x14ac:dyDescent="0.15">
      <c r="A22" s="226"/>
      <c r="B22" s="227"/>
      <c r="C22" s="120" t="s">
        <v>27</v>
      </c>
      <c r="D22" s="93"/>
      <c r="E22" s="93"/>
      <c r="F22" s="93"/>
      <c r="G22" s="93"/>
      <c r="H22" s="93"/>
      <c r="I22" s="95"/>
      <c r="J22" s="93"/>
      <c r="K22" s="93"/>
      <c r="L22" s="93"/>
      <c r="M22" s="93"/>
      <c r="N22" s="93"/>
      <c r="O22" s="93"/>
      <c r="Q22" s="226"/>
      <c r="R22" s="227"/>
      <c r="S22" s="120" t="s">
        <v>27</v>
      </c>
      <c r="T22" s="93"/>
      <c r="U22" s="93"/>
      <c r="V22" s="93"/>
      <c r="W22" s="93"/>
      <c r="X22" s="93"/>
      <c r="Y22" s="93"/>
      <c r="Z22" s="93"/>
      <c r="AA22" s="93"/>
      <c r="AB22" s="93"/>
      <c r="AC22" s="93"/>
      <c r="AF22" s="226"/>
      <c r="AG22" s="227"/>
      <c r="AH22" s="120" t="s">
        <v>27</v>
      </c>
      <c r="AI22" s="93"/>
      <c r="AJ22" s="93"/>
      <c r="AK22" s="93"/>
      <c r="AL22" s="93"/>
      <c r="AM22" s="93"/>
      <c r="AN22" s="93"/>
      <c r="AO22" s="93"/>
      <c r="AP22" s="93"/>
      <c r="AQ22" s="93"/>
      <c r="AR22" s="93"/>
    </row>
    <row r="23" spans="1:44" s="85" customFormat="1" ht="118" customHeight="1" x14ac:dyDescent="0.15">
      <c r="A23" s="228"/>
      <c r="B23" s="229"/>
      <c r="C23" s="120" t="s">
        <v>28</v>
      </c>
      <c r="D23" s="91" t="str">
        <f>IFERROR(AVERAGE('QC Record Production Hall 1'!L15:L17),"")</f>
        <v/>
      </c>
      <c r="E23" s="91" t="str">
        <f>IFERROR(AVERAGE('QC Record Production Hall 1'!Z15:Z17),"")</f>
        <v/>
      </c>
      <c r="F23" s="91" t="str">
        <f>IFERROR(AVERAGE('QC Record Production Hall 1'!AN15:AN17),"")</f>
        <v/>
      </c>
      <c r="G23" s="91" t="str">
        <f>IFERROR(AVERAGE('QC Record Production Hall 1'!BB15:BB17),"")</f>
        <v/>
      </c>
      <c r="H23" s="91" t="str">
        <f>IFERROR(AVERAGE('QC Record Production Hall 1'!J39:J41),"")</f>
        <v/>
      </c>
      <c r="I23" s="91" t="str">
        <f>IFERROR(AVERAGE('QC Record Production Hall 1'!V39:V41),"")</f>
        <v/>
      </c>
      <c r="J23" s="91" t="str">
        <f>IFERROR(AVERAGE('QC Record Production Hall 1'!AN39:AN41),"")</f>
        <v/>
      </c>
      <c r="K23" s="91" t="str">
        <f>IFERROR(AVERAGE('QC Record Production Hall 1'!BB39:BB41),"")</f>
        <v/>
      </c>
      <c r="L23" s="91" t="str">
        <f>IFERROR(AVERAGE('QC Record Production Hall 1'!J63:J65),"")</f>
        <v/>
      </c>
      <c r="M23" s="91" t="str">
        <f>IFERROR(AVERAGE('QC Record Production Hall 1'!W63:W65),"")</f>
        <v/>
      </c>
      <c r="N23" s="91" t="str">
        <f>IFERROR(AVERAGEA('QC Record Production Hall 1'!AK63:AK65),"")</f>
        <v/>
      </c>
      <c r="O23" s="91" t="str">
        <f>IFERROR(AVERAGE('QC Record Production Hall 1'!AX63:AX65),"")</f>
        <v/>
      </c>
      <c r="Q23" s="228"/>
      <c r="R23" s="229"/>
      <c r="S23" s="120" t="s">
        <v>28</v>
      </c>
      <c r="T23" s="91" t="str">
        <f>IFERROR(AVERAGE('QC Record Production Hall 2'!J15:J17),"")</f>
        <v/>
      </c>
      <c r="U23" s="91" t="str">
        <f>IFERROR(AVERAGE('QC Record Production Hall 2'!V15:V17),"")</f>
        <v/>
      </c>
      <c r="V23" s="91" t="str">
        <f>IFERROR(AVERAGE('QC Record Production Hall 2'!AG15:AG17),"")</f>
        <v/>
      </c>
      <c r="W23" s="91" t="str">
        <f>IFERROR(AVERAGE('QC Record Production Hall 2'!AR15:AR17),"")</f>
        <v/>
      </c>
      <c r="X23" s="91" t="str">
        <f>IFERROR(AVERAGE('QC Record Production Hall 2'!L39:L41),"")</f>
        <v/>
      </c>
      <c r="Y23" s="91" t="str">
        <f>IFERROR(AVERAGE('QC Record Production Hall 2'!AD39:AD41),"")</f>
        <v/>
      </c>
      <c r="Z23" s="91" t="str">
        <f>IFERROR(AVERAGE('QC Record Production Hall 2'!BC15:BC17),"")</f>
        <v/>
      </c>
      <c r="AA23" s="91" t="str">
        <f>IFERROR(AVERAGE('QC Record Production Hall 2'!BN15:BN17),"")</f>
        <v/>
      </c>
      <c r="AB23" s="91" t="str">
        <f>IFERROR(AVERAGE('QC Record Production Hall 2'!AR39:AR41),"")</f>
        <v/>
      </c>
      <c r="AC23" s="91" t="str">
        <f>IFERROR(AVERAGE('QC Record Production Hall 2'!BC39:BC41),"")</f>
        <v/>
      </c>
      <c r="AF23" s="228"/>
      <c r="AG23" s="229"/>
      <c r="AH23" s="120" t="s">
        <v>28</v>
      </c>
      <c r="AI23" s="91" t="str">
        <f>IFERROR(AVERAGE('QC Record Production Hall 3'!J15:J17),"")</f>
        <v/>
      </c>
      <c r="AJ23" s="91" t="str">
        <f>IFERROR(AVERAGE('QC Record Production Hall 3'!V15:V17),"")</f>
        <v/>
      </c>
      <c r="AK23" s="91" t="str">
        <f>IFERROR(AVERAGE('QC Record Production Hall 3'!AG15:AG17),"")</f>
        <v/>
      </c>
      <c r="AL23" s="91" t="str">
        <f>IFERROR(AVERAGE('QC Record Production Hall 3'!AR15:AR17),"")</f>
        <v/>
      </c>
      <c r="AM23" s="91" t="str">
        <f>IFERROR(AVERAGE('QC Record Production Hall 3'!L39:L41),"")</f>
        <v/>
      </c>
      <c r="AN23" s="91" t="str">
        <f>IFERROR(AVERAGE('QC Record Production Hall 3'!AD39:AD41),"")</f>
        <v/>
      </c>
      <c r="AO23" s="91" t="str">
        <f>IFERROR(AVERAGE('QC Record Production Hall 3'!BC15:BC17),"")</f>
        <v/>
      </c>
      <c r="AP23" s="91" t="str">
        <f>IFERROR(AVERAGE('QC Record Production Hall 3'!BN15:BN17),"")</f>
        <v/>
      </c>
      <c r="AQ23" s="91" t="str">
        <f>IFERROR(AVERAGE('QC Record Production Hall 3'!AR39:AR41),"")</f>
        <v/>
      </c>
      <c r="AR23" s="91" t="str">
        <f>IFERROR(AVERAGE('QC Record Production Hall 3'!BC39:BC41),"")</f>
        <v/>
      </c>
    </row>
    <row r="24" spans="1:44" s="85" customFormat="1" ht="118" customHeight="1" x14ac:dyDescent="0.15">
      <c r="A24" s="224" t="s">
        <v>32</v>
      </c>
      <c r="B24" s="225"/>
      <c r="C24" s="120" t="s">
        <v>26</v>
      </c>
      <c r="D24" s="91">
        <f>'QC Deviation Record Hall 1 '!G5</f>
        <v>0</v>
      </c>
      <c r="E24" s="91">
        <f>'QC Deviation Record Hall 1 '!O5</f>
        <v>0</v>
      </c>
      <c r="F24" s="91">
        <f>'QC Deviation Record Hall 1 '!W5</f>
        <v>0</v>
      </c>
      <c r="G24" s="91">
        <f>'QC Deviation Record Hall 1 '!AE5</f>
        <v>0</v>
      </c>
      <c r="H24" s="91">
        <f>'QC Deviation Record Hall 1 '!AM5</f>
        <v>0</v>
      </c>
      <c r="I24" s="91">
        <f>'QC Deviation Record Hall 1 '!AU5</f>
        <v>0</v>
      </c>
      <c r="J24" s="91">
        <f>'QC Deviation Record Hall 1 '!BC5</f>
        <v>0</v>
      </c>
      <c r="K24" s="91">
        <f>'QC Deviation Record Hall 1 '!BK5</f>
        <v>0</v>
      </c>
      <c r="L24" s="91">
        <f>'QC Deviation Record Hall 1 '!BS5</f>
        <v>0</v>
      </c>
      <c r="M24" s="91">
        <f>'QC Deviation Record Hall 1 '!CA5</f>
        <v>0</v>
      </c>
      <c r="N24" s="91">
        <f>'QC Deviation Record Hall 1 '!CI5</f>
        <v>0</v>
      </c>
      <c r="O24" s="91">
        <f>'QC Deviation Record Hall 1 '!CQ5</f>
        <v>0</v>
      </c>
      <c r="Q24" s="224" t="s">
        <v>32</v>
      </c>
      <c r="R24" s="225"/>
      <c r="S24" s="120" t="s">
        <v>26</v>
      </c>
      <c r="T24" s="91">
        <f>'QC Deviation Record Hall 2'!G4</f>
        <v>0</v>
      </c>
      <c r="U24" s="91">
        <f>'QC Deviation Record Hall 2'!O4</f>
        <v>0</v>
      </c>
      <c r="V24" s="91">
        <f>'QC Deviation Record Hall 2'!W4</f>
        <v>0</v>
      </c>
      <c r="W24" s="91">
        <f>'QC Deviation Record Hall 2'!AE4</f>
        <v>0</v>
      </c>
      <c r="X24" s="91">
        <f>'QC Deviation Record Hall 2'!AM4</f>
        <v>0</v>
      </c>
      <c r="Y24" s="91">
        <f>'QC Deviation Record Hall 2'!AU4</f>
        <v>0</v>
      </c>
      <c r="Z24" s="91">
        <f>'QC Deviation Record Hall 2'!BC4</f>
        <v>0</v>
      </c>
      <c r="AA24" s="91">
        <f>'QC Deviation Record Hall 2'!BK4</f>
        <v>0</v>
      </c>
      <c r="AB24" s="91">
        <f>'QC Deviation Record Hall 2'!BS4</f>
        <v>0</v>
      </c>
      <c r="AC24" s="91">
        <f>'QC Deviation Record Hall 2'!CA4</f>
        <v>0</v>
      </c>
      <c r="AF24" s="224" t="s">
        <v>32</v>
      </c>
      <c r="AG24" s="225"/>
      <c r="AH24" s="120" t="s">
        <v>26</v>
      </c>
      <c r="AI24" s="91">
        <f>'QC Deviation Record Hall 3'!G4</f>
        <v>0</v>
      </c>
      <c r="AJ24" s="91">
        <f>'QC Deviation Record Hall 3'!O4</f>
        <v>0</v>
      </c>
      <c r="AK24" s="91">
        <f>'QC Deviation Record Hall 3'!W4</f>
        <v>0</v>
      </c>
      <c r="AL24" s="91">
        <f>'QC Deviation Record Hall 3'!AE4</f>
        <v>0</v>
      </c>
      <c r="AM24" s="91">
        <f>'QC Deviation Record Hall 3'!AM4</f>
        <v>0</v>
      </c>
      <c r="AN24" s="91">
        <f>'QC Deviation Record Hall 3'!AU4</f>
        <v>0</v>
      </c>
      <c r="AO24" s="91">
        <f>'QC Deviation Record Hall 3'!BC4</f>
        <v>0</v>
      </c>
      <c r="AP24" s="91">
        <f>'QC Deviation Record Hall 3'!BK4</f>
        <v>0</v>
      </c>
      <c r="AQ24" s="91">
        <f>'QC Deviation Record Hall 3'!BS4</f>
        <v>0</v>
      </c>
      <c r="AR24" s="91">
        <f>'QC Deviation Record Hall 3'!CA4</f>
        <v>0</v>
      </c>
    </row>
    <row r="25" spans="1:44" s="85" customFormat="1" ht="118" customHeight="1" x14ac:dyDescent="0.15">
      <c r="A25" s="226"/>
      <c r="B25" s="227"/>
      <c r="C25" s="120" t="s">
        <v>27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Q25" s="226"/>
      <c r="R25" s="227"/>
      <c r="S25" s="120" t="s">
        <v>27</v>
      </c>
      <c r="T25" s="93"/>
      <c r="U25" s="93"/>
      <c r="V25" s="93"/>
      <c r="W25" s="93"/>
      <c r="X25" s="93"/>
      <c r="Y25" s="93"/>
      <c r="Z25" s="93"/>
      <c r="AA25" s="93"/>
      <c r="AB25" s="93"/>
      <c r="AC25" s="93"/>
      <c r="AF25" s="226"/>
      <c r="AG25" s="227"/>
      <c r="AH25" s="120" t="s">
        <v>27</v>
      </c>
      <c r="AI25" s="93"/>
      <c r="AJ25" s="93"/>
      <c r="AK25" s="93"/>
      <c r="AL25" s="93"/>
      <c r="AM25" s="93"/>
      <c r="AN25" s="93"/>
      <c r="AO25" s="93"/>
      <c r="AP25" s="93"/>
      <c r="AQ25" s="93"/>
      <c r="AR25" s="93"/>
    </row>
    <row r="26" spans="1:44" s="85" customFormat="1" ht="118" customHeight="1" x14ac:dyDescent="0.15">
      <c r="A26" s="228"/>
      <c r="B26" s="229"/>
      <c r="C26" s="120" t="s">
        <v>28</v>
      </c>
      <c r="D26" s="91" t="str">
        <f>IFERROR(AVERAGE('QC Record Production Hall 1'!L18:L20),"")</f>
        <v/>
      </c>
      <c r="E26" s="91" t="str">
        <f>IFERROR(AVERAGE('QC Record Production Hall 1'!Z18:Z20),"")</f>
        <v/>
      </c>
      <c r="F26" s="91" t="str">
        <f>IFERROR(AVERAGE('QC Record Production Hall 1'!AN18:AN20),"")</f>
        <v/>
      </c>
      <c r="G26" s="91" t="str">
        <f>IFERROR(AVERAGE('QC Record Production Hall 1'!BB18:BB20),"")</f>
        <v/>
      </c>
      <c r="H26" s="91" t="str">
        <f>IFERROR(AVERAGE('QC Record Production Hall 1'!J42:J44),"")</f>
        <v/>
      </c>
      <c r="I26" s="91" t="str">
        <f>IFERROR(AVERAGE('QC Record Production Hall 1'!V42:V44),"")</f>
        <v/>
      </c>
      <c r="J26" s="91" t="str">
        <f>IFERROR(AVERAGE('QC Record Production Hall 1'!AN42:AN44),"")</f>
        <v/>
      </c>
      <c r="K26" s="91" t="str">
        <f>IFERROR(AVERAGE('QC Record Production Hall 1'!BB42:BB44),"")</f>
        <v/>
      </c>
      <c r="L26" s="91" t="str">
        <f>IFERROR(AVERAGE('QC Record Production Hall 1'!J66:J68),"")</f>
        <v/>
      </c>
      <c r="M26" s="91" t="str">
        <f>IFERROR(AVERAGE('QC Record Production Hall 1'!W66:W68),"")</f>
        <v/>
      </c>
      <c r="N26" s="91" t="str">
        <f>IFERROR(AVERAGE('QC Record Production Hall 1'!AK66:AK68),"")</f>
        <v/>
      </c>
      <c r="O26" s="91" t="str">
        <f>IFERROR(AVERAGE('QC Record Production Hall 1'!AX66:AX68),"")</f>
        <v/>
      </c>
      <c r="Q26" s="228"/>
      <c r="R26" s="229"/>
      <c r="S26" s="120" t="s">
        <v>28</v>
      </c>
      <c r="T26" s="91" t="str">
        <f>IFERROR(AVERAGE('QC Record Production Hall 2'!J18:J20),"")</f>
        <v/>
      </c>
      <c r="U26" s="91" t="str">
        <f>IFERROR(AVERAGE('QC Record Production Hall 2'!V18:V20),"")</f>
        <v/>
      </c>
      <c r="V26" s="91" t="str">
        <f>IFERROR(AVERAGE('QC Record Production Hall 2'!AG18:AG20),"")</f>
        <v/>
      </c>
      <c r="W26" s="91" t="str">
        <f>IFERROR(AVERAGE('QC Record Production Hall 2'!AR18:AR20),"")</f>
        <v/>
      </c>
      <c r="X26" s="91" t="str">
        <f>IFERROR(AVERAGE('QC Record Production Hall 2'!L42:L44),"")</f>
        <v/>
      </c>
      <c r="Y26" s="91" t="str">
        <f>IFERROR(AVERAGE('QC Record Production Hall 2'!AD42:AD44),"")</f>
        <v/>
      </c>
      <c r="Z26" s="91" t="str">
        <f>IFERROR(AVERAGE('QC Record Production Hall 2'!BC18:BC20),"")</f>
        <v/>
      </c>
      <c r="AA26" s="91" t="str">
        <f>IFERROR(AVERAGE('QC Record Production Hall 2'!BN18:BN20),"")</f>
        <v/>
      </c>
      <c r="AB26" s="91" t="str">
        <f>IFERROR(AVERAGE('QC Record Production Hall 2'!AR42:AR44),"")</f>
        <v/>
      </c>
      <c r="AC26" s="91" t="str">
        <f>IFERROR(AVERAGE('QC Record Production Hall 2'!BC42:BC44),"")</f>
        <v/>
      </c>
      <c r="AF26" s="228"/>
      <c r="AG26" s="229"/>
      <c r="AH26" s="120" t="s">
        <v>28</v>
      </c>
      <c r="AI26" s="91" t="str">
        <f>IFERROR(AVERAGE('QC Record Production Hall 3'!J18:J20),"")</f>
        <v/>
      </c>
      <c r="AJ26" s="91" t="str">
        <f>IFERROR(AVERAGE('QC Record Production Hall 3'!V18:V20),"")</f>
        <v/>
      </c>
      <c r="AK26" s="91" t="str">
        <f>IFERROR(AVERAGE('QC Record Production Hall 3'!AG18:AG20),"")</f>
        <v/>
      </c>
      <c r="AL26" s="91" t="str">
        <f>IFERROR(AVERAGE('QC Record Production Hall 3'!AR18:AR20),"")</f>
        <v/>
      </c>
      <c r="AM26" s="91" t="str">
        <f>IFERROR(AVERAGE('QC Record Production Hall 3'!L42:L44),"")</f>
        <v/>
      </c>
      <c r="AN26" s="91" t="str">
        <f>IFERROR(AVERAGE('QC Record Production Hall 3'!AD42:AD44),"")</f>
        <v/>
      </c>
      <c r="AO26" s="91" t="str">
        <f>IFERROR(AVERAGE('QC Record Production Hall 3'!BC18:BC20),"")</f>
        <v/>
      </c>
      <c r="AP26" s="91" t="str">
        <f>IFERROR(AVERAGE('QC Record Production Hall 3'!BN18:BN20),"")</f>
        <v/>
      </c>
      <c r="AQ26" s="91" t="str">
        <f>IFERROR(AVERAGE('QC Record Production Hall 3'!AR42:AR44),"")</f>
        <v/>
      </c>
      <c r="AR26" s="91" t="str">
        <f>IFERROR(AVERAGE('QC Record Production Hall 3'!BC42:BC44),"")</f>
        <v/>
      </c>
    </row>
    <row r="27" spans="1:44" s="85" customFormat="1" ht="118" customHeight="1" x14ac:dyDescent="0.15">
      <c r="A27" s="224" t="s">
        <v>33</v>
      </c>
      <c r="B27" s="225"/>
      <c r="C27" s="120" t="s">
        <v>26</v>
      </c>
      <c r="D27" s="91">
        <f>'QC Deviation Record Hall 1 '!H5</f>
        <v>0</v>
      </c>
      <c r="E27" s="93">
        <f>'QC Deviation Record Hall 1 '!P5</f>
        <v>0</v>
      </c>
      <c r="F27" s="91">
        <f>'QC Deviation Record Hall 1 '!X5</f>
        <v>0</v>
      </c>
      <c r="G27" s="91">
        <f>'QC Deviation Record Hall 1 '!AF5</f>
        <v>0</v>
      </c>
      <c r="H27" s="91">
        <f>'QC Deviation Record Hall 1 '!AN5</f>
        <v>0</v>
      </c>
      <c r="I27" s="91">
        <f>'QC Deviation Record Hall 1 '!AV5</f>
        <v>0</v>
      </c>
      <c r="J27" s="91">
        <f>'QC Deviation Record Hall 1 '!BD5</f>
        <v>0</v>
      </c>
      <c r="K27" s="91">
        <f>'QC Deviation Record Hall 1 '!BL5</f>
        <v>0</v>
      </c>
      <c r="L27" s="91">
        <f>'QC Deviation Record Hall 1 '!BT5</f>
        <v>0</v>
      </c>
      <c r="M27" s="91">
        <f>'QC Deviation Record Hall 1 '!CB5</f>
        <v>0</v>
      </c>
      <c r="N27" s="91">
        <f>'QC Deviation Record Hall 1 '!CJ5</f>
        <v>0</v>
      </c>
      <c r="O27" s="91">
        <f>'QC Deviation Record Hall 1 '!CR5</f>
        <v>0</v>
      </c>
      <c r="Q27" s="224" t="s">
        <v>33</v>
      </c>
      <c r="R27" s="225"/>
      <c r="S27" s="120" t="s">
        <v>26</v>
      </c>
      <c r="T27" s="91">
        <f>'QC Deviation Record Hall 2'!H4</f>
        <v>0</v>
      </c>
      <c r="U27" s="91">
        <f>'QC Deviation Record Hall 2'!P4</f>
        <v>0</v>
      </c>
      <c r="V27" s="91">
        <f>'QC Deviation Record Hall 2'!X4</f>
        <v>0</v>
      </c>
      <c r="W27" s="91">
        <f>'QC Deviation Record Hall 2'!AF4</f>
        <v>0</v>
      </c>
      <c r="X27" s="91">
        <f>'QC Deviation Record Hall 2'!AN4</f>
        <v>0</v>
      </c>
      <c r="Y27" s="91">
        <f>'QC Deviation Record Hall 2'!AV4</f>
        <v>0</v>
      </c>
      <c r="Z27" s="91">
        <f>'QC Deviation Record Hall 2'!BD4</f>
        <v>0</v>
      </c>
      <c r="AA27" s="91">
        <f>'QC Deviation Record Hall 2'!BL4</f>
        <v>0</v>
      </c>
      <c r="AB27" s="91">
        <f>'QC Deviation Record Hall 2'!BT4</f>
        <v>0</v>
      </c>
      <c r="AC27" s="91">
        <f>'QC Deviation Record Hall 2'!CB4</f>
        <v>0</v>
      </c>
      <c r="AF27" s="224" t="s">
        <v>33</v>
      </c>
      <c r="AG27" s="225"/>
      <c r="AH27" s="120" t="s">
        <v>26</v>
      </c>
      <c r="AI27" s="91">
        <f>'QC Deviation Record Hall 3'!H4</f>
        <v>0</v>
      </c>
      <c r="AJ27" s="91">
        <f>'QC Deviation Record Hall 3'!P4</f>
        <v>0</v>
      </c>
      <c r="AK27" s="91">
        <f>'QC Deviation Record Hall 3'!X4</f>
        <v>0</v>
      </c>
      <c r="AL27" s="91">
        <f>'QC Deviation Record Hall 3'!AF4</f>
        <v>0</v>
      </c>
      <c r="AM27" s="91">
        <f>'QC Deviation Record Hall 3'!AN4</f>
        <v>0</v>
      </c>
      <c r="AN27" s="91">
        <f>'QC Deviation Record Hall 3'!AV4</f>
        <v>0</v>
      </c>
      <c r="AO27" s="91">
        <f>'QC Deviation Record Hall 3'!BD4</f>
        <v>0</v>
      </c>
      <c r="AP27" s="91">
        <f>'QC Deviation Record Hall 3'!BL4</f>
        <v>0</v>
      </c>
      <c r="AQ27" s="91">
        <f>'QC Deviation Record Hall 3'!BT4</f>
        <v>0</v>
      </c>
      <c r="AR27" s="91">
        <f>'QC Deviation Record Hall 3'!CB4</f>
        <v>0</v>
      </c>
    </row>
    <row r="28" spans="1:44" s="85" customFormat="1" ht="118" customHeight="1" x14ac:dyDescent="0.15">
      <c r="A28" s="226"/>
      <c r="B28" s="227"/>
      <c r="C28" s="120" t="s">
        <v>27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Q28" s="226"/>
      <c r="R28" s="227"/>
      <c r="S28" s="120" t="s">
        <v>27</v>
      </c>
      <c r="T28" s="93"/>
      <c r="U28" s="93"/>
      <c r="V28" s="93"/>
      <c r="W28" s="93"/>
      <c r="X28" s="93"/>
      <c r="Y28" s="93"/>
      <c r="Z28" s="93"/>
      <c r="AA28" s="93"/>
      <c r="AB28" s="93"/>
      <c r="AC28" s="93"/>
      <c r="AF28" s="226"/>
      <c r="AG28" s="227"/>
      <c r="AH28" s="120" t="s">
        <v>27</v>
      </c>
      <c r="AI28" s="93"/>
      <c r="AJ28" s="93"/>
      <c r="AK28" s="93"/>
      <c r="AL28" s="93"/>
      <c r="AM28" s="93"/>
      <c r="AN28" s="93"/>
      <c r="AO28" s="93"/>
      <c r="AP28" s="93"/>
      <c r="AQ28" s="93"/>
      <c r="AR28" s="93"/>
    </row>
    <row r="29" spans="1:44" s="85" customFormat="1" ht="118" customHeight="1" x14ac:dyDescent="0.15">
      <c r="A29" s="228"/>
      <c r="B29" s="229"/>
      <c r="C29" s="120" t="s">
        <v>28</v>
      </c>
      <c r="D29" s="91" t="str">
        <f>IFERROR(AVERAGE('QC Record Production Hall 1'!L21:L23),"")</f>
        <v/>
      </c>
      <c r="E29" s="91" t="str">
        <f>IFERROR(AVERAGE('QC Record Production Hall 1'!Z21:Z23),"")</f>
        <v/>
      </c>
      <c r="F29" s="91" t="str">
        <f>IFERROR(AVERAGE('QC Record Production Hall 1'!AN21:AN23),"")</f>
        <v/>
      </c>
      <c r="G29" s="91" t="str">
        <f>IFERROR(AVERAGE('QC Record Production Hall 1'!BB21:BB23),"")</f>
        <v/>
      </c>
      <c r="H29" s="91" t="str">
        <f>IFERROR(AVERAGE('QC Record Production Hall 1'!J45:J47),"")</f>
        <v/>
      </c>
      <c r="I29" s="91" t="str">
        <f>IFERROR(AVERAGE('QC Record Production Hall 1'!V45:V47),"")</f>
        <v/>
      </c>
      <c r="J29" s="91" t="str">
        <f>IFERROR(AVERAGE('QC Record Production Hall 1'!AN45:AN47),"")</f>
        <v/>
      </c>
      <c r="K29" s="91" t="str">
        <f>IFERROR(AVERAGE('QC Record Production Hall 1'!BB45:BB47),"")</f>
        <v/>
      </c>
      <c r="L29" s="91" t="str">
        <f>IFERROR(AVERAGE('QC Record Production Hall 1'!J69:J71),"")</f>
        <v/>
      </c>
      <c r="M29" s="91" t="str">
        <f>IFERROR(AVERAGE('QC Record Production Hall 1'!W69:W71),"")</f>
        <v/>
      </c>
      <c r="N29" s="91" t="str">
        <f>IFERROR(AVERAGE('QC Record Production Hall 1'!AK69:AK71),"")</f>
        <v/>
      </c>
      <c r="O29" s="91" t="str">
        <f>IFERROR(AVERAGE('QC Record Production Hall 1'!AX69:AX71),"")</f>
        <v/>
      </c>
      <c r="Q29" s="228"/>
      <c r="R29" s="229"/>
      <c r="S29" s="120" t="s">
        <v>28</v>
      </c>
      <c r="T29" s="91" t="str">
        <f>IFERROR(AVERAGE('QC Record Production Hall 2'!J21:J23),"")</f>
        <v/>
      </c>
      <c r="U29" s="91" t="str">
        <f>IFERROR(AVERAGE('QC Record Production Hall 2'!V21:V23),"")</f>
        <v/>
      </c>
      <c r="V29" s="91" t="str">
        <f>IFERROR(AVERAGE('QC Record Production Hall 2'!AG21:AG23),"")</f>
        <v/>
      </c>
      <c r="W29" s="91" t="str">
        <f>IFERROR(AVERAGE('QC Record Production Hall 2'!AR21:AR23),"")</f>
        <v/>
      </c>
      <c r="X29" s="91" t="str">
        <f>IFERROR(AVERAGE('QC Record Production Hall 2'!L45:L47),"")</f>
        <v/>
      </c>
      <c r="Y29" s="91" t="str">
        <f>IFERROR(AVERAGE('QC Record Production Hall 2'!AD45:AD47),"")</f>
        <v/>
      </c>
      <c r="Z29" s="91" t="str">
        <f>IFERROR(AVERAGE('QC Record Production Hall 2'!BC21:BC23),"")</f>
        <v/>
      </c>
      <c r="AA29" s="91" t="str">
        <f>IFERROR(AVERAGE('QC Record Production Hall 2'!BN21:BN23),"")</f>
        <v/>
      </c>
      <c r="AB29" s="91" t="str">
        <f>IFERROR(AVERAGE('QC Record Production Hall 2'!AR45:AR47),"")</f>
        <v/>
      </c>
      <c r="AC29" s="91" t="str">
        <f>IFERROR(AVERAGE('QC Record Production Hall 2'!BC45:BC47),"")</f>
        <v/>
      </c>
      <c r="AF29" s="228"/>
      <c r="AG29" s="229"/>
      <c r="AH29" s="120" t="s">
        <v>28</v>
      </c>
      <c r="AI29" s="91" t="str">
        <f>IFERROR(AVERAGE('QC Record Production Hall 3'!J21:J23),"")</f>
        <v/>
      </c>
      <c r="AJ29" s="91" t="str">
        <f>IFERROR(AVERAGE('QC Record Production Hall 3'!V21:V23),"")</f>
        <v/>
      </c>
      <c r="AK29" s="91" t="str">
        <f>IFERROR(AVERAGE('QC Record Production Hall 3'!AG21:AG23),"")</f>
        <v/>
      </c>
      <c r="AL29" s="91" t="str">
        <f>IFERROR(AVERAGE('QC Record Production Hall 3'!AR21:AR23),"")</f>
        <v/>
      </c>
      <c r="AM29" s="91" t="str">
        <f>IFERROR(AVERAGE('QC Record Production Hall 3'!L45:L47),"")</f>
        <v/>
      </c>
      <c r="AN29" s="91" t="str">
        <f>IFERROR(AVERAGE('QC Record Production Hall 3'!AD45:AD47),"")</f>
        <v/>
      </c>
      <c r="AO29" s="91" t="str">
        <f>IFERROR(AVERAGE('QC Record Production Hall 3'!BC21:BC23),"")</f>
        <v/>
      </c>
      <c r="AP29" s="91" t="str">
        <f>IFERROR(AVERAGE('QC Record Production Hall 3'!BN21:BN23),"")</f>
        <v/>
      </c>
      <c r="AQ29" s="91" t="str">
        <f>IFERROR(AVERAGE('QC Record Production Hall 3'!AR45:AR47),"")</f>
        <v/>
      </c>
      <c r="AR29" s="91" t="str">
        <f>IFERROR(AVERAGE('QC Record Production Hall 3'!BC45:BC47),"")</f>
        <v/>
      </c>
    </row>
    <row r="30" spans="1:44" s="85" customFormat="1" ht="118" customHeight="1" x14ac:dyDescent="0.15">
      <c r="A30" s="224" t="s">
        <v>34</v>
      </c>
      <c r="B30" s="225"/>
      <c r="C30" s="120" t="s">
        <v>26</v>
      </c>
      <c r="D30" s="91">
        <f>'QC Deviation Record Hall 1 '!I5</f>
        <v>0</v>
      </c>
      <c r="E30" s="91">
        <f>'QC Deviation Record Hall 1 '!Q5</f>
        <v>0</v>
      </c>
      <c r="F30" s="91">
        <f>'QC Deviation Record Hall 1 '!Y5</f>
        <v>0</v>
      </c>
      <c r="G30" s="91">
        <f>'QC Deviation Record Hall 1 '!AG5</f>
        <v>0</v>
      </c>
      <c r="H30" s="91">
        <f>'QC Deviation Record Hall 1 '!AO5</f>
        <v>0</v>
      </c>
      <c r="I30" s="91">
        <f>'QC Deviation Record Hall 1 '!AW5</f>
        <v>0</v>
      </c>
      <c r="J30" s="91">
        <f>'QC Deviation Record Hall 1 '!BE5</f>
        <v>0</v>
      </c>
      <c r="K30" s="91">
        <f>'QC Deviation Record Hall 1 '!BM5</f>
        <v>0</v>
      </c>
      <c r="L30" s="91">
        <f>'QC Deviation Record Hall 1 '!BU5</f>
        <v>0</v>
      </c>
      <c r="M30" s="91">
        <f>'QC Deviation Record Hall 1 '!CC5</f>
        <v>0</v>
      </c>
      <c r="N30" s="91">
        <f>'QC Deviation Record Hall 1 '!CK5</f>
        <v>0</v>
      </c>
      <c r="O30" s="91">
        <f>'QC Deviation Record Hall 1 '!CS5</f>
        <v>0</v>
      </c>
      <c r="Q30" s="224" t="s">
        <v>34</v>
      </c>
      <c r="R30" s="225"/>
      <c r="S30" s="120" t="s">
        <v>26</v>
      </c>
      <c r="T30" s="91">
        <f>'QC Deviation Record Hall 2'!I4</f>
        <v>0</v>
      </c>
      <c r="U30" s="91">
        <f>'QC Deviation Record Hall 2'!Q4</f>
        <v>0</v>
      </c>
      <c r="V30" s="91">
        <f>'QC Deviation Record Hall 2'!Y4</f>
        <v>0</v>
      </c>
      <c r="W30" s="91">
        <f>'QC Deviation Record Hall 2'!AG4</f>
        <v>0</v>
      </c>
      <c r="X30" s="91">
        <f>'QC Deviation Record Hall 2'!AO4</f>
        <v>0</v>
      </c>
      <c r="Y30" s="91">
        <f>'QC Deviation Record Hall 2'!AW4</f>
        <v>0</v>
      </c>
      <c r="Z30" s="91">
        <f>'QC Deviation Record Hall 2'!BE4</f>
        <v>0</v>
      </c>
      <c r="AA30" s="91">
        <f>'QC Deviation Record Hall 2'!BM4</f>
        <v>0</v>
      </c>
      <c r="AB30" s="91">
        <f>'QC Deviation Record Hall 2'!BU4</f>
        <v>0</v>
      </c>
      <c r="AC30" s="91">
        <f>'QC Deviation Record Hall 2'!CC4</f>
        <v>0</v>
      </c>
      <c r="AF30" s="224" t="s">
        <v>34</v>
      </c>
      <c r="AG30" s="225"/>
      <c r="AH30" s="120" t="s">
        <v>26</v>
      </c>
      <c r="AI30" s="91">
        <f>'QC Deviation Record Hall 3'!I4</f>
        <v>0</v>
      </c>
      <c r="AJ30" s="91">
        <f>'QC Deviation Record Hall 3'!Q4</f>
        <v>0</v>
      </c>
      <c r="AK30" s="91">
        <f>'QC Deviation Record Hall 3'!Y4</f>
        <v>0</v>
      </c>
      <c r="AL30" s="91">
        <f>'QC Deviation Record Hall 3'!AG4</f>
        <v>0</v>
      </c>
      <c r="AM30" s="91">
        <f>'QC Deviation Record Hall 3'!AO4</f>
        <v>0</v>
      </c>
      <c r="AN30" s="91">
        <f>'QC Deviation Record Hall 3'!AW4</f>
        <v>0</v>
      </c>
      <c r="AO30" s="91">
        <f>'QC Deviation Record Hall 3'!BE4</f>
        <v>0</v>
      </c>
      <c r="AP30" s="91">
        <f>'QC Deviation Record Hall 3'!BM4</f>
        <v>0</v>
      </c>
      <c r="AQ30" s="91">
        <f>'QC Deviation Record Hall 3'!BU4</f>
        <v>0</v>
      </c>
      <c r="AR30" s="91">
        <f>'QC Deviation Record Hall 3'!CC4</f>
        <v>0</v>
      </c>
    </row>
    <row r="31" spans="1:44" s="85" customFormat="1" ht="118" customHeight="1" x14ac:dyDescent="0.15">
      <c r="A31" s="226"/>
      <c r="B31" s="227"/>
      <c r="C31" s="120" t="s">
        <v>27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Q31" s="226"/>
      <c r="R31" s="227"/>
      <c r="S31" s="120" t="s">
        <v>27</v>
      </c>
      <c r="T31" s="93"/>
      <c r="U31" s="93"/>
      <c r="V31" s="93"/>
      <c r="W31" s="93"/>
      <c r="X31" s="93"/>
      <c r="Y31" s="93"/>
      <c r="Z31" s="93"/>
      <c r="AA31" s="93"/>
      <c r="AB31" s="93"/>
      <c r="AC31" s="93"/>
      <c r="AF31" s="226"/>
      <c r="AG31" s="227"/>
      <c r="AH31" s="120" t="s">
        <v>27</v>
      </c>
      <c r="AI31" s="93"/>
      <c r="AJ31" s="93"/>
      <c r="AK31" s="93"/>
      <c r="AL31" s="93"/>
      <c r="AM31" s="93"/>
      <c r="AN31" s="93"/>
      <c r="AO31" s="93"/>
      <c r="AP31" s="93"/>
      <c r="AQ31" s="93"/>
      <c r="AR31" s="93"/>
    </row>
    <row r="32" spans="1:44" s="85" customFormat="1" ht="118" customHeight="1" x14ac:dyDescent="0.15">
      <c r="A32" s="228"/>
      <c r="B32" s="229"/>
      <c r="C32" s="120" t="s">
        <v>28</v>
      </c>
      <c r="D32" s="91" t="str">
        <f>IFERROR(AVERAGE('QC Record Production Hall 1'!L3:L5),"")</f>
        <v/>
      </c>
      <c r="E32" s="91" t="str">
        <f>IFERROR(AVERAGE('QC Record Production Hall 1'!Z3:Z5),"")</f>
        <v/>
      </c>
      <c r="F32" s="91" t="str">
        <f>IFERROR(AVERAGE('QC Record Production Hall 1'!AN3:AN5),"")</f>
        <v/>
      </c>
      <c r="G32" s="91" t="str">
        <f>IFERROR(AVERAGE('QC Record Production Hall 1'!BB3:BB5),"")</f>
        <v/>
      </c>
      <c r="H32" s="91" t="str">
        <f>IFERROR(AVERAGE('QC Record Production Hall 1'!J27:J29),"")</f>
        <v/>
      </c>
      <c r="I32" s="91" t="str">
        <f>IFERROR(AVERAGE('QC Record Production Hall 1'!V27:V29),"")</f>
        <v/>
      </c>
      <c r="J32" s="91" t="str">
        <f>IFERROR(AVERAGE('QC Record Production Hall 1'!AN27:AN29),"")</f>
        <v/>
      </c>
      <c r="K32" s="91" t="str">
        <f>IFERROR(AVERAGE('QC Record Production Hall 1'!BB27:BB29),"")</f>
        <v/>
      </c>
      <c r="L32" s="91" t="str">
        <f>IFERROR(AVERAGE('QC Record Production Hall 1'!J51:J53),"")</f>
        <v/>
      </c>
      <c r="M32" s="91" t="str">
        <f>IFERROR(AVERAGE('QC Record Production Hall 1'!W51:W53),"")</f>
        <v/>
      </c>
      <c r="N32" s="91" t="str">
        <f>IFERROR(AVERAGE('QC Record Production Hall 1'!AK51:AK53),"")</f>
        <v/>
      </c>
      <c r="O32" s="91" t="str">
        <f>IFERROR(AVERAGE('QC Record Production Hall 1'!AX51:AX53),"")</f>
        <v/>
      </c>
      <c r="Q32" s="228"/>
      <c r="R32" s="229"/>
      <c r="S32" s="120" t="s">
        <v>28</v>
      </c>
      <c r="T32" s="91" t="str">
        <f>IFERROR(AVERAGE('QC Record Production Hall 2'!J3:J5),"")</f>
        <v/>
      </c>
      <c r="U32" s="91" t="str">
        <f>IFERROR(AVERAGE('QC Record Production Hall 2'!V3:V5),"")</f>
        <v/>
      </c>
      <c r="V32" s="91" t="str">
        <f>IFERROR(AVERAGE('QC Record Production Hall 2'!AG3:AG5),"")</f>
        <v/>
      </c>
      <c r="W32" s="91" t="str">
        <f>IFERROR(AVERAGE('QC Record Production Hall 2'!AR3:AR5),"")</f>
        <v/>
      </c>
      <c r="X32" s="91" t="str">
        <f>IFERROR(AVERAGE('QC Record Production Hall 2'!L27:L29),"")</f>
        <v/>
      </c>
      <c r="Y32" s="91" t="str">
        <f>IFERROR(AVERAGE('QC Record Production Hall 2'!AD27:AD29),"")</f>
        <v/>
      </c>
      <c r="Z32" s="91" t="str">
        <f>IFERROR(AVERAGE('QC Record Production Hall 2'!BC3:BC5),"")</f>
        <v/>
      </c>
      <c r="AA32" s="91" t="str">
        <f>IFERROR(AVERAGE('QC Record Production Hall 2'!BN3:BN5),"")</f>
        <v/>
      </c>
      <c r="AB32" s="91" t="str">
        <f>IFERROR(AVERAGE('QC Record Production Hall 2'!AR27:AR29),"")</f>
        <v/>
      </c>
      <c r="AC32" s="91" t="str">
        <f>IFERROR(AVERAGE('QC Record Production Hall 2'!BC27:BC29),"")</f>
        <v/>
      </c>
      <c r="AF32" s="228"/>
      <c r="AG32" s="229"/>
      <c r="AH32" s="120" t="s">
        <v>28</v>
      </c>
      <c r="AI32" s="91" t="str">
        <f>IFERROR(AVERAGE('QC Record Production Hall 3'!J3:J5),"")</f>
        <v/>
      </c>
      <c r="AJ32" s="91" t="str">
        <f>IFERROR(AVERAGE('QC Record Production Hall 3'!V3:V5),"")</f>
        <v/>
      </c>
      <c r="AK32" s="91" t="str">
        <f>IFERROR(AVERAGE('QC Record Production Hall 3'!AG3:AG5),"")</f>
        <v/>
      </c>
      <c r="AL32" s="91" t="str">
        <f>IFERROR(AVERAGE('QC Record Production Hall 3'!AR3:AR5),"")</f>
        <v/>
      </c>
      <c r="AM32" s="91" t="str">
        <f>IFERROR(AVERAGE('QC Record Production Hall 3'!L27:L29),"")</f>
        <v/>
      </c>
      <c r="AN32" s="91" t="str">
        <f>IFERROR(AVERAGE('QC Record Production Hall 3'!AD27:AD29),"")</f>
        <v/>
      </c>
      <c r="AO32" s="91" t="str">
        <f>IFERROR(AVERAGE('QC Record Production Hall 3'!BC3:BC5),"")</f>
        <v/>
      </c>
      <c r="AP32" s="91" t="str">
        <f>IFERROR(AVERAGE('QC Record Production Hall 3'!BN3:BN5),"")</f>
        <v/>
      </c>
      <c r="AQ32" s="91" t="str">
        <f>IFERROR(AVERAGE('QC Record Production Hall 3'!AR27:AR29),"")</f>
        <v/>
      </c>
      <c r="AR32" s="91" t="str">
        <f>IFERROR(AVERAGE('QC Record Production Hall 3'!BC27:BC29),"")</f>
        <v/>
      </c>
    </row>
    <row r="33" spans="1:44" s="85" customFormat="1" ht="118" customHeight="1" x14ac:dyDescent="0.15">
      <c r="A33" s="180" t="s">
        <v>35</v>
      </c>
      <c r="B33" s="181" t="s">
        <v>36</v>
      </c>
      <c r="C33" s="181" t="s">
        <v>37</v>
      </c>
      <c r="D33" s="181" t="s">
        <v>7</v>
      </c>
      <c r="E33" s="181" t="s">
        <v>8</v>
      </c>
      <c r="F33" s="181" t="s">
        <v>9</v>
      </c>
      <c r="G33" s="181" t="s">
        <v>10</v>
      </c>
      <c r="H33" s="181" t="s">
        <v>11</v>
      </c>
      <c r="I33" s="181" t="s">
        <v>12</v>
      </c>
      <c r="J33" s="181" t="s">
        <v>13</v>
      </c>
      <c r="K33" s="181" t="s">
        <v>14</v>
      </c>
      <c r="L33" s="181" t="s">
        <v>15</v>
      </c>
      <c r="M33" s="181" t="s">
        <v>16</v>
      </c>
      <c r="N33" s="181" t="s">
        <v>38</v>
      </c>
      <c r="O33" s="182" t="s">
        <v>17</v>
      </c>
      <c r="P33" s="121"/>
      <c r="Q33" s="184" t="s">
        <v>35</v>
      </c>
      <c r="R33" s="181" t="s">
        <v>36</v>
      </c>
      <c r="S33" s="181" t="s">
        <v>37</v>
      </c>
      <c r="T33" s="181" t="s">
        <v>18</v>
      </c>
      <c r="U33" s="181" t="s">
        <v>19</v>
      </c>
      <c r="V33" s="181" t="s">
        <v>20</v>
      </c>
      <c r="W33" s="181" t="s">
        <v>39</v>
      </c>
      <c r="X33" s="181" t="s">
        <v>21</v>
      </c>
      <c r="Y33" s="181" t="s">
        <v>22</v>
      </c>
      <c r="Z33" s="181" t="s">
        <v>23</v>
      </c>
      <c r="AA33" s="181" t="s">
        <v>40</v>
      </c>
      <c r="AB33" s="181" t="s">
        <v>24</v>
      </c>
      <c r="AC33" s="182" t="s">
        <v>41</v>
      </c>
      <c r="AF33" s="184" t="s">
        <v>35</v>
      </c>
      <c r="AG33" s="181" t="s">
        <v>36</v>
      </c>
      <c r="AH33" s="181" t="s">
        <v>37</v>
      </c>
      <c r="AI33" s="181" t="s">
        <v>18</v>
      </c>
      <c r="AJ33" s="181" t="s">
        <v>19</v>
      </c>
      <c r="AK33" s="181" t="s">
        <v>20</v>
      </c>
      <c r="AL33" s="181" t="s">
        <v>39</v>
      </c>
      <c r="AM33" s="181" t="s">
        <v>21</v>
      </c>
      <c r="AN33" s="181" t="s">
        <v>22</v>
      </c>
      <c r="AO33" s="181" t="s">
        <v>23</v>
      </c>
      <c r="AP33" s="181" t="s">
        <v>40</v>
      </c>
      <c r="AQ33" s="181" t="s">
        <v>24</v>
      </c>
      <c r="AR33" s="182" t="s">
        <v>41</v>
      </c>
    </row>
    <row r="34" spans="1:44" s="85" customFormat="1" ht="180.5" customHeight="1" x14ac:dyDescent="0.15">
      <c r="A34" s="183" t="str">
        <f t="array" ref="A34">INDEX('QC Deviation Record Hall 1 '!$A$120:$A$221,MATCH(Table7[[#This Row],[Defect العيب]],'QC Deviation Record Hall 1 '!$B$120:$B$221,0))</f>
        <v>AD01</v>
      </c>
      <c r="B34" s="87" t="str">
        <f t="array" ref="B34">INDEX('QC Deviation Record Hall 1 '!$B$120:$B$221,MATCH(LARGE('QC Deviation Record Hall 1 '!$O$120:$O$221-ROW('QC Deviation Record Hall 1 '!$O$120:$O$221)/10000000,ROW(A1)),'QC Deviation Record Hall 1 '!$O$120:$O$221-ROW('QC Deviation Record Hall 1 '!$O$120:$O$221)/10000000,0))</f>
        <v>تكتل الإضافات في جزء واحد</v>
      </c>
      <c r="C34" s="87"/>
      <c r="D34" s="207" t="str">
        <f t="array" ref="D34">INDEX('QC Deviation Record Hall 1 '!$C$120:$C$221,MATCH(Table7[[#This Row],[Defect العيب]],'QC Deviation Record Hall 1 '!$B$120:$B$221,0))</f>
        <v/>
      </c>
      <c r="E34" s="207" t="str">
        <f t="array" ref="E34">INDEX('QC Deviation Record Hall 1 '!$D$120:$D$221,MATCH(Table7[[#This Row],[Defect العيب]],'QC Deviation Record Hall 1 '!$B$120:$B$221,0))</f>
        <v/>
      </c>
      <c r="F34" s="207" t="str">
        <f t="array" ref="F34">INDEX('QC Deviation Record Hall 1 '!$E$120:$E$221,MATCH(Table7[[#This Row],[Defect العيب]],'QC Deviation Record Hall 1 '!$B$120:$B$221,0))</f>
        <v/>
      </c>
      <c r="G34" s="207" t="str">
        <f t="array" ref="G34">INDEX('QC Deviation Record Hall 1 '!$F$120:$F$221,MATCH(Table7[[#This Row],[Defect العيب]],'QC Deviation Record Hall 1 '!$B$120:$B$221,0))</f>
        <v/>
      </c>
      <c r="H34" s="207" t="str">
        <f t="array" ref="H34">INDEX('QC Deviation Record Hall 1 '!$G$120:$G$221,MATCH(Table7[[#This Row],[Defect العيب]],'QC Deviation Record Hall 1 '!$B$120:$B$221,0))</f>
        <v/>
      </c>
      <c r="I34" s="207" t="str">
        <f t="array" ref="I34">INDEX('QC Deviation Record Hall 1 '!$H$120:$H$221,MATCH(Table7[[#This Row],[Defect العيب]],'QC Deviation Record Hall 1 '!$B$120:$B$221,0))</f>
        <v/>
      </c>
      <c r="J34" s="207" t="str">
        <f t="array" ref="J34">INDEX('QC Deviation Record Hall 1 '!$I$120:$I$221,MATCH(Table7[[#This Row],[Defect العيب]],'QC Deviation Record Hall 1 '!$B$120:$B$221,0))</f>
        <v/>
      </c>
      <c r="K34" s="207" t="str">
        <f t="array" ref="K34">INDEX('QC Deviation Record Hall 1 '!$J$120:$J$221,MATCH(Table7[[#This Row],[Defect العيب]],'QC Deviation Record Hall 1 '!$B$120:$B$221,0))</f>
        <v/>
      </c>
      <c r="L34" s="207" t="str">
        <f t="array" ref="L34">INDEX('QC Deviation Record Hall 1 '!$K$120:$K$221,MATCH(Table7[[#This Row],[Defect العيب]],'QC Deviation Record Hall 1 '!$B$120:$B$221,0))</f>
        <v/>
      </c>
      <c r="M34" s="207" t="str">
        <f t="array" ref="M34">INDEX('QC Deviation Record Hall 1 '!$L$120:$L$221,MATCH(Table7[[#This Row],[Defect العيب]],'QC Deviation Record Hall 1 '!$B$120:$B$221,0))</f>
        <v/>
      </c>
      <c r="N34" s="207" t="str">
        <f t="array" ref="N34">INDEX('QC Deviation Record Hall 1 '!$M$120:$M$221,MATCH(Table7[[#This Row],[Defect العيب]],'QC Deviation Record Hall 1 '!$B$120:$B$221,0))</f>
        <v/>
      </c>
      <c r="O34" s="207" t="str">
        <f t="array" ref="O34">INDEX('QC Deviation Record Hall 1 '!$N$120:$N$221,MATCH(Table7[[#This Row],[Defect العيب]],'QC Deviation Record Hall 1 '!$B$120:$B$221,0))</f>
        <v/>
      </c>
      <c r="Q34" s="183" t="str">
        <f t="array" ref="Q34">INDEX('QC Deviation Record Hall 2'!$A$119:$A$220,MATCH(Table11[[#This Row],[Defect العيب]],'QC Deviation Record Hall 2'!$B$119:$B$220,0))</f>
        <v>AD01</v>
      </c>
      <c r="R34" s="87" t="str">
        <f t="array" ref="R34">INDEX('QC Deviation Record Hall 2'!$B$119:$B$220,MATCH(LARGE('QC Deviation Record Hall 2'!$M$119:$M$220-ROW('QC Deviation Record Hall 2'!$M$119:$M$220)/10000000,ROW(A1)),'QC Deviation Record Hall 2'!$M$119:$M$220-ROW('QC Deviation Record Hall 2'!$M$119:$M$220)/10000000,0))</f>
        <v>تكتل الإضافات في جزء واحد</v>
      </c>
      <c r="S34" s="87"/>
      <c r="T34" s="207" t="str">
        <f t="array" ref="T34">INDEX('QC Deviation Record Hall 2'!$C$119:$C$220,MATCH(Table11[[#This Row],[Defect العيب]],'QC Deviation Record Hall 2'!$B$119:$B$220,0))</f>
        <v/>
      </c>
      <c r="U34" s="207" t="str">
        <f t="array" ref="U34">INDEX('QC Deviation Record Hall 2'!$D$119:$D$220,MATCH(Table11[[#This Row],[Defect العيب]],'QC Deviation Record Hall 2'!$B$119:$B$220,0))</f>
        <v/>
      </c>
      <c r="V34" s="207" t="str">
        <f t="array" ref="V34">INDEX('QC Deviation Record Hall 2'!$E$119:$E$220,MATCH(Table11[[#This Row],[Defect العيب]],'QC Deviation Record Hall 2'!$B$119:$B$220,0))</f>
        <v/>
      </c>
      <c r="W34" s="207" t="str">
        <f t="array" ref="W34">INDEX('QC Deviation Record Hall 2'!$F$119:$F$220,MATCH(Table11[[#This Row],[Defect العيب]],'QC Deviation Record Hall 2'!$B$119:$B$220,0))</f>
        <v/>
      </c>
      <c r="X34" s="207" t="str">
        <f t="array" ref="X34">INDEX('QC Deviation Record Hall 2'!$G$119:$G$220,MATCH(Table11[[#This Row],[Defect العيب]],'QC Deviation Record Hall 2'!$B$119:$B$220,0))</f>
        <v/>
      </c>
      <c r="Y34" s="207" t="str">
        <f t="array" ref="Y34">INDEX('QC Deviation Record Hall 2'!$H$119:$H$220,MATCH(Table11[[#This Row],[Defect العيب]],'QC Deviation Record Hall 2'!$B$119:$B$220,0))</f>
        <v/>
      </c>
      <c r="Z34" s="207" t="str">
        <f t="array" ref="Z34">INDEX('QC Deviation Record Hall 2'!$I$119:$I$220,MATCH(Table11[[#This Row],[Defect العيب]],'QC Deviation Record Hall 2'!$B$119:$B$220,0))</f>
        <v/>
      </c>
      <c r="AA34" s="207" t="str">
        <f t="array" ref="AA34">INDEX('QC Deviation Record Hall 2'!$J$119:$J$220,MATCH(Table11[[#This Row],[Defect العيب]],'QC Deviation Record Hall 2'!$B$119:$B$220,0))</f>
        <v/>
      </c>
      <c r="AB34" s="207" t="str">
        <f t="array" ref="AB34">INDEX('QC Deviation Record Hall 2'!$K$119:$K$220,MATCH(Table11[[#This Row],[Defect العيب]],'QC Deviation Record Hall 2'!$B$119:$B$220,0))</f>
        <v/>
      </c>
      <c r="AC34" s="207" t="str">
        <f t="array" ref="AC34">INDEX('QC Deviation Record Hall 2'!$L$119:$L$220,MATCH(Table11[[#This Row],[Defect العيب]],'QC Deviation Record Hall 2'!$B$119:$B$220,0))</f>
        <v/>
      </c>
      <c r="AF34" s="183" t="str">
        <f t="array" ref="AF34">INDEX('QC Deviation Record Hall 3'!$A$119:$A$220,MATCH(Table111[[#This Row],[Defect العيب]],'QC Deviation Record Hall 3'!$B$119:$B$220,0))</f>
        <v>AD01</v>
      </c>
      <c r="AG34" s="87" t="str">
        <f t="array" ref="AG34">INDEX('QC Deviation Record Hall 3'!$B$119:$B$220,MATCH(LARGE('QC Deviation Record Hall 3'!$M$119:$M$220-ROW('QC Deviation Record Hall 3'!$M$119:$M$220)/10000000,ROW(A1)),'QC Deviation Record Hall 3'!$M$119:$M$220-ROW('QC Deviation Record Hall 3'!$M$119:$M$220)/10000000,0))</f>
        <v>تكتل الإضافات في جزء واحد</v>
      </c>
      <c r="AH34" s="87"/>
      <c r="AI34" s="207" t="str">
        <f t="array" ref="AI34">INDEX('QC Deviation Record Hall 3'!$C$119:$C$220,MATCH(Table111[[#This Row],[Defect العيب]],'QC Deviation Record Hall 3'!$B$119:$B$220,0))</f>
        <v/>
      </c>
      <c r="AJ34" s="207" t="str">
        <f t="array" ref="AJ34">INDEX('QC Deviation Record Hall 3'!$D$119:$D$220,MATCH(Table111[[#This Row],[Defect العيب]],'QC Deviation Record Hall 3'!$B$119:$B$220,0))</f>
        <v/>
      </c>
      <c r="AK34" s="207" t="str">
        <f t="array" ref="AK34">INDEX('QC Deviation Record Hall 3'!$E$119:$E$220,MATCH(Table111[[#This Row],[Defect العيب]],'QC Deviation Record Hall 3'!$B$119:$B$220,0))</f>
        <v/>
      </c>
      <c r="AL34" s="207" t="str">
        <f t="array" ref="AL34">INDEX('QC Deviation Record Hall 3'!$F$119:$F$220,MATCH(Table111[[#This Row],[Defect العيب]],'QC Deviation Record Hall 3'!$B$119:$B$220,0))</f>
        <v/>
      </c>
      <c r="AM34" s="207" t="str">
        <f t="array" ref="AM34">INDEX('QC Deviation Record Hall 3'!$G$119:$G$220,MATCH(Table111[[#This Row],[Defect العيب]],'QC Deviation Record Hall 3'!$B$119:$B$220,0))</f>
        <v/>
      </c>
      <c r="AN34" s="207" t="str">
        <f t="array" ref="AN34">INDEX('QC Deviation Record Hall 3'!$H$119:$H$220,MATCH(Table111[[#This Row],[Defect العيب]],'QC Deviation Record Hall 3'!$B$119:$B$220,0))</f>
        <v/>
      </c>
      <c r="AO34" s="207" t="str">
        <f t="array" ref="AO34">INDEX('QC Deviation Record Hall 3'!$I$119:$I$220,MATCH(Table111[[#This Row],[Defect العيب]],'QC Deviation Record Hall 3'!$B$119:$B$220,0))</f>
        <v/>
      </c>
      <c r="AP34" s="207" t="str">
        <f t="array" ref="AP34">INDEX('QC Deviation Record Hall 3'!$J$119:$J$220,MATCH(Table111[[#This Row],[Defect العيب]],'QC Deviation Record Hall 3'!$B$119:$B$220,0))</f>
        <v/>
      </c>
      <c r="AQ34" s="207" t="str">
        <f t="array" ref="AQ34">INDEX('QC Deviation Record Hall 3'!$K$119:$K$220,MATCH(Table111[[#This Row],[Defect العيب]],'QC Deviation Record Hall 3'!$B$119:$B$220,0))</f>
        <v/>
      </c>
      <c r="AR34" s="207" t="str">
        <f t="array" ref="AR34">INDEX('QC Deviation Record Hall 3'!$L$119:$L$220,MATCH(Table111[[#This Row],[Defect العيب]],'QC Deviation Record Hall 3'!$B$119:$B$220,0))</f>
        <v/>
      </c>
    </row>
    <row r="35" spans="1:44" s="85" customFormat="1" ht="180.5" customHeight="1" x14ac:dyDescent="0.15">
      <c r="A35" s="183" t="str">
        <f t="array" ref="A35">INDEX('QC Deviation Record Hall 1 '!$A$120:$A$221,MATCH(Table7[[#This Row],[Defect العيب]],'QC Deviation Record Hall 1 '!$B$120:$B$221,0))</f>
        <v>AD02</v>
      </c>
      <c r="B35" s="87" t="str">
        <f t="array" ref="B35">INDEX('QC Deviation Record Hall 1 '!$B$120:$B$221,MATCH(LARGE('QC Deviation Record Hall 1 '!$O$120:$O$221-ROW('QC Deviation Record Hall 1 '!$O$120:$O$221)/10000000,ROW(A2)),'QC Deviation Record Hall 1 '!$O$120:$O$221-ROW('QC Deviation Record Hall 1 '!$O$120:$O$221)/10000000,0))</f>
        <v>إضافات رطبة/مكسورة زيادة</v>
      </c>
      <c r="C35" s="87"/>
      <c r="D35" s="207" t="str">
        <f t="array" ref="D35">INDEX('QC Deviation Record Hall 1 '!$C$120:$C$221,MATCH(Table7[[#This Row],[Defect العيب]],'QC Deviation Record Hall 1 '!$B$120:$B$221,0))</f>
        <v/>
      </c>
      <c r="E35" s="207" t="str">
        <f t="array" ref="E35">INDEX('QC Deviation Record Hall 1 '!$D$120:$D$221,MATCH(Table7[[#This Row],[Defect العيب]],'QC Deviation Record Hall 1 '!$B$120:$B$221,0))</f>
        <v/>
      </c>
      <c r="F35" s="207" t="str">
        <f t="array" ref="F35">INDEX('QC Deviation Record Hall 1 '!$E$120:$E$221,MATCH(Table7[[#This Row],[Defect العيب]],'QC Deviation Record Hall 1 '!$B$120:$B$221,0))</f>
        <v/>
      </c>
      <c r="G35" s="207" t="str">
        <f t="array" ref="G35">INDEX('QC Deviation Record Hall 1 '!$F$120:$F$221,MATCH(Table7[[#This Row],[Defect العيب]],'QC Deviation Record Hall 1 '!$B$120:$B$221,0))</f>
        <v/>
      </c>
      <c r="H35" s="207" t="str">
        <f t="array" ref="H35">INDEX('QC Deviation Record Hall 1 '!$G$120:$G$221,MATCH(Table7[[#This Row],[Defect العيب]],'QC Deviation Record Hall 1 '!$B$120:$B$221,0))</f>
        <v/>
      </c>
      <c r="I35" s="207" t="str">
        <f t="array" ref="I35">INDEX('QC Deviation Record Hall 1 '!$H$120:$H$221,MATCH(Table7[[#This Row],[Defect العيب]],'QC Deviation Record Hall 1 '!$B$120:$B$221,0))</f>
        <v/>
      </c>
      <c r="J35" s="207" t="str">
        <f t="array" ref="J35">INDEX('QC Deviation Record Hall 1 '!$I$120:$I$221,MATCH(Table7[[#This Row],[Defect العيب]],'QC Deviation Record Hall 1 '!$B$120:$B$221,0))</f>
        <v/>
      </c>
      <c r="K35" s="207" t="str">
        <f t="array" ref="K35">INDEX('QC Deviation Record Hall 1 '!$J$120:$J$221,MATCH(Table7[[#This Row],[Defect العيب]],'QC Deviation Record Hall 1 '!$B$120:$B$221,0))</f>
        <v/>
      </c>
      <c r="L35" s="207" t="str">
        <f t="array" ref="L35">INDEX('QC Deviation Record Hall 1 '!$K$120:$K$221,MATCH(Table7[[#This Row],[Defect العيب]],'QC Deviation Record Hall 1 '!$B$120:$B$221,0))</f>
        <v/>
      </c>
      <c r="M35" s="207" t="str">
        <f t="array" ref="M35">INDEX('QC Deviation Record Hall 1 '!$L$120:$L$221,MATCH(Table7[[#This Row],[Defect العيب]],'QC Deviation Record Hall 1 '!$B$120:$B$221,0))</f>
        <v/>
      </c>
      <c r="N35" s="207" t="str">
        <f t="array" ref="N35">INDEX('QC Deviation Record Hall 1 '!$M$120:$M$221,MATCH(Table7[[#This Row],[Defect العيب]],'QC Deviation Record Hall 1 '!$B$120:$B$221,0))</f>
        <v/>
      </c>
      <c r="O35" s="208" t="str">
        <f t="array" ref="O35">INDEX('QC Deviation Record Hall 1 '!$N$120:$N$221,MATCH(Table7[[#This Row],[Defect العيب]],'QC Deviation Record Hall 1 '!$B$120:$B$221,0))</f>
        <v/>
      </c>
      <c r="Q35" s="183" t="str">
        <f t="array" ref="Q35">INDEX('QC Deviation Record Hall 2'!$A$119:$A$220,MATCH(Table11[[#This Row],[Defect العيب]],'QC Deviation Record Hall 2'!$B$119:$B$220,0))</f>
        <v>AD02</v>
      </c>
      <c r="R35" s="87" t="str">
        <f t="array" ref="R35">INDEX('QC Deviation Record Hall 2'!$B$119:$B$220,MATCH(LARGE('QC Deviation Record Hall 2'!$M$119:$M$220-ROW('QC Deviation Record Hall 2'!$M$119:$M$220)/10000000,ROW(A2)),'QC Deviation Record Hall 2'!$M$119:$M$220-ROW('QC Deviation Record Hall 2'!$M$119:$M$220)/10000000,0))</f>
        <v>إضافات رطبة/مكسورة زيادة</v>
      </c>
      <c r="S35" s="87"/>
      <c r="T35" s="207" t="str">
        <f t="array" ref="T35">INDEX('QC Deviation Record Hall 2'!$C$119:$C$220,MATCH(Table11[[#This Row],[Defect العيب]],'QC Deviation Record Hall 2'!$B$119:$B$220,0))</f>
        <v/>
      </c>
      <c r="U35" s="207" t="str">
        <f t="array" ref="U35">INDEX('QC Deviation Record Hall 2'!$D$119:$D$220,MATCH(Table11[[#This Row],[Defect العيب]],'QC Deviation Record Hall 2'!$B$119:$B$220,0))</f>
        <v/>
      </c>
      <c r="V35" s="207" t="str">
        <f t="array" ref="V35">INDEX('QC Deviation Record Hall 2'!$E$119:$E$220,MATCH(Table11[[#This Row],[Defect العيب]],'QC Deviation Record Hall 2'!$B$119:$B$220,0))</f>
        <v/>
      </c>
      <c r="W35" s="207" t="str">
        <f t="array" ref="W35">INDEX('QC Deviation Record Hall 2'!$F$119:$F$220,MATCH(Table11[[#This Row],[Defect العيب]],'QC Deviation Record Hall 2'!$B$119:$B$220,0))</f>
        <v/>
      </c>
      <c r="X35" s="207" t="str">
        <f t="array" ref="X35">INDEX('QC Deviation Record Hall 2'!$G$119:$G$220,MATCH(Table11[[#This Row],[Defect العيب]],'QC Deviation Record Hall 2'!$B$119:$B$220,0))</f>
        <v/>
      </c>
      <c r="Y35" s="207" t="str">
        <f t="array" ref="Y35">INDEX('QC Deviation Record Hall 2'!$H$119:$H$220,MATCH(Table11[[#This Row],[Defect العيب]],'QC Deviation Record Hall 2'!$B$119:$B$220,0))</f>
        <v/>
      </c>
      <c r="Z35" s="207" t="str">
        <f t="array" ref="Z35">INDEX('QC Deviation Record Hall 2'!$I$119:$I$220,MATCH(Table11[[#This Row],[Defect العيب]],'QC Deviation Record Hall 2'!$B$119:$B$220,0))</f>
        <v/>
      </c>
      <c r="AA35" s="207" t="str">
        <f t="array" ref="AA35">INDEX('QC Deviation Record Hall 2'!$J$119:$J$220,MATCH(Table11[[#This Row],[Defect العيب]],'QC Deviation Record Hall 2'!$B$119:$B$220,0))</f>
        <v/>
      </c>
      <c r="AB35" s="207" t="str">
        <f t="array" ref="AB35">INDEX('QC Deviation Record Hall 2'!$K$119:$K$220,MATCH(Table11[[#This Row],[Defect العيب]],'QC Deviation Record Hall 2'!$B$119:$B$220,0))</f>
        <v/>
      </c>
      <c r="AC35" s="208" t="str">
        <f t="array" ref="AC35">INDEX('QC Deviation Record Hall 2'!$L$119:$L$220,MATCH(Table11[[#This Row],[Defect العيب]],'QC Deviation Record Hall 2'!$B$119:$B$220,0))</f>
        <v/>
      </c>
      <c r="AF35" s="183" t="str">
        <f t="array" ref="AF35">INDEX('QC Deviation Record Hall 3'!$A$119:$A$220,MATCH(Table111[[#This Row],[Defect العيب]],'QC Deviation Record Hall 3'!$B$119:$B$220,0))</f>
        <v>AD02</v>
      </c>
      <c r="AG35" s="87" t="str">
        <f t="array" ref="AG35">INDEX('QC Deviation Record Hall 3'!$B$119:$B$220,MATCH(LARGE('QC Deviation Record Hall 3'!$M$119:$M$220-ROW('QC Deviation Record Hall 3'!$M$119:$M$220)/10000000,ROW(A2)),'QC Deviation Record Hall 3'!$M$119:$M$220-ROW('QC Deviation Record Hall 3'!$M$119:$M$220)/10000000,0))</f>
        <v>إضافات رطبة/مكسورة زيادة</v>
      </c>
      <c r="AH35" s="87"/>
      <c r="AI35" s="207" t="str">
        <f t="array" ref="AI35">INDEX('QC Deviation Record Hall 3'!$C$119:$C$220,MATCH(Table111[[#This Row],[Defect العيب]],'QC Deviation Record Hall 3'!$B$119:$B$220,0))</f>
        <v/>
      </c>
      <c r="AJ35" s="207" t="str">
        <f t="array" ref="AJ35">INDEX('QC Deviation Record Hall 3'!$D$119:$D$220,MATCH(Table111[[#This Row],[Defect العيب]],'QC Deviation Record Hall 3'!$B$119:$B$220,0))</f>
        <v/>
      </c>
      <c r="AK35" s="207" t="str">
        <f t="array" ref="AK35">INDEX('QC Deviation Record Hall 3'!$E$119:$E$220,MATCH(Table111[[#This Row],[Defect العيب]],'QC Deviation Record Hall 3'!$B$119:$B$220,0))</f>
        <v/>
      </c>
      <c r="AL35" s="207" t="str">
        <f t="array" ref="AL35">INDEX('QC Deviation Record Hall 3'!$F$119:$F$220,MATCH(Table111[[#This Row],[Defect العيب]],'QC Deviation Record Hall 3'!$B$119:$B$220,0))</f>
        <v/>
      </c>
      <c r="AM35" s="207" t="str">
        <f t="array" ref="AM35">INDEX('QC Deviation Record Hall 3'!$G$119:$G$220,MATCH(Table111[[#This Row],[Defect العيب]],'QC Deviation Record Hall 3'!$B$119:$B$220,0))</f>
        <v/>
      </c>
      <c r="AN35" s="207" t="str">
        <f t="array" ref="AN35">INDEX('QC Deviation Record Hall 3'!$H$119:$H$220,MATCH(Table111[[#This Row],[Defect العيب]],'QC Deviation Record Hall 3'!$B$119:$B$220,0))</f>
        <v/>
      </c>
      <c r="AO35" s="207" t="str">
        <f t="array" ref="AO35">INDEX('QC Deviation Record Hall 3'!$I$119:$I$220,MATCH(Table111[[#This Row],[Defect العيب]],'QC Deviation Record Hall 3'!$B$119:$B$220,0))</f>
        <v/>
      </c>
      <c r="AP35" s="207" t="str">
        <f t="array" ref="AP35">INDEX('QC Deviation Record Hall 3'!$J$119:$J$220,MATCH(Table111[[#This Row],[Defect العيب]],'QC Deviation Record Hall 3'!$B$119:$B$220,0))</f>
        <v/>
      </c>
      <c r="AQ35" s="207" t="str">
        <f t="array" ref="AQ35">INDEX('QC Deviation Record Hall 3'!$K$119:$K$220,MATCH(Table111[[#This Row],[Defect العيب]],'QC Deviation Record Hall 3'!$B$119:$B$220,0))</f>
        <v/>
      </c>
      <c r="AR35" s="208" t="str">
        <f t="array" ref="AR35">INDEX('QC Deviation Record Hall 3'!$L$119:$L$220,MATCH(Table111[[#This Row],[Defect العيب]],'QC Deviation Record Hall 3'!$B$119:$B$220,0))</f>
        <v/>
      </c>
    </row>
    <row r="36" spans="1:44" s="85" customFormat="1" ht="180.5" customHeight="1" x14ac:dyDescent="0.15">
      <c r="A36" s="183" t="str">
        <f t="array" ref="A36">INDEX('QC Deviation Record Hall 1 '!$A$120:$A$221,MATCH(Table7[[#This Row],[Defect العيب]],'QC Deviation Record Hall 1 '!$B$120:$B$221,0))</f>
        <v>AD02</v>
      </c>
      <c r="B36" s="87" t="str">
        <f t="array" ref="B36">INDEX('QC Deviation Record Hall 1 '!$B$120:$B$221,MATCH(LARGE('QC Deviation Record Hall 1 '!$O$120:$O$221-ROW('QC Deviation Record Hall 1 '!$O$120:$O$221)/10000000,ROW(A2)),'QC Deviation Record Hall 1 '!$O$120:$O$221-ROW('QC Deviation Record Hall 1 '!$O$120:$O$221)/10000000,0))</f>
        <v>إضافات رطبة/مكسورة زيادة</v>
      </c>
      <c r="C36" s="87"/>
      <c r="D36" s="207" t="str">
        <f t="array" ref="D36">INDEX('QC Deviation Record Hall 1 '!$C$120:$C$221,MATCH(Table7[[#This Row],[Defect العيب]],'QC Deviation Record Hall 1 '!$B$120:$B$221,0))</f>
        <v/>
      </c>
      <c r="E36" s="207" t="str">
        <f t="array" ref="E36">INDEX('QC Deviation Record Hall 1 '!$D$120:$D$221,MATCH(Table7[[#This Row],[Defect العيب]],'QC Deviation Record Hall 1 '!$B$120:$B$221,0))</f>
        <v/>
      </c>
      <c r="F36" s="207" t="str">
        <f t="array" ref="F36">INDEX('QC Deviation Record Hall 1 '!$E$120:$E$221,MATCH(Table7[[#This Row],[Defect العيب]],'QC Deviation Record Hall 1 '!$B$120:$B$221,0))</f>
        <v/>
      </c>
      <c r="G36" s="207" t="str">
        <f t="array" ref="G36">INDEX('QC Deviation Record Hall 1 '!$F$120:$F$221,MATCH(Table7[[#This Row],[Defect العيب]],'QC Deviation Record Hall 1 '!$B$120:$B$221,0))</f>
        <v/>
      </c>
      <c r="H36" s="207" t="str">
        <f t="array" ref="H36">INDEX('QC Deviation Record Hall 1 '!$G$120:$G$221,MATCH(Table7[[#This Row],[Defect العيب]],'QC Deviation Record Hall 1 '!$B$120:$B$221,0))</f>
        <v/>
      </c>
      <c r="I36" s="207" t="str">
        <f t="array" ref="I36">INDEX('QC Deviation Record Hall 1 '!$H$120:$H$221,MATCH(Table7[[#This Row],[Defect العيب]],'QC Deviation Record Hall 1 '!$B$120:$B$221,0))</f>
        <v/>
      </c>
      <c r="J36" s="207" t="str">
        <f t="array" ref="J36">INDEX('QC Deviation Record Hall 1 '!$I$120:$I$221,MATCH(Table7[[#This Row],[Defect العيب]],'QC Deviation Record Hall 1 '!$B$120:$B$221,0))</f>
        <v/>
      </c>
      <c r="K36" s="207" t="str">
        <f t="array" ref="K36">INDEX('QC Deviation Record Hall 1 '!$J$120:$J$221,MATCH(Table7[[#This Row],[Defect العيب]],'QC Deviation Record Hall 1 '!$B$120:$B$221,0))</f>
        <v/>
      </c>
      <c r="L36" s="207" t="str">
        <f t="array" ref="L36">INDEX('QC Deviation Record Hall 1 '!$K$120:$K$221,MATCH(Table7[[#This Row],[Defect العيب]],'QC Deviation Record Hall 1 '!$B$120:$B$221,0))</f>
        <v/>
      </c>
      <c r="M36" s="207" t="str">
        <f t="array" ref="M36">INDEX('QC Deviation Record Hall 1 '!$L$120:$L$221,MATCH(Table7[[#This Row],[Defect العيب]],'QC Deviation Record Hall 1 '!$B$120:$B$221,0))</f>
        <v/>
      </c>
      <c r="N36" s="207" t="str">
        <f t="array" ref="N36">INDEX('QC Deviation Record Hall 1 '!$M$120:$M$221,MATCH(Table7[[#This Row],[Defect العيب]],'QC Deviation Record Hall 1 '!$B$120:$B$221,0))</f>
        <v/>
      </c>
      <c r="O36" s="208" t="str">
        <f t="array" ref="O36">INDEX('QC Deviation Record Hall 1 '!$N$120:$N$221,MATCH(Table7[[#This Row],[Defect العيب]],'QC Deviation Record Hall 1 '!$B$120:$B$221,0))</f>
        <v/>
      </c>
      <c r="Q36" s="183" t="str">
        <f t="array" ref="Q36">INDEX('QC Deviation Record Hall 2'!$A$119:$A$220,MATCH(Table11[[#This Row],[Defect العيب]],'QC Deviation Record Hall 2'!$B$119:$B$220,0))</f>
        <v>AD02</v>
      </c>
      <c r="R36" s="87" t="str">
        <f t="array" ref="R36">INDEX('QC Deviation Record Hall 2'!$B$119:$B$220,MATCH(LARGE('QC Deviation Record Hall 2'!$M$119:$M$220-ROW('QC Deviation Record Hall 2'!$M$119:$M$220)/10000000,ROW(A2)),'QC Deviation Record Hall 2'!$M$119:$M$220-ROW('QC Deviation Record Hall 2'!$M$119:$M$220)/10000000,0))</f>
        <v>إضافات رطبة/مكسورة زيادة</v>
      </c>
      <c r="S36" s="87"/>
      <c r="T36" s="207" t="str">
        <f t="array" ref="T36">INDEX('QC Deviation Record Hall 2'!$C$119:$C$220,MATCH(Table11[[#This Row],[Defect العيب]],'QC Deviation Record Hall 2'!$B$119:$B$220,0))</f>
        <v/>
      </c>
      <c r="U36" s="207" t="str">
        <f t="array" ref="U36">INDEX('QC Deviation Record Hall 2'!$D$119:$D$220,MATCH(Table11[[#This Row],[Defect العيب]],'QC Deviation Record Hall 2'!$B$119:$B$220,0))</f>
        <v/>
      </c>
      <c r="V36" s="207" t="str">
        <f t="array" ref="V36">INDEX('QC Deviation Record Hall 2'!$E$119:$E$220,MATCH(Table11[[#This Row],[Defect العيب]],'QC Deviation Record Hall 2'!$B$119:$B$220,0))</f>
        <v/>
      </c>
      <c r="W36" s="207" t="str">
        <f t="array" ref="W36">INDEX('QC Deviation Record Hall 2'!$F$119:$F$220,MATCH(Table11[[#This Row],[Defect العيب]],'QC Deviation Record Hall 2'!$B$119:$B$220,0))</f>
        <v/>
      </c>
      <c r="X36" s="207" t="str">
        <f t="array" ref="X36">INDEX('QC Deviation Record Hall 2'!$G$119:$G$220,MATCH(Table11[[#This Row],[Defect العيب]],'QC Deviation Record Hall 2'!$B$119:$B$220,0))</f>
        <v/>
      </c>
      <c r="Y36" s="207" t="str">
        <f t="array" ref="Y36">INDEX('QC Deviation Record Hall 2'!$H$119:$H$220,MATCH(Table11[[#This Row],[Defect العيب]],'QC Deviation Record Hall 2'!$B$119:$B$220,0))</f>
        <v/>
      </c>
      <c r="Z36" s="207" t="str">
        <f t="array" ref="Z36">INDEX('QC Deviation Record Hall 2'!$I$119:$I$220,MATCH(Table11[[#This Row],[Defect العيب]],'QC Deviation Record Hall 2'!$B$119:$B$220,0))</f>
        <v/>
      </c>
      <c r="AA36" s="207" t="str">
        <f t="array" ref="AA36">INDEX('QC Deviation Record Hall 2'!$J$119:$J$220,MATCH(Table11[[#This Row],[Defect العيب]],'QC Deviation Record Hall 2'!$B$119:$B$220,0))</f>
        <v/>
      </c>
      <c r="AB36" s="207" t="str">
        <f t="array" ref="AB36">INDEX('QC Deviation Record Hall 2'!$K$119:$K$220,MATCH(Table11[[#This Row],[Defect العيب]],'QC Deviation Record Hall 2'!$B$119:$B$220,0))</f>
        <v/>
      </c>
      <c r="AC36" s="208" t="str">
        <f t="array" ref="AC36">INDEX('QC Deviation Record Hall 2'!$L$119:$L$220,MATCH(Table11[[#This Row],[Defect العيب]],'QC Deviation Record Hall 2'!$B$119:$B$220,0))</f>
        <v/>
      </c>
      <c r="AF36" s="183" t="str">
        <f t="array" ref="AF36">INDEX('QC Deviation Record Hall 3'!$A$119:$A$220,MATCH(Table111[[#This Row],[Defect العيب]],'QC Deviation Record Hall 3'!$B$119:$B$220,0))</f>
        <v>AD02</v>
      </c>
      <c r="AG36" s="87" t="str">
        <f t="array" ref="AG36">INDEX('QC Deviation Record Hall 3'!$B$119:$B$220,MATCH(LARGE('QC Deviation Record Hall 3'!$M$119:$M$220-ROW('QC Deviation Record Hall 3'!$M$119:$M$220)/10000000,ROW(A2)),'QC Deviation Record Hall 3'!$M$119:$M$220-ROW('QC Deviation Record Hall 3'!$M$119:$M$220)/10000000,0))</f>
        <v>إضافات رطبة/مكسورة زيادة</v>
      </c>
      <c r="AH36" s="87"/>
      <c r="AI36" s="207" t="str">
        <f t="array" ref="AI36">INDEX('QC Deviation Record Hall 3'!$C$119:$C$220,MATCH(Table111[[#This Row],[Defect العيب]],'QC Deviation Record Hall 3'!$B$119:$B$220,0))</f>
        <v/>
      </c>
      <c r="AJ36" s="207" t="str">
        <f t="array" ref="AJ36">INDEX('QC Deviation Record Hall 3'!$D$119:$D$220,MATCH(Table111[[#This Row],[Defect العيب]],'QC Deviation Record Hall 3'!$B$119:$B$220,0))</f>
        <v/>
      </c>
      <c r="AK36" s="207" t="str">
        <f t="array" ref="AK36">INDEX('QC Deviation Record Hall 3'!$E$119:$E$220,MATCH(Table111[[#This Row],[Defect العيب]],'QC Deviation Record Hall 3'!$B$119:$B$220,0))</f>
        <v/>
      </c>
      <c r="AL36" s="207" t="str">
        <f t="array" ref="AL36">INDEX('QC Deviation Record Hall 3'!$F$119:$F$220,MATCH(Table111[[#This Row],[Defect العيب]],'QC Deviation Record Hall 3'!$B$119:$B$220,0))</f>
        <v/>
      </c>
      <c r="AM36" s="207" t="str">
        <f t="array" ref="AM36">INDEX('QC Deviation Record Hall 3'!$G$119:$G$220,MATCH(Table111[[#This Row],[Defect العيب]],'QC Deviation Record Hall 3'!$B$119:$B$220,0))</f>
        <v/>
      </c>
      <c r="AN36" s="207" t="str">
        <f t="array" ref="AN36">INDEX('QC Deviation Record Hall 3'!$H$119:$H$220,MATCH(Table111[[#This Row],[Defect العيب]],'QC Deviation Record Hall 3'!$B$119:$B$220,0))</f>
        <v/>
      </c>
      <c r="AO36" s="207" t="str">
        <f t="array" ref="AO36">INDEX('QC Deviation Record Hall 3'!$I$119:$I$220,MATCH(Table111[[#This Row],[Defect العيب]],'QC Deviation Record Hall 3'!$B$119:$B$220,0))</f>
        <v/>
      </c>
      <c r="AP36" s="207" t="str">
        <f t="array" ref="AP36">INDEX('QC Deviation Record Hall 3'!$J$119:$J$220,MATCH(Table111[[#This Row],[Defect العيب]],'QC Deviation Record Hall 3'!$B$119:$B$220,0))</f>
        <v/>
      </c>
      <c r="AQ36" s="207" t="str">
        <f t="array" ref="AQ36">INDEX('QC Deviation Record Hall 3'!$K$119:$K$220,MATCH(Table111[[#This Row],[Defect العيب]],'QC Deviation Record Hall 3'!$B$119:$B$220,0))</f>
        <v/>
      </c>
      <c r="AR36" s="208" t="str">
        <f t="array" ref="AR36">INDEX('QC Deviation Record Hall 3'!$L$119:$L$220,MATCH(Table111[[#This Row],[Defect العيب]],'QC Deviation Record Hall 3'!$B$119:$B$220,0))</f>
        <v/>
      </c>
    </row>
    <row r="37" spans="1:44" s="85" customFormat="1" ht="180.5" customHeight="1" x14ac:dyDescent="0.15">
      <c r="A37" s="183" t="str">
        <f t="array" ref="A37">INDEX('QC Deviation Record Hall 1 '!$A$120:$A$221,MATCH(Table7[[#This Row],[Defect العيب]],'QC Deviation Record Hall 1 '!$B$120:$B$221,0))</f>
        <v>AD03</v>
      </c>
      <c r="B37" s="87" t="str">
        <f t="array" ref="B37">INDEX('QC Deviation Record Hall 1 '!$B$120:$B$221,MATCH(LARGE('QC Deviation Record Hall 1 '!$O$120:$O$221-ROW('QC Deviation Record Hall 1 '!$O$120:$O$221)/10000000,ROW(A3)),'QC Deviation Record Hall 1 '!$O$120:$O$221-ROW('QC Deviation Record Hall 1 '!$O$120:$O$221)/10000000,0))</f>
        <v>نوع إضافات غير مطابق للوصفة</v>
      </c>
      <c r="C37" s="87"/>
      <c r="D37" s="207" t="str">
        <f t="array" ref="D37">INDEX('QC Deviation Record Hall 1 '!$C$120:$C$221,MATCH(Table7[[#This Row],[Defect العيب]],'QC Deviation Record Hall 1 '!$B$120:$B$221,0))</f>
        <v/>
      </c>
      <c r="E37" s="207" t="str">
        <f t="array" ref="E37">INDEX('QC Deviation Record Hall 1 '!$D$120:$D$221,MATCH(Table7[[#This Row],[Defect العيب]],'QC Deviation Record Hall 1 '!$B$120:$B$221,0))</f>
        <v/>
      </c>
      <c r="F37" s="207" t="str">
        <f t="array" ref="F37">INDEX('QC Deviation Record Hall 1 '!$E$120:$E$221,MATCH(Table7[[#This Row],[Defect العيب]],'QC Deviation Record Hall 1 '!$B$120:$B$221,0))</f>
        <v/>
      </c>
      <c r="G37" s="207" t="str">
        <f t="array" ref="G37">INDEX('QC Deviation Record Hall 1 '!$F$120:$F$221,MATCH(Table7[[#This Row],[Defect العيب]],'QC Deviation Record Hall 1 '!$B$120:$B$221,0))</f>
        <v/>
      </c>
      <c r="H37" s="207" t="str">
        <f t="array" ref="H37">INDEX('QC Deviation Record Hall 1 '!$G$120:$G$221,MATCH(Table7[[#This Row],[Defect العيب]],'QC Deviation Record Hall 1 '!$B$120:$B$221,0))</f>
        <v/>
      </c>
      <c r="I37" s="207" t="str">
        <f t="array" ref="I37">INDEX('QC Deviation Record Hall 1 '!$H$120:$H$221,MATCH(Table7[[#This Row],[Defect العيب]],'QC Deviation Record Hall 1 '!$B$120:$B$221,0))</f>
        <v/>
      </c>
      <c r="J37" s="207" t="str">
        <f t="array" ref="J37">INDEX('QC Deviation Record Hall 1 '!$I$120:$I$221,MATCH(Table7[[#This Row],[Defect العيب]],'QC Deviation Record Hall 1 '!$B$120:$B$221,0))</f>
        <v/>
      </c>
      <c r="K37" s="207" t="str">
        <f t="array" ref="K37">INDEX('QC Deviation Record Hall 1 '!$J$120:$J$221,MATCH(Table7[[#This Row],[Defect العيب]],'QC Deviation Record Hall 1 '!$B$120:$B$221,0))</f>
        <v/>
      </c>
      <c r="L37" s="207" t="str">
        <f t="array" ref="L37">INDEX('QC Deviation Record Hall 1 '!$K$120:$K$221,MATCH(Table7[[#This Row],[Defect العيب]],'QC Deviation Record Hall 1 '!$B$120:$B$221,0))</f>
        <v/>
      </c>
      <c r="M37" s="207" t="str">
        <f t="array" ref="M37">INDEX('QC Deviation Record Hall 1 '!$L$120:$L$221,MATCH(Table7[[#This Row],[Defect العيب]],'QC Deviation Record Hall 1 '!$B$120:$B$221,0))</f>
        <v/>
      </c>
      <c r="N37" s="207" t="str">
        <f t="array" ref="N37">INDEX('QC Deviation Record Hall 1 '!$M$120:$M$221,MATCH(Table7[[#This Row],[Defect العيب]],'QC Deviation Record Hall 1 '!$B$120:$B$221,0))</f>
        <v/>
      </c>
      <c r="O37" s="208" t="str">
        <f t="array" ref="O37">INDEX('QC Deviation Record Hall 1 '!$N$120:$N$221,MATCH(Table7[[#This Row],[Defect العيب]],'QC Deviation Record Hall 1 '!$B$120:$B$221,0))</f>
        <v/>
      </c>
      <c r="Q37" s="183" t="str">
        <f t="array" ref="Q37">INDEX('QC Deviation Record Hall 2'!$A$119:$A$220,MATCH(Table11[[#This Row],[Defect العيب]],'QC Deviation Record Hall 2'!$B$119:$B$220,0))</f>
        <v>AD03</v>
      </c>
      <c r="R37" s="87" t="str">
        <f t="array" ref="R37">INDEX('QC Deviation Record Hall 2'!$B$119:$B$220,MATCH(LARGE('QC Deviation Record Hall 2'!$M$119:$M$220-ROW('QC Deviation Record Hall 2'!$M$119:$M$220)/10000000,ROW(A3)),'QC Deviation Record Hall 2'!$M$119:$M$220-ROW('QC Deviation Record Hall 2'!$M$119:$M$220)/10000000,0))</f>
        <v>نوع إضافات غير مطابق للوصفة</v>
      </c>
      <c r="S37" s="87"/>
      <c r="T37" s="207" t="str">
        <f t="array" ref="T37">INDEX('QC Deviation Record Hall 2'!$C$119:$C$220,MATCH(Table11[[#This Row],[Defect العيب]],'QC Deviation Record Hall 2'!$B$119:$B$220,0))</f>
        <v/>
      </c>
      <c r="U37" s="207" t="str">
        <f t="array" ref="U37">INDEX('QC Deviation Record Hall 2'!$D$119:$D$220,MATCH(Table11[[#This Row],[Defect العيب]],'QC Deviation Record Hall 2'!$B$119:$B$220,0))</f>
        <v/>
      </c>
      <c r="V37" s="207" t="str">
        <f t="array" ref="V37">INDEX('QC Deviation Record Hall 2'!$E$119:$E$220,MATCH(Table11[[#This Row],[Defect العيب]],'QC Deviation Record Hall 2'!$B$119:$B$220,0))</f>
        <v/>
      </c>
      <c r="W37" s="207" t="str">
        <f t="array" ref="W37">INDEX('QC Deviation Record Hall 2'!$F$119:$F$220,MATCH(Table11[[#This Row],[Defect العيب]],'QC Deviation Record Hall 2'!$B$119:$B$220,0))</f>
        <v/>
      </c>
      <c r="X37" s="207" t="str">
        <f t="array" ref="X37">INDEX('QC Deviation Record Hall 2'!$G$119:$G$220,MATCH(Table11[[#This Row],[Defect العيب]],'QC Deviation Record Hall 2'!$B$119:$B$220,0))</f>
        <v/>
      </c>
      <c r="Y37" s="207" t="str">
        <f t="array" ref="Y37">INDEX('QC Deviation Record Hall 2'!$H$119:$H$220,MATCH(Table11[[#This Row],[Defect العيب]],'QC Deviation Record Hall 2'!$B$119:$B$220,0))</f>
        <v/>
      </c>
      <c r="Z37" s="207" t="str">
        <f t="array" ref="Z37">INDEX('QC Deviation Record Hall 2'!$I$119:$I$220,MATCH(Table11[[#This Row],[Defect العيب]],'QC Deviation Record Hall 2'!$B$119:$B$220,0))</f>
        <v/>
      </c>
      <c r="AA37" s="207" t="str">
        <f t="array" ref="AA37">INDEX('QC Deviation Record Hall 2'!$J$119:$J$220,MATCH(Table11[[#This Row],[Defect العيب]],'QC Deviation Record Hall 2'!$B$119:$B$220,0))</f>
        <v/>
      </c>
      <c r="AB37" s="207" t="str">
        <f t="array" ref="AB37">INDEX('QC Deviation Record Hall 2'!$K$119:$K$220,MATCH(Table11[[#This Row],[Defect العيب]],'QC Deviation Record Hall 2'!$B$119:$B$220,0))</f>
        <v/>
      </c>
      <c r="AC37" s="208" t="str">
        <f t="array" ref="AC37">INDEX('QC Deviation Record Hall 2'!$L$119:$L$220,MATCH(Table11[[#This Row],[Defect العيب]],'QC Deviation Record Hall 2'!$B$119:$B$220,0))</f>
        <v/>
      </c>
      <c r="AF37" s="183" t="str">
        <f t="array" ref="AF37">INDEX('QC Deviation Record Hall 3'!$A$119:$A$220,MATCH(Table111[[#This Row],[Defect العيب]],'QC Deviation Record Hall 3'!$B$119:$B$220,0))</f>
        <v>AD03</v>
      </c>
      <c r="AG37" s="87" t="str">
        <f t="array" ref="AG37">INDEX('QC Deviation Record Hall 3'!$B$119:$B$220,MATCH(LARGE('QC Deviation Record Hall 3'!$M$119:$M$220-ROW('QC Deviation Record Hall 3'!$M$119:$M$220)/10000000,ROW(A3)),'QC Deviation Record Hall 3'!$M$119:$M$220-ROW('QC Deviation Record Hall 3'!$M$119:$M$220)/10000000,0))</f>
        <v>نوع إضافات غير مطابق للوصفة</v>
      </c>
      <c r="AH37" s="87"/>
      <c r="AI37" s="207" t="str">
        <f t="array" ref="AI37">INDEX('QC Deviation Record Hall 3'!$C$119:$C$220,MATCH(Table111[[#This Row],[Defect العيب]],'QC Deviation Record Hall 3'!$B$119:$B$220,0))</f>
        <v/>
      </c>
      <c r="AJ37" s="207" t="str">
        <f t="array" ref="AJ37">INDEX('QC Deviation Record Hall 3'!$D$119:$D$220,MATCH(Table111[[#This Row],[Defect العيب]],'QC Deviation Record Hall 3'!$B$119:$B$220,0))</f>
        <v/>
      </c>
      <c r="AK37" s="207" t="str">
        <f t="array" ref="AK37">INDEX('QC Deviation Record Hall 3'!$E$119:$E$220,MATCH(Table111[[#This Row],[Defect العيب]],'QC Deviation Record Hall 3'!$B$119:$B$220,0))</f>
        <v/>
      </c>
      <c r="AL37" s="207" t="str">
        <f t="array" ref="AL37">INDEX('QC Deviation Record Hall 3'!$F$119:$F$220,MATCH(Table111[[#This Row],[Defect العيب]],'QC Deviation Record Hall 3'!$B$119:$B$220,0))</f>
        <v/>
      </c>
      <c r="AM37" s="207" t="str">
        <f t="array" ref="AM37">INDEX('QC Deviation Record Hall 3'!$G$119:$G$220,MATCH(Table111[[#This Row],[Defect العيب]],'QC Deviation Record Hall 3'!$B$119:$B$220,0))</f>
        <v/>
      </c>
      <c r="AN37" s="207" t="str">
        <f t="array" ref="AN37">INDEX('QC Deviation Record Hall 3'!$H$119:$H$220,MATCH(Table111[[#This Row],[Defect العيب]],'QC Deviation Record Hall 3'!$B$119:$B$220,0))</f>
        <v/>
      </c>
      <c r="AO37" s="207" t="str">
        <f t="array" ref="AO37">INDEX('QC Deviation Record Hall 3'!$I$119:$I$220,MATCH(Table111[[#This Row],[Defect العيب]],'QC Deviation Record Hall 3'!$B$119:$B$220,0))</f>
        <v/>
      </c>
      <c r="AP37" s="207" t="str">
        <f t="array" ref="AP37">INDEX('QC Deviation Record Hall 3'!$J$119:$J$220,MATCH(Table111[[#This Row],[Defect العيب]],'QC Deviation Record Hall 3'!$B$119:$B$220,0))</f>
        <v/>
      </c>
      <c r="AQ37" s="207" t="str">
        <f t="array" ref="AQ37">INDEX('QC Deviation Record Hall 3'!$K$119:$K$220,MATCH(Table111[[#This Row],[Defect العيب]],'QC Deviation Record Hall 3'!$B$119:$B$220,0))</f>
        <v/>
      </c>
      <c r="AR37" s="208" t="str">
        <f t="array" ref="AR37">INDEX('QC Deviation Record Hall 3'!$L$119:$L$220,MATCH(Table111[[#This Row],[Defect العيب]],'QC Deviation Record Hall 3'!$B$119:$B$220,0))</f>
        <v/>
      </c>
    </row>
    <row r="38" spans="1:44" s="85" customFormat="1" ht="180.5" customHeight="1" x14ac:dyDescent="0.15">
      <c r="A38" s="183" t="str">
        <f t="array" ref="A38">INDEX('QC Deviation Record Hall 1 '!$A$120:$A$221,MATCH(Table7[[#This Row],[Defect العيب]],'QC Deviation Record Hall 1 '!$B$120:$B$221,0))</f>
        <v>AD04</v>
      </c>
      <c r="B38" s="87" t="str">
        <f t="array" ref="B38">INDEX('QC Deviation Record Hall 1 '!$B$120:$B$221,MATCH(LARGE('QC Deviation Record Hall 1 '!$O$120:$O$221-ROW('QC Deviation Record Hall 1 '!$O$120:$O$221)/10000000,ROW(A4)),'QC Deviation Record Hall 1 '!$O$120:$O$221-ROW('QC Deviation Record Hall 1 '!$O$120:$O$221)/10000000,0))</f>
        <v xml:space="preserve">عدم وجود إضافة / إنسداد فى كل العيون   </v>
      </c>
      <c r="C38" s="87"/>
      <c r="D38" s="207" t="str">
        <f t="array" ref="D38">INDEX('QC Deviation Record Hall 1 '!$C$120:$C$221,MATCH(Table7[[#This Row],[Defect العيب]],'QC Deviation Record Hall 1 '!$B$120:$B$221,0))</f>
        <v/>
      </c>
      <c r="E38" s="207" t="str">
        <f t="array" ref="E38">INDEX('QC Deviation Record Hall 1 '!$D$120:$D$221,MATCH(Table7[[#This Row],[Defect العيب]],'QC Deviation Record Hall 1 '!$B$120:$B$221,0))</f>
        <v/>
      </c>
      <c r="F38" s="207" t="str">
        <f t="array" ref="F38">INDEX('QC Deviation Record Hall 1 '!$E$120:$E$221,MATCH(Table7[[#This Row],[Defect العيب]],'QC Deviation Record Hall 1 '!$B$120:$B$221,0))</f>
        <v/>
      </c>
      <c r="G38" s="207" t="str">
        <f t="array" ref="G38">INDEX('QC Deviation Record Hall 1 '!$F$120:$F$221,MATCH(Table7[[#This Row],[Defect العيب]],'QC Deviation Record Hall 1 '!$B$120:$B$221,0))</f>
        <v/>
      </c>
      <c r="H38" s="207" t="str">
        <f t="array" ref="H38">INDEX('QC Deviation Record Hall 1 '!$G$120:$G$221,MATCH(Table7[[#This Row],[Defect العيب]],'QC Deviation Record Hall 1 '!$B$120:$B$221,0))</f>
        <v/>
      </c>
      <c r="I38" s="207" t="str">
        <f t="array" ref="I38">INDEX('QC Deviation Record Hall 1 '!$H$120:$H$221,MATCH(Table7[[#This Row],[Defect العيب]],'QC Deviation Record Hall 1 '!$B$120:$B$221,0))</f>
        <v/>
      </c>
      <c r="J38" s="207" t="str">
        <f t="array" ref="J38">INDEX('QC Deviation Record Hall 1 '!$I$120:$I$221,MATCH(Table7[[#This Row],[Defect العيب]],'QC Deviation Record Hall 1 '!$B$120:$B$221,0))</f>
        <v/>
      </c>
      <c r="K38" s="207" t="str">
        <f t="array" ref="K38">INDEX('QC Deviation Record Hall 1 '!$J$120:$J$221,MATCH(Table7[[#This Row],[Defect العيب]],'QC Deviation Record Hall 1 '!$B$120:$B$221,0))</f>
        <v/>
      </c>
      <c r="L38" s="207" t="str">
        <f t="array" ref="L38">INDEX('QC Deviation Record Hall 1 '!$K$120:$K$221,MATCH(Table7[[#This Row],[Defect العيب]],'QC Deviation Record Hall 1 '!$B$120:$B$221,0))</f>
        <v/>
      </c>
      <c r="M38" s="207" t="str">
        <f t="array" ref="M38">INDEX('QC Deviation Record Hall 1 '!$L$120:$L$221,MATCH(Table7[[#This Row],[Defect العيب]],'QC Deviation Record Hall 1 '!$B$120:$B$221,0))</f>
        <v/>
      </c>
      <c r="N38" s="207" t="str">
        <f t="array" ref="N38">INDEX('QC Deviation Record Hall 1 '!$M$120:$M$221,MATCH(Table7[[#This Row],[Defect العيب]],'QC Deviation Record Hall 1 '!$B$120:$B$221,0))</f>
        <v/>
      </c>
      <c r="O38" s="208" t="str">
        <f t="array" ref="O38">INDEX('QC Deviation Record Hall 1 '!$N$120:$N$221,MATCH(Table7[[#This Row],[Defect العيب]],'QC Deviation Record Hall 1 '!$B$120:$B$221,0))</f>
        <v/>
      </c>
      <c r="Q38" s="183" t="str">
        <f t="array" ref="Q38">INDEX('QC Deviation Record Hall 2'!$A$119:$A$220,MATCH(Table11[[#This Row],[Defect العيب]],'QC Deviation Record Hall 2'!$B$119:$B$220,0))</f>
        <v>AD04</v>
      </c>
      <c r="R38" s="87" t="str">
        <f t="array" ref="R38">INDEX('QC Deviation Record Hall 2'!$B$119:$B$220,MATCH(LARGE('QC Deviation Record Hall 2'!$M$119:$M$220-ROW('QC Deviation Record Hall 2'!$M$119:$M$220)/10000000,ROW(A4)),'QC Deviation Record Hall 2'!$M$119:$M$220-ROW('QC Deviation Record Hall 2'!$M$119:$M$220)/10000000,0))</f>
        <v xml:space="preserve">عدم وجود إضافة / إنسداد فى كل العيون   </v>
      </c>
      <c r="S38" s="87"/>
      <c r="T38" s="207" t="str">
        <f t="array" ref="T38">INDEX('QC Deviation Record Hall 2'!$C$119:$C$220,MATCH(Table11[[#This Row],[Defect العيب]],'QC Deviation Record Hall 2'!$B$119:$B$220,0))</f>
        <v/>
      </c>
      <c r="U38" s="207" t="str">
        <f t="array" ref="U38">INDEX('QC Deviation Record Hall 2'!$D$119:$D$220,MATCH(Table11[[#This Row],[Defect العيب]],'QC Deviation Record Hall 2'!$B$119:$B$220,0))</f>
        <v/>
      </c>
      <c r="V38" s="207" t="str">
        <f t="array" ref="V38">INDEX('QC Deviation Record Hall 2'!$E$119:$E$220,MATCH(Table11[[#This Row],[Defect العيب]],'QC Deviation Record Hall 2'!$B$119:$B$220,0))</f>
        <v/>
      </c>
      <c r="W38" s="207" t="str">
        <f t="array" ref="W38">INDEX('QC Deviation Record Hall 2'!$F$119:$F$220,MATCH(Table11[[#This Row],[Defect العيب]],'QC Deviation Record Hall 2'!$B$119:$B$220,0))</f>
        <v/>
      </c>
      <c r="X38" s="207" t="str">
        <f t="array" ref="X38">INDEX('QC Deviation Record Hall 2'!$G$119:$G$220,MATCH(Table11[[#This Row],[Defect العيب]],'QC Deviation Record Hall 2'!$B$119:$B$220,0))</f>
        <v/>
      </c>
      <c r="Y38" s="207" t="str">
        <f t="array" ref="Y38">INDEX('QC Deviation Record Hall 2'!$H$119:$H$220,MATCH(Table11[[#This Row],[Defect العيب]],'QC Deviation Record Hall 2'!$B$119:$B$220,0))</f>
        <v/>
      </c>
      <c r="Z38" s="207" t="str">
        <f t="array" ref="Z38">INDEX('QC Deviation Record Hall 2'!$I$119:$I$220,MATCH(Table11[[#This Row],[Defect العيب]],'QC Deviation Record Hall 2'!$B$119:$B$220,0))</f>
        <v/>
      </c>
      <c r="AA38" s="207" t="str">
        <f t="array" ref="AA38">INDEX('QC Deviation Record Hall 2'!$J$119:$J$220,MATCH(Table11[[#This Row],[Defect العيب]],'QC Deviation Record Hall 2'!$B$119:$B$220,0))</f>
        <v/>
      </c>
      <c r="AB38" s="207" t="str">
        <f t="array" ref="AB38">INDEX('QC Deviation Record Hall 2'!$K$119:$K$220,MATCH(Table11[[#This Row],[Defect العيب]],'QC Deviation Record Hall 2'!$B$119:$B$220,0))</f>
        <v/>
      </c>
      <c r="AC38" s="208" t="str">
        <f t="array" ref="AC38">INDEX('QC Deviation Record Hall 2'!$L$119:$L$220,MATCH(Table11[[#This Row],[Defect العيب]],'QC Deviation Record Hall 2'!$B$119:$B$220,0))</f>
        <v/>
      </c>
      <c r="AF38" s="183" t="str">
        <f t="array" ref="AF38">INDEX('QC Deviation Record Hall 3'!$A$119:$A$220,MATCH(Table111[[#This Row],[Defect العيب]],'QC Deviation Record Hall 3'!$B$119:$B$220,0))</f>
        <v>AD04</v>
      </c>
      <c r="AG38" s="87" t="str">
        <f t="array" ref="AG38">INDEX('QC Deviation Record Hall 3'!$B$119:$B$220,MATCH(LARGE('QC Deviation Record Hall 3'!$M$119:$M$220-ROW('QC Deviation Record Hall 3'!$M$119:$M$220)/10000000,ROW(A4)),'QC Deviation Record Hall 3'!$M$119:$M$220-ROW('QC Deviation Record Hall 3'!$M$119:$M$220)/10000000,0))</f>
        <v xml:space="preserve">عدم وجود إضافة / إنسداد فى كل العيون   </v>
      </c>
      <c r="AH38" s="87"/>
      <c r="AI38" s="207" t="str">
        <f t="array" ref="AI38">INDEX('QC Deviation Record Hall 3'!$C$119:$C$220,MATCH(Table111[[#This Row],[Defect العيب]],'QC Deviation Record Hall 3'!$B$119:$B$220,0))</f>
        <v/>
      </c>
      <c r="AJ38" s="207" t="str">
        <f t="array" ref="AJ38">INDEX('QC Deviation Record Hall 3'!$D$119:$D$220,MATCH(Table111[[#This Row],[Defect العيب]],'QC Deviation Record Hall 3'!$B$119:$B$220,0))</f>
        <v/>
      </c>
      <c r="AK38" s="207" t="str">
        <f t="array" ref="AK38">INDEX('QC Deviation Record Hall 3'!$E$119:$E$220,MATCH(Table111[[#This Row],[Defect العيب]],'QC Deviation Record Hall 3'!$B$119:$B$220,0))</f>
        <v/>
      </c>
      <c r="AL38" s="207" t="str">
        <f t="array" ref="AL38">INDEX('QC Deviation Record Hall 3'!$F$119:$F$220,MATCH(Table111[[#This Row],[Defect العيب]],'QC Deviation Record Hall 3'!$B$119:$B$220,0))</f>
        <v/>
      </c>
      <c r="AM38" s="207" t="str">
        <f t="array" ref="AM38">INDEX('QC Deviation Record Hall 3'!$G$119:$G$220,MATCH(Table111[[#This Row],[Defect العيب]],'QC Deviation Record Hall 3'!$B$119:$B$220,0))</f>
        <v/>
      </c>
      <c r="AN38" s="207" t="str">
        <f t="array" ref="AN38">INDEX('QC Deviation Record Hall 3'!$H$119:$H$220,MATCH(Table111[[#This Row],[Defect العيب]],'QC Deviation Record Hall 3'!$B$119:$B$220,0))</f>
        <v/>
      </c>
      <c r="AO38" s="207" t="str">
        <f t="array" ref="AO38">INDEX('QC Deviation Record Hall 3'!$I$119:$I$220,MATCH(Table111[[#This Row],[Defect العيب]],'QC Deviation Record Hall 3'!$B$119:$B$220,0))</f>
        <v/>
      </c>
      <c r="AP38" s="207" t="str">
        <f t="array" ref="AP38">INDEX('QC Deviation Record Hall 3'!$J$119:$J$220,MATCH(Table111[[#This Row],[Defect العيب]],'QC Deviation Record Hall 3'!$B$119:$B$220,0))</f>
        <v/>
      </c>
      <c r="AQ38" s="207" t="str">
        <f t="array" ref="AQ38">INDEX('QC Deviation Record Hall 3'!$K$119:$K$220,MATCH(Table111[[#This Row],[Defect العيب]],'QC Deviation Record Hall 3'!$B$119:$B$220,0))</f>
        <v/>
      </c>
      <c r="AR38" s="208" t="str">
        <f t="array" ref="AR38">INDEX('QC Deviation Record Hall 3'!$L$119:$L$220,MATCH(Table111[[#This Row],[Defect العيب]],'QC Deviation Record Hall 3'!$B$119:$B$220,0))</f>
        <v/>
      </c>
    </row>
    <row r="39" spans="1:44" s="85" customFormat="1" ht="180.5" customHeight="1" x14ac:dyDescent="0.15">
      <c r="A39" s="183" t="str">
        <f t="array" ref="A39">INDEX('QC Deviation Record Hall 1 '!$A$120:$A$221,MATCH(Table7[[#This Row],[Defect العيب]],'QC Deviation Record Hall 1 '!$B$120:$B$221,0))</f>
        <v>AD05</v>
      </c>
      <c r="B39" s="87" t="str">
        <f t="array" ref="B39">INDEX('QC Deviation Record Hall 1 '!$B$120:$B$221,MATCH(LARGE('QC Deviation Record Hall 1 '!$O$120:$O$221-ROW('QC Deviation Record Hall 1 '!$O$120:$O$221)/10000000,ROW(A5)),'QC Deviation Record Hall 1 '!$O$120:$O$221-ROW('QC Deviation Record Hall 1 '!$O$120:$O$221)/10000000,0))</f>
        <v xml:space="preserve">عدم وجود إضافة / إنسداد فى بعض العيون   </v>
      </c>
      <c r="C39" s="87"/>
      <c r="D39" s="207" t="str">
        <f t="array" ref="D39">INDEX('QC Deviation Record Hall 1 '!$C$120:$C$221,MATCH(Table7[[#This Row],[Defect العيب]],'QC Deviation Record Hall 1 '!$B$120:$B$221,0))</f>
        <v/>
      </c>
      <c r="E39" s="207" t="str">
        <f t="array" ref="E39">INDEX('QC Deviation Record Hall 1 '!$D$120:$D$221,MATCH(Table7[[#This Row],[Defect العيب]],'QC Deviation Record Hall 1 '!$B$120:$B$221,0))</f>
        <v/>
      </c>
      <c r="F39" s="207" t="str">
        <f t="array" ref="F39">INDEX('QC Deviation Record Hall 1 '!$E$120:$E$221,MATCH(Table7[[#This Row],[Defect العيب]],'QC Deviation Record Hall 1 '!$B$120:$B$221,0))</f>
        <v/>
      </c>
      <c r="G39" s="207" t="str">
        <f t="array" ref="G39">INDEX('QC Deviation Record Hall 1 '!$F$120:$F$221,MATCH(Table7[[#This Row],[Defect العيب]],'QC Deviation Record Hall 1 '!$B$120:$B$221,0))</f>
        <v/>
      </c>
      <c r="H39" s="207" t="str">
        <f t="array" ref="H39">INDEX('QC Deviation Record Hall 1 '!$G$120:$G$221,MATCH(Table7[[#This Row],[Defect العيب]],'QC Deviation Record Hall 1 '!$B$120:$B$221,0))</f>
        <v/>
      </c>
      <c r="I39" s="207" t="str">
        <f t="array" ref="I39">INDEX('QC Deviation Record Hall 1 '!$H$120:$H$221,MATCH(Table7[[#This Row],[Defect العيب]],'QC Deviation Record Hall 1 '!$B$120:$B$221,0))</f>
        <v/>
      </c>
      <c r="J39" s="207" t="str">
        <f t="array" ref="J39">INDEX('QC Deviation Record Hall 1 '!$I$120:$I$221,MATCH(Table7[[#This Row],[Defect العيب]],'QC Deviation Record Hall 1 '!$B$120:$B$221,0))</f>
        <v/>
      </c>
      <c r="K39" s="207" t="str">
        <f t="array" ref="K39">INDEX('QC Deviation Record Hall 1 '!$J$120:$J$221,MATCH(Table7[[#This Row],[Defect العيب]],'QC Deviation Record Hall 1 '!$B$120:$B$221,0))</f>
        <v/>
      </c>
      <c r="L39" s="207" t="str">
        <f t="array" ref="L39">INDEX('QC Deviation Record Hall 1 '!$K$120:$K$221,MATCH(Table7[[#This Row],[Defect العيب]],'QC Deviation Record Hall 1 '!$B$120:$B$221,0))</f>
        <v/>
      </c>
      <c r="M39" s="207" t="str">
        <f t="array" ref="M39">INDEX('QC Deviation Record Hall 1 '!$L$120:$L$221,MATCH(Table7[[#This Row],[Defect العيب]],'QC Deviation Record Hall 1 '!$B$120:$B$221,0))</f>
        <v/>
      </c>
      <c r="N39" s="207" t="str">
        <f t="array" ref="N39">INDEX('QC Deviation Record Hall 1 '!$M$120:$M$221,MATCH(Table7[[#This Row],[Defect العيب]],'QC Deviation Record Hall 1 '!$B$120:$B$221,0))</f>
        <v/>
      </c>
      <c r="O39" s="208" t="str">
        <f t="array" ref="O39">INDEX('QC Deviation Record Hall 1 '!$N$120:$N$221,MATCH(Table7[[#This Row],[Defect العيب]],'QC Deviation Record Hall 1 '!$B$120:$B$221,0))</f>
        <v/>
      </c>
      <c r="Q39" s="183" t="str">
        <f t="array" ref="Q39">INDEX('QC Deviation Record Hall 2'!$A$119:$A$220,MATCH(Table11[[#This Row],[Defect العيب]],'QC Deviation Record Hall 2'!$B$119:$B$220,0))</f>
        <v>AD05</v>
      </c>
      <c r="R39" s="87" t="str">
        <f t="array" ref="R39">INDEX('QC Deviation Record Hall 2'!$B$119:$B$220,MATCH(LARGE('QC Deviation Record Hall 2'!$M$119:$M$220-ROW('QC Deviation Record Hall 2'!$M$119:$M$220)/10000000,ROW(A5)),'QC Deviation Record Hall 2'!$M$119:$M$220-ROW('QC Deviation Record Hall 2'!$M$119:$M$220)/10000000,0))</f>
        <v xml:space="preserve">عدم وجود إضافة / إنسداد فى بعض العيون   </v>
      </c>
      <c r="S39" s="87"/>
      <c r="T39" s="207" t="str">
        <f t="array" ref="T39">INDEX('QC Deviation Record Hall 2'!$C$119:$C$220,MATCH(Table11[[#This Row],[Defect العيب]],'QC Deviation Record Hall 2'!$B$119:$B$220,0))</f>
        <v/>
      </c>
      <c r="U39" s="207" t="str">
        <f t="array" ref="U39">INDEX('QC Deviation Record Hall 2'!$D$119:$D$220,MATCH(Table11[[#This Row],[Defect العيب]],'QC Deviation Record Hall 2'!$B$119:$B$220,0))</f>
        <v/>
      </c>
      <c r="V39" s="207" t="str">
        <f t="array" ref="V39">INDEX('QC Deviation Record Hall 2'!$E$119:$E$220,MATCH(Table11[[#This Row],[Defect العيب]],'QC Deviation Record Hall 2'!$B$119:$B$220,0))</f>
        <v/>
      </c>
      <c r="W39" s="207" t="str">
        <f t="array" ref="W39">INDEX('QC Deviation Record Hall 2'!$F$119:$F$220,MATCH(Table11[[#This Row],[Defect العيب]],'QC Deviation Record Hall 2'!$B$119:$B$220,0))</f>
        <v/>
      </c>
      <c r="X39" s="207" t="str">
        <f t="array" ref="X39">INDEX('QC Deviation Record Hall 2'!$G$119:$G$220,MATCH(Table11[[#This Row],[Defect العيب]],'QC Deviation Record Hall 2'!$B$119:$B$220,0))</f>
        <v/>
      </c>
      <c r="Y39" s="207" t="str">
        <f t="array" ref="Y39">INDEX('QC Deviation Record Hall 2'!$H$119:$H$220,MATCH(Table11[[#This Row],[Defect العيب]],'QC Deviation Record Hall 2'!$B$119:$B$220,0))</f>
        <v/>
      </c>
      <c r="Z39" s="207" t="str">
        <f t="array" ref="Z39">INDEX('QC Deviation Record Hall 2'!$I$119:$I$220,MATCH(Table11[[#This Row],[Defect العيب]],'QC Deviation Record Hall 2'!$B$119:$B$220,0))</f>
        <v/>
      </c>
      <c r="AA39" s="207" t="str">
        <f t="array" ref="AA39">INDEX('QC Deviation Record Hall 2'!$J$119:$J$220,MATCH(Table11[[#This Row],[Defect العيب]],'QC Deviation Record Hall 2'!$B$119:$B$220,0))</f>
        <v/>
      </c>
      <c r="AB39" s="207" t="str">
        <f t="array" ref="AB39">INDEX('QC Deviation Record Hall 2'!$K$119:$K$220,MATCH(Table11[[#This Row],[Defect العيب]],'QC Deviation Record Hall 2'!$B$119:$B$220,0))</f>
        <v/>
      </c>
      <c r="AC39" s="208" t="str">
        <f t="array" ref="AC39">INDEX('QC Deviation Record Hall 2'!$L$119:$L$220,MATCH(Table11[[#This Row],[Defect العيب]],'QC Deviation Record Hall 2'!$B$119:$B$220,0))</f>
        <v/>
      </c>
      <c r="AF39" s="183" t="str">
        <f t="array" ref="AF39">INDEX('QC Deviation Record Hall 3'!$A$119:$A$220,MATCH(Table111[[#This Row],[Defect العيب]],'QC Deviation Record Hall 3'!$B$119:$B$220,0))</f>
        <v>AD05</v>
      </c>
      <c r="AG39" s="87" t="str">
        <f t="array" ref="AG39">INDEX('QC Deviation Record Hall 3'!$B$119:$B$220,MATCH(LARGE('QC Deviation Record Hall 3'!$M$119:$M$220-ROW('QC Deviation Record Hall 3'!$M$119:$M$220)/10000000,ROW(A5)),'QC Deviation Record Hall 3'!$M$119:$M$220-ROW('QC Deviation Record Hall 3'!$M$119:$M$220)/10000000,0))</f>
        <v xml:space="preserve">عدم وجود إضافة / إنسداد فى بعض العيون   </v>
      </c>
      <c r="AH39" s="87"/>
      <c r="AI39" s="207" t="str">
        <f t="array" ref="AI39">INDEX('QC Deviation Record Hall 3'!$C$119:$C$220,MATCH(Table111[[#This Row],[Defect العيب]],'QC Deviation Record Hall 3'!$B$119:$B$220,0))</f>
        <v/>
      </c>
      <c r="AJ39" s="207" t="str">
        <f t="array" ref="AJ39">INDEX('QC Deviation Record Hall 3'!$D$119:$D$220,MATCH(Table111[[#This Row],[Defect العيب]],'QC Deviation Record Hall 3'!$B$119:$B$220,0))</f>
        <v/>
      </c>
      <c r="AK39" s="207" t="str">
        <f t="array" ref="AK39">INDEX('QC Deviation Record Hall 3'!$E$119:$E$220,MATCH(Table111[[#This Row],[Defect العيب]],'QC Deviation Record Hall 3'!$B$119:$B$220,0))</f>
        <v/>
      </c>
      <c r="AL39" s="207" t="str">
        <f t="array" ref="AL39">INDEX('QC Deviation Record Hall 3'!$F$119:$F$220,MATCH(Table111[[#This Row],[Defect العيب]],'QC Deviation Record Hall 3'!$B$119:$B$220,0))</f>
        <v/>
      </c>
      <c r="AM39" s="207" t="str">
        <f t="array" ref="AM39">INDEX('QC Deviation Record Hall 3'!$G$119:$G$220,MATCH(Table111[[#This Row],[Defect العيب]],'QC Deviation Record Hall 3'!$B$119:$B$220,0))</f>
        <v/>
      </c>
      <c r="AN39" s="207" t="str">
        <f t="array" ref="AN39">INDEX('QC Deviation Record Hall 3'!$H$119:$H$220,MATCH(Table111[[#This Row],[Defect العيب]],'QC Deviation Record Hall 3'!$B$119:$B$220,0))</f>
        <v/>
      </c>
      <c r="AO39" s="207" t="str">
        <f t="array" ref="AO39">INDEX('QC Deviation Record Hall 3'!$I$119:$I$220,MATCH(Table111[[#This Row],[Defect العيب]],'QC Deviation Record Hall 3'!$B$119:$B$220,0))</f>
        <v/>
      </c>
      <c r="AP39" s="207" t="str">
        <f t="array" ref="AP39">INDEX('QC Deviation Record Hall 3'!$J$119:$J$220,MATCH(Table111[[#This Row],[Defect العيب]],'QC Deviation Record Hall 3'!$B$119:$B$220,0))</f>
        <v/>
      </c>
      <c r="AQ39" s="207" t="str">
        <f t="array" ref="AQ39">INDEX('QC Deviation Record Hall 3'!$K$119:$K$220,MATCH(Table111[[#This Row],[Defect العيب]],'QC Deviation Record Hall 3'!$B$119:$B$220,0))</f>
        <v/>
      </c>
      <c r="AR39" s="208" t="str">
        <f t="array" ref="AR39">INDEX('QC Deviation Record Hall 3'!$L$119:$L$220,MATCH(Table111[[#This Row],[Defect العيب]],'QC Deviation Record Hall 3'!$B$119:$B$220,0))</f>
        <v/>
      </c>
    </row>
    <row r="40" spans="1:44" s="85" customFormat="1" ht="180.5" customHeight="1" x14ac:dyDescent="0.15">
      <c r="A40" s="183" t="str">
        <f t="array" ref="A40">INDEX('QC Deviation Record Hall 1 '!$A$120:$A$221,MATCH(Table7[[#This Row],[Defect العيب]],'QC Deviation Record Hall 1 '!$B$120:$B$221,0))</f>
        <v>CHEM01</v>
      </c>
      <c r="B40" s="87" t="str">
        <f t="array" ref="B40">INDEX('QC Deviation Record Hall 1 '!$B$120:$B$221,MATCH(LARGE('QC Deviation Record Hall 1 '!$O$120:$O$221-ROW('QC Deviation Record Hall 1 '!$O$120:$O$221)/10000000,ROW(A7)),'QC Deviation Record Hall 1 '!$O$120:$O$221-ROW('QC Deviation Record Hall 1 '!$O$120:$O$221)/10000000,0))</f>
        <v xml:space="preserve">خطر كيميائى </v>
      </c>
      <c r="C40" s="87"/>
      <c r="D40" s="207" t="str">
        <f t="array" ref="D40">INDEX('QC Deviation Record Hall 1 '!$C$120:$C$221,MATCH(Table7[[#This Row],[Defect العيب]],'QC Deviation Record Hall 1 '!$B$120:$B$221,0))</f>
        <v/>
      </c>
      <c r="E40" s="207" t="str">
        <f t="array" ref="E40">INDEX('QC Deviation Record Hall 1 '!$D$120:$D$221,MATCH(Table7[[#This Row],[Defect العيب]],'QC Deviation Record Hall 1 '!$B$120:$B$221,0))</f>
        <v/>
      </c>
      <c r="F40" s="207" t="str">
        <f t="array" ref="F40">INDEX('QC Deviation Record Hall 1 '!$E$120:$E$221,MATCH(Table7[[#This Row],[Defect العيب]],'QC Deviation Record Hall 1 '!$B$120:$B$221,0))</f>
        <v/>
      </c>
      <c r="G40" s="207" t="str">
        <f t="array" ref="G40">INDEX('QC Deviation Record Hall 1 '!$F$120:$F$221,MATCH(Table7[[#This Row],[Defect العيب]],'QC Deviation Record Hall 1 '!$B$120:$B$221,0))</f>
        <v/>
      </c>
      <c r="H40" s="207" t="str">
        <f t="array" ref="H40">INDEX('QC Deviation Record Hall 1 '!$G$120:$G$221,MATCH(Table7[[#This Row],[Defect العيب]],'QC Deviation Record Hall 1 '!$B$120:$B$221,0))</f>
        <v/>
      </c>
      <c r="I40" s="207" t="str">
        <f t="array" ref="I40">INDEX('QC Deviation Record Hall 1 '!$H$120:$H$221,MATCH(Table7[[#This Row],[Defect العيب]],'QC Deviation Record Hall 1 '!$B$120:$B$221,0))</f>
        <v/>
      </c>
      <c r="J40" s="207" t="str">
        <f t="array" ref="J40">INDEX('QC Deviation Record Hall 1 '!$I$120:$I$221,MATCH(Table7[[#This Row],[Defect العيب]],'QC Deviation Record Hall 1 '!$B$120:$B$221,0))</f>
        <v/>
      </c>
      <c r="K40" s="207" t="str">
        <f t="array" ref="K40">INDEX('QC Deviation Record Hall 1 '!$J$120:$J$221,MATCH(Table7[[#This Row],[Defect العيب]],'QC Deviation Record Hall 1 '!$B$120:$B$221,0))</f>
        <v/>
      </c>
      <c r="L40" s="207" t="str">
        <f t="array" ref="L40">INDEX('QC Deviation Record Hall 1 '!$K$120:$K$221,MATCH(Table7[[#This Row],[Defect العيب]],'QC Deviation Record Hall 1 '!$B$120:$B$221,0))</f>
        <v/>
      </c>
      <c r="M40" s="207" t="str">
        <f t="array" ref="M40">INDEX('QC Deviation Record Hall 1 '!$L$120:$L$221,MATCH(Table7[[#This Row],[Defect العيب]],'QC Deviation Record Hall 1 '!$B$120:$B$221,0))</f>
        <v/>
      </c>
      <c r="N40" s="207" t="str">
        <f t="array" ref="N40">INDEX('QC Deviation Record Hall 1 '!$M$120:$M$221,MATCH(Table7[[#This Row],[Defect العيب]],'QC Deviation Record Hall 1 '!$B$120:$B$221,0))</f>
        <v/>
      </c>
      <c r="O40" s="208" t="str">
        <f t="array" ref="O40">INDEX('QC Deviation Record Hall 1 '!$N$120:$N$221,MATCH(Table7[[#This Row],[Defect العيب]],'QC Deviation Record Hall 1 '!$B$120:$B$221,0))</f>
        <v/>
      </c>
      <c r="Q40" s="183" t="str">
        <f t="array" ref="Q40">INDEX('QC Deviation Record Hall 2'!$A$119:$A$220,MATCH(Table11[[#This Row],[Defect العيب]],'QC Deviation Record Hall 2'!$B$119:$B$220,0))</f>
        <v>CHEM01</v>
      </c>
      <c r="R40" s="87" t="str">
        <f t="array" ref="R40">INDEX('QC Deviation Record Hall 2'!$B$119:$B$220,MATCH(LARGE('QC Deviation Record Hall 2'!$M$119:$M$220-ROW('QC Deviation Record Hall 2'!$M$119:$M$220)/10000000,ROW(A7)),'QC Deviation Record Hall 2'!$M$119:$M$220-ROW('QC Deviation Record Hall 2'!$M$119:$M$220)/10000000,0))</f>
        <v xml:space="preserve">خطر كيميائى </v>
      </c>
      <c r="S40" s="87"/>
      <c r="T40" s="207" t="str">
        <f t="array" ref="T40">INDEX('QC Deviation Record Hall 2'!$C$119:$C$220,MATCH(Table11[[#This Row],[Defect العيب]],'QC Deviation Record Hall 2'!$B$119:$B$220,0))</f>
        <v/>
      </c>
      <c r="U40" s="207" t="str">
        <f t="array" ref="U40">INDEX('QC Deviation Record Hall 2'!$D$119:$D$220,MATCH(Table11[[#This Row],[Defect العيب]],'QC Deviation Record Hall 2'!$B$119:$B$220,0))</f>
        <v/>
      </c>
      <c r="V40" s="207" t="str">
        <f t="array" ref="V40">INDEX('QC Deviation Record Hall 2'!$E$119:$E$220,MATCH(Table11[[#This Row],[Defect العيب]],'QC Deviation Record Hall 2'!$B$119:$B$220,0))</f>
        <v/>
      </c>
      <c r="W40" s="207" t="str">
        <f t="array" ref="W40">INDEX('QC Deviation Record Hall 2'!$F$119:$F$220,MATCH(Table11[[#This Row],[Defect العيب]],'QC Deviation Record Hall 2'!$B$119:$B$220,0))</f>
        <v/>
      </c>
      <c r="X40" s="207" t="str">
        <f t="array" ref="X40">INDEX('QC Deviation Record Hall 2'!$G$119:$G$220,MATCH(Table11[[#This Row],[Defect العيب]],'QC Deviation Record Hall 2'!$B$119:$B$220,0))</f>
        <v/>
      </c>
      <c r="Y40" s="207" t="str">
        <f t="array" ref="Y40">INDEX('QC Deviation Record Hall 2'!$H$119:$H$220,MATCH(Table11[[#This Row],[Defect العيب]],'QC Deviation Record Hall 2'!$B$119:$B$220,0))</f>
        <v/>
      </c>
      <c r="Z40" s="207" t="str">
        <f t="array" ref="Z40">INDEX('QC Deviation Record Hall 2'!$I$119:$I$220,MATCH(Table11[[#This Row],[Defect العيب]],'QC Deviation Record Hall 2'!$B$119:$B$220,0))</f>
        <v/>
      </c>
      <c r="AA40" s="207" t="str">
        <f t="array" ref="AA40">INDEX('QC Deviation Record Hall 2'!$J$119:$J$220,MATCH(Table11[[#This Row],[Defect العيب]],'QC Deviation Record Hall 2'!$B$119:$B$220,0))</f>
        <v/>
      </c>
      <c r="AB40" s="207" t="str">
        <f t="array" ref="AB40">INDEX('QC Deviation Record Hall 2'!$K$119:$K$220,MATCH(Table11[[#This Row],[Defect العيب]],'QC Deviation Record Hall 2'!$B$119:$B$220,0))</f>
        <v/>
      </c>
      <c r="AC40" s="208" t="str">
        <f t="array" ref="AC40">INDEX('QC Deviation Record Hall 2'!$L$119:$L$220,MATCH(Table11[[#This Row],[Defect العيب]],'QC Deviation Record Hall 2'!$B$119:$B$220,0))</f>
        <v/>
      </c>
      <c r="AF40" s="183" t="str">
        <f t="array" ref="AF40">INDEX('QC Deviation Record Hall 3'!$A$119:$A$220,MATCH(Table111[[#This Row],[Defect العيب]],'QC Deviation Record Hall 3'!$B$119:$B$220,0))</f>
        <v>CHEM01</v>
      </c>
      <c r="AG40" s="87" t="str">
        <f t="array" ref="AG40">INDEX('QC Deviation Record Hall 3'!$B$119:$B$220,MATCH(LARGE('QC Deviation Record Hall 3'!$M$119:$M$220-ROW('QC Deviation Record Hall 3'!$M$119:$M$220)/10000000,ROW(A7)),'QC Deviation Record Hall 3'!$M$119:$M$220-ROW('QC Deviation Record Hall 3'!$M$119:$M$220)/10000000,0))</f>
        <v xml:space="preserve">خطر كيميائى </v>
      </c>
      <c r="AH40" s="87"/>
      <c r="AI40" s="207" t="str">
        <f t="array" ref="AI40">INDEX('QC Deviation Record Hall 3'!$C$119:$C$220,MATCH(Table111[[#This Row],[Defect العيب]],'QC Deviation Record Hall 3'!$B$119:$B$220,0))</f>
        <v/>
      </c>
      <c r="AJ40" s="207" t="str">
        <f t="array" ref="AJ40">INDEX('QC Deviation Record Hall 3'!$D$119:$D$220,MATCH(Table111[[#This Row],[Defect العيب]],'QC Deviation Record Hall 3'!$B$119:$B$220,0))</f>
        <v/>
      </c>
      <c r="AK40" s="207" t="str">
        <f t="array" ref="AK40">INDEX('QC Deviation Record Hall 3'!$E$119:$E$220,MATCH(Table111[[#This Row],[Defect العيب]],'QC Deviation Record Hall 3'!$B$119:$B$220,0))</f>
        <v/>
      </c>
      <c r="AL40" s="207" t="str">
        <f t="array" ref="AL40">INDEX('QC Deviation Record Hall 3'!$F$119:$F$220,MATCH(Table111[[#This Row],[Defect العيب]],'QC Deviation Record Hall 3'!$B$119:$B$220,0))</f>
        <v/>
      </c>
      <c r="AM40" s="207" t="str">
        <f t="array" ref="AM40">INDEX('QC Deviation Record Hall 3'!$G$119:$G$220,MATCH(Table111[[#This Row],[Defect العيب]],'QC Deviation Record Hall 3'!$B$119:$B$220,0))</f>
        <v/>
      </c>
      <c r="AN40" s="207" t="str">
        <f t="array" ref="AN40">INDEX('QC Deviation Record Hall 3'!$H$119:$H$220,MATCH(Table111[[#This Row],[Defect العيب]],'QC Deviation Record Hall 3'!$B$119:$B$220,0))</f>
        <v/>
      </c>
      <c r="AO40" s="207" t="str">
        <f t="array" ref="AO40">INDEX('QC Deviation Record Hall 3'!$I$119:$I$220,MATCH(Table111[[#This Row],[Defect العيب]],'QC Deviation Record Hall 3'!$B$119:$B$220,0))</f>
        <v/>
      </c>
      <c r="AP40" s="207" t="str">
        <f t="array" ref="AP40">INDEX('QC Deviation Record Hall 3'!$J$119:$J$220,MATCH(Table111[[#This Row],[Defect العيب]],'QC Deviation Record Hall 3'!$B$119:$B$220,0))</f>
        <v/>
      </c>
      <c r="AQ40" s="207" t="str">
        <f t="array" ref="AQ40">INDEX('QC Deviation Record Hall 3'!$K$119:$K$220,MATCH(Table111[[#This Row],[Defect العيب]],'QC Deviation Record Hall 3'!$B$119:$B$220,0))</f>
        <v/>
      </c>
      <c r="AR40" s="208" t="str">
        <f t="array" ref="AR40">INDEX('QC Deviation Record Hall 3'!$L$119:$L$220,MATCH(Table111[[#This Row],[Defect العيب]],'QC Deviation Record Hall 3'!$B$119:$B$220,0))</f>
        <v/>
      </c>
    </row>
    <row r="41" spans="1:44" s="85" customFormat="1" ht="180.5" customHeight="1" x14ac:dyDescent="0.15">
      <c r="A41" s="183" t="e">
        <f t="array" ref="A41">INDEX('QC Deviation Record Hall 1 '!$A$120:$A$221,MATCH(Table7[[#This Row],[Defect العيب]],'QC Deviation Record Hall 1 '!$B$120:$B$221,0))</f>
        <v>#N/A</v>
      </c>
      <c r="B41" s="87">
        <f t="array" ref="B41">INDEX('QC Deviation Record Hall 1 '!$B$120:$B$221,MATCH(LARGE('QC Deviation Record Hall 1 '!$O$120:$O$221-ROW('QC Deviation Record Hall 1 '!$O$120:$O$221)/10000000,ROW(A8)),'QC Deviation Record Hall 1 '!$O$120:$O$221-ROW('QC Deviation Record Hall 1 '!$O$120:$O$221)/10000000,0))</f>
        <v>0</v>
      </c>
      <c r="C41" s="87"/>
      <c r="D41" s="207" t="e">
        <f t="array" ref="D41">INDEX('QC Deviation Record Hall 1 '!$C$120:$C$221,MATCH(Table7[[#This Row],[Defect العيب]],'QC Deviation Record Hall 1 '!$B$120:$B$221,0))</f>
        <v>#N/A</v>
      </c>
      <c r="E41" s="207" t="e">
        <f t="array" ref="E41">INDEX('QC Deviation Record Hall 1 '!$D$120:$D$221,MATCH(Table7[[#This Row],[Defect العيب]],'QC Deviation Record Hall 1 '!$B$120:$B$221,0))</f>
        <v>#N/A</v>
      </c>
      <c r="F41" s="207" t="e">
        <f t="array" ref="F41">INDEX('QC Deviation Record Hall 1 '!$E$120:$E$221,MATCH(Table7[[#This Row],[Defect العيب]],'QC Deviation Record Hall 1 '!$B$120:$B$221,0))</f>
        <v>#N/A</v>
      </c>
      <c r="G41" s="207" t="e">
        <f t="array" ref="G41">INDEX('QC Deviation Record Hall 1 '!$F$120:$F$221,MATCH(Table7[[#This Row],[Defect العيب]],'QC Deviation Record Hall 1 '!$B$120:$B$221,0))</f>
        <v>#N/A</v>
      </c>
      <c r="H41" s="207" t="e">
        <f t="array" ref="H41">INDEX('QC Deviation Record Hall 1 '!$G$120:$G$221,MATCH(Table7[[#This Row],[Defect العيب]],'QC Deviation Record Hall 1 '!$B$120:$B$221,0))</f>
        <v>#N/A</v>
      </c>
      <c r="I41" s="207" t="e">
        <f t="array" ref="I41">INDEX('QC Deviation Record Hall 1 '!$H$120:$H$221,MATCH(Table7[[#This Row],[Defect العيب]],'QC Deviation Record Hall 1 '!$B$120:$B$221,0))</f>
        <v>#N/A</v>
      </c>
      <c r="J41" s="207" t="e">
        <f t="array" ref="J41">INDEX('QC Deviation Record Hall 1 '!$I$120:$I$221,MATCH(Table7[[#This Row],[Defect العيب]],'QC Deviation Record Hall 1 '!$B$120:$B$221,0))</f>
        <v>#N/A</v>
      </c>
      <c r="K41" s="207" t="e">
        <f t="array" ref="K41">INDEX('QC Deviation Record Hall 1 '!$J$120:$J$221,MATCH(Table7[[#This Row],[Defect العيب]],'QC Deviation Record Hall 1 '!$B$120:$B$221,0))</f>
        <v>#N/A</v>
      </c>
      <c r="L41" s="207" t="e">
        <f t="array" ref="L41">INDEX('QC Deviation Record Hall 1 '!$K$120:$K$221,MATCH(Table7[[#This Row],[Defect العيب]],'QC Deviation Record Hall 1 '!$B$120:$B$221,0))</f>
        <v>#N/A</v>
      </c>
      <c r="M41" s="207" t="e">
        <f t="array" ref="M41">INDEX('QC Deviation Record Hall 1 '!$L$120:$L$221,MATCH(Table7[[#This Row],[Defect العيب]],'QC Deviation Record Hall 1 '!$B$120:$B$221,0))</f>
        <v>#N/A</v>
      </c>
      <c r="N41" s="207" t="e">
        <f t="array" ref="N41">INDEX('QC Deviation Record Hall 1 '!$M$120:$M$221,MATCH(Table7[[#This Row],[Defect العيب]],'QC Deviation Record Hall 1 '!$B$120:$B$221,0))</f>
        <v>#N/A</v>
      </c>
      <c r="O41" s="208" t="e">
        <f t="array" ref="O41">INDEX('QC Deviation Record Hall 1 '!$N$120:$N$221,MATCH(Table7[[#This Row],[Defect العيب]],'QC Deviation Record Hall 1 '!$B$120:$B$221,0))</f>
        <v>#N/A</v>
      </c>
      <c r="Q41" s="183" t="e">
        <f t="array" ref="Q41">INDEX('QC Deviation Record Hall 2'!$A$119:$A$220,MATCH(Table11[[#This Row],[Defect العيب]],'QC Deviation Record Hall 2'!$B$119:$B$220,0))</f>
        <v>#N/A</v>
      </c>
      <c r="R41" s="87">
        <f t="array" ref="R41">INDEX('QC Deviation Record Hall 2'!$B$119:$B$220,MATCH(LARGE('QC Deviation Record Hall 2'!$M$119:$M$220-ROW('QC Deviation Record Hall 2'!$M$119:$M$220)/10000000,ROW(A8)),'QC Deviation Record Hall 2'!$M$119:$M$220-ROW('QC Deviation Record Hall 2'!$M$119:$M$220)/10000000,0))</f>
        <v>0</v>
      </c>
      <c r="S41" s="87"/>
      <c r="T41" s="207" t="e">
        <f t="array" ref="T41">INDEX('QC Deviation Record Hall 2'!$C$119:$C$220,MATCH(Table11[[#This Row],[Defect العيب]],'QC Deviation Record Hall 2'!$B$119:$B$220,0))</f>
        <v>#N/A</v>
      </c>
      <c r="U41" s="207" t="e">
        <f t="array" ref="U41">INDEX('QC Deviation Record Hall 2'!$D$119:$D$220,MATCH(Table11[[#This Row],[Defect العيب]],'QC Deviation Record Hall 2'!$B$119:$B$220,0))</f>
        <v>#N/A</v>
      </c>
      <c r="V41" s="207" t="e">
        <f t="array" ref="V41">INDEX('QC Deviation Record Hall 2'!$E$119:$E$220,MATCH(Table11[[#This Row],[Defect العيب]],'QC Deviation Record Hall 2'!$B$119:$B$220,0))</f>
        <v>#N/A</v>
      </c>
      <c r="W41" s="207" t="e">
        <f t="array" ref="W41">INDEX('QC Deviation Record Hall 2'!$F$119:$F$220,MATCH(Table11[[#This Row],[Defect العيب]],'QC Deviation Record Hall 2'!$B$119:$B$220,0))</f>
        <v>#N/A</v>
      </c>
      <c r="X41" s="207" t="e">
        <f t="array" ref="X41">INDEX('QC Deviation Record Hall 2'!$G$119:$G$220,MATCH(Table11[[#This Row],[Defect العيب]],'QC Deviation Record Hall 2'!$B$119:$B$220,0))</f>
        <v>#N/A</v>
      </c>
      <c r="Y41" s="207" t="e">
        <f t="array" ref="Y41">INDEX('QC Deviation Record Hall 2'!$H$119:$H$220,MATCH(Table11[[#This Row],[Defect العيب]],'QC Deviation Record Hall 2'!$B$119:$B$220,0))</f>
        <v>#N/A</v>
      </c>
      <c r="Z41" s="207" t="e">
        <f t="array" ref="Z41">INDEX('QC Deviation Record Hall 2'!$I$119:$I$220,MATCH(Table11[[#This Row],[Defect العيب]],'QC Deviation Record Hall 2'!$B$119:$B$220,0))</f>
        <v>#N/A</v>
      </c>
      <c r="AA41" s="207" t="e">
        <f t="array" ref="AA41">INDEX('QC Deviation Record Hall 2'!$J$119:$J$220,MATCH(Table11[[#This Row],[Defect العيب]],'QC Deviation Record Hall 2'!$B$119:$B$220,0))</f>
        <v>#N/A</v>
      </c>
      <c r="AB41" s="207" t="e">
        <f t="array" ref="AB41">INDEX('QC Deviation Record Hall 2'!$K$119:$K$220,MATCH(Table11[[#This Row],[Defect العيب]],'QC Deviation Record Hall 2'!$B$119:$B$220,0))</f>
        <v>#N/A</v>
      </c>
      <c r="AC41" s="208" t="e">
        <f t="array" ref="AC41">INDEX('QC Deviation Record Hall 2'!$L$119:$L$220,MATCH(Table11[[#This Row],[Defect العيب]],'QC Deviation Record Hall 2'!$B$119:$B$220,0))</f>
        <v>#N/A</v>
      </c>
      <c r="AF41" s="183" t="e">
        <f t="array" ref="AF41">INDEX('QC Deviation Record Hall 3'!$A$119:$A$220,MATCH(Table111[[#This Row],[Defect العيب]],'QC Deviation Record Hall 3'!$B$119:$B$220,0))</f>
        <v>#N/A</v>
      </c>
      <c r="AG41" s="87">
        <f t="array" ref="AG41">INDEX('QC Deviation Record Hall 3'!$B$119:$B$220,MATCH(LARGE('QC Deviation Record Hall 3'!$M$119:$M$220-ROW('QC Deviation Record Hall 3'!$M$119:$M$220)/10000000,ROW(A8)),'QC Deviation Record Hall 3'!$M$119:$M$220-ROW('QC Deviation Record Hall 3'!$M$119:$M$220)/10000000,0))</f>
        <v>0</v>
      </c>
      <c r="AH41" s="87"/>
      <c r="AI41" s="207" t="e">
        <f t="array" ref="AI41">INDEX('QC Deviation Record Hall 3'!$C$119:$C$220,MATCH(Table111[[#This Row],[Defect العيب]],'QC Deviation Record Hall 3'!$B$119:$B$220,0))</f>
        <v>#N/A</v>
      </c>
      <c r="AJ41" s="207" t="e">
        <f t="array" ref="AJ41">INDEX('QC Deviation Record Hall 3'!$D$119:$D$220,MATCH(Table111[[#This Row],[Defect العيب]],'QC Deviation Record Hall 3'!$B$119:$B$220,0))</f>
        <v>#N/A</v>
      </c>
      <c r="AK41" s="207" t="e">
        <f t="array" ref="AK41">INDEX('QC Deviation Record Hall 3'!$E$119:$E$220,MATCH(Table111[[#This Row],[Defect العيب]],'QC Deviation Record Hall 3'!$B$119:$B$220,0))</f>
        <v>#N/A</v>
      </c>
      <c r="AL41" s="207" t="e">
        <f t="array" ref="AL41">INDEX('QC Deviation Record Hall 3'!$F$119:$F$220,MATCH(Table111[[#This Row],[Defect العيب]],'QC Deviation Record Hall 3'!$B$119:$B$220,0))</f>
        <v>#N/A</v>
      </c>
      <c r="AM41" s="207" t="e">
        <f t="array" ref="AM41">INDEX('QC Deviation Record Hall 3'!$G$119:$G$220,MATCH(Table111[[#This Row],[Defect العيب]],'QC Deviation Record Hall 3'!$B$119:$B$220,0))</f>
        <v>#N/A</v>
      </c>
      <c r="AN41" s="207" t="e">
        <f t="array" ref="AN41">INDEX('QC Deviation Record Hall 3'!$H$119:$H$220,MATCH(Table111[[#This Row],[Defect العيب]],'QC Deviation Record Hall 3'!$B$119:$B$220,0))</f>
        <v>#N/A</v>
      </c>
      <c r="AO41" s="207" t="e">
        <f t="array" ref="AO41">INDEX('QC Deviation Record Hall 3'!$I$119:$I$220,MATCH(Table111[[#This Row],[Defect العيب]],'QC Deviation Record Hall 3'!$B$119:$B$220,0))</f>
        <v>#N/A</v>
      </c>
      <c r="AP41" s="207" t="e">
        <f t="array" ref="AP41">INDEX('QC Deviation Record Hall 3'!$J$119:$J$220,MATCH(Table111[[#This Row],[Defect العيب]],'QC Deviation Record Hall 3'!$B$119:$B$220,0))</f>
        <v>#N/A</v>
      </c>
      <c r="AQ41" s="207" t="e">
        <f t="array" ref="AQ41">INDEX('QC Deviation Record Hall 3'!$K$119:$K$220,MATCH(Table111[[#This Row],[Defect العيب]],'QC Deviation Record Hall 3'!$B$119:$B$220,0))</f>
        <v>#N/A</v>
      </c>
      <c r="AR41" s="208" t="e">
        <f t="array" ref="AR41">INDEX('QC Deviation Record Hall 3'!$L$119:$L$220,MATCH(Table111[[#This Row],[Defect العيب]],'QC Deviation Record Hall 3'!$B$119:$B$220,0))</f>
        <v>#N/A</v>
      </c>
    </row>
    <row r="42" spans="1:44" s="85" customFormat="1" ht="180.5" customHeight="1" x14ac:dyDescent="0.15">
      <c r="A42" s="183" t="str">
        <f t="array" ref="A42">INDEX('QC Deviation Record Hall 1 '!$A$120:$A$221,MATCH(Table7[[#This Row],[Defect العيب]],'QC Deviation Record Hall 1 '!$B$120:$B$221,0))</f>
        <v>LK01</v>
      </c>
      <c r="B42" s="87" t="str">
        <f t="array" ref="B42">INDEX('QC Deviation Record Hall 1 '!$B$120:$B$221,MATCH(LARGE('QC Deviation Record Hall 1 '!$O$120:$O$221-ROW('QC Deviation Record Hall 1 '!$O$120:$O$221)/10000000,ROW(A9)),'QC Deviation Record Hall 1 '!$O$120:$O$221-ROW('QC Deviation Record Hall 1 '!$O$120:$O$221)/10000000,0))</f>
        <v>تسريب من جسم الكوب/العبوة</v>
      </c>
      <c r="C42" s="87"/>
      <c r="D42" s="207" t="str">
        <f t="array" ref="D42">INDEX('QC Deviation Record Hall 1 '!$C$120:$C$221,MATCH(Table7[[#This Row],[Defect العيب]],'QC Deviation Record Hall 1 '!$B$120:$B$221,0))</f>
        <v/>
      </c>
      <c r="E42" s="207" t="str">
        <f t="array" ref="E42">INDEX('QC Deviation Record Hall 1 '!$D$120:$D$221,MATCH(Table7[[#This Row],[Defect العيب]],'QC Deviation Record Hall 1 '!$B$120:$B$221,0))</f>
        <v/>
      </c>
      <c r="F42" s="207" t="str">
        <f t="array" ref="F42">INDEX('QC Deviation Record Hall 1 '!$E$120:$E$221,MATCH(Table7[[#This Row],[Defect العيب]],'QC Deviation Record Hall 1 '!$B$120:$B$221,0))</f>
        <v/>
      </c>
      <c r="G42" s="207" t="str">
        <f t="array" ref="G42">INDEX('QC Deviation Record Hall 1 '!$F$120:$F$221,MATCH(Table7[[#This Row],[Defect العيب]],'QC Deviation Record Hall 1 '!$B$120:$B$221,0))</f>
        <v/>
      </c>
      <c r="H42" s="207" t="str">
        <f t="array" ref="H42">INDEX('QC Deviation Record Hall 1 '!$G$120:$G$221,MATCH(Table7[[#This Row],[Defect العيب]],'QC Deviation Record Hall 1 '!$B$120:$B$221,0))</f>
        <v/>
      </c>
      <c r="I42" s="207" t="str">
        <f t="array" ref="I42">INDEX('QC Deviation Record Hall 1 '!$H$120:$H$221,MATCH(Table7[[#This Row],[Defect العيب]],'QC Deviation Record Hall 1 '!$B$120:$B$221,0))</f>
        <v/>
      </c>
      <c r="J42" s="207" t="str">
        <f t="array" ref="J42">INDEX('QC Deviation Record Hall 1 '!$I$120:$I$221,MATCH(Table7[[#This Row],[Defect العيب]],'QC Deviation Record Hall 1 '!$B$120:$B$221,0))</f>
        <v/>
      </c>
      <c r="K42" s="207" t="str">
        <f t="array" ref="K42">INDEX('QC Deviation Record Hall 1 '!$J$120:$J$221,MATCH(Table7[[#This Row],[Defect العيب]],'QC Deviation Record Hall 1 '!$B$120:$B$221,0))</f>
        <v/>
      </c>
      <c r="L42" s="207" t="str">
        <f t="array" ref="L42">INDEX('QC Deviation Record Hall 1 '!$K$120:$K$221,MATCH(Table7[[#This Row],[Defect العيب]],'QC Deviation Record Hall 1 '!$B$120:$B$221,0))</f>
        <v/>
      </c>
      <c r="M42" s="207" t="str">
        <f t="array" ref="M42">INDEX('QC Deviation Record Hall 1 '!$L$120:$L$221,MATCH(Table7[[#This Row],[Defect العيب]],'QC Deviation Record Hall 1 '!$B$120:$B$221,0))</f>
        <v/>
      </c>
      <c r="N42" s="207" t="str">
        <f t="array" ref="N42">INDEX('QC Deviation Record Hall 1 '!$M$120:$M$221,MATCH(Table7[[#This Row],[Defect العيب]],'QC Deviation Record Hall 1 '!$B$120:$B$221,0))</f>
        <v/>
      </c>
      <c r="O42" s="208" t="str">
        <f t="array" ref="O42">INDEX('QC Deviation Record Hall 1 '!$N$120:$N$221,MATCH(Table7[[#This Row],[Defect العيب]],'QC Deviation Record Hall 1 '!$B$120:$B$221,0))</f>
        <v/>
      </c>
      <c r="Q42" s="183" t="str">
        <f t="array" ref="Q42">INDEX('QC Deviation Record Hall 2'!$A$119:$A$220,MATCH(Table11[[#This Row],[Defect العيب]],'QC Deviation Record Hall 2'!$B$119:$B$220,0))</f>
        <v>LK01</v>
      </c>
      <c r="R42" s="87" t="str">
        <f t="array" ref="R42">INDEX('QC Deviation Record Hall 2'!$B$119:$B$220,MATCH(LARGE('QC Deviation Record Hall 2'!$M$119:$M$220-ROW('QC Deviation Record Hall 2'!$M$119:$M$220)/10000000,ROW(A9)),'QC Deviation Record Hall 2'!$M$119:$M$220-ROW('QC Deviation Record Hall 2'!$M$119:$M$220)/10000000,0))</f>
        <v>تسريب من جسم الكوب/العبوة</v>
      </c>
      <c r="S42" s="87"/>
      <c r="T42" s="207" t="str">
        <f t="array" ref="T42">INDEX('QC Deviation Record Hall 2'!$C$119:$C$220,MATCH(Table11[[#This Row],[Defect العيب]],'QC Deviation Record Hall 2'!$B$119:$B$220,0))</f>
        <v/>
      </c>
      <c r="U42" s="207" t="str">
        <f t="array" ref="U42">INDEX('QC Deviation Record Hall 2'!$D$119:$D$220,MATCH(Table11[[#This Row],[Defect العيب]],'QC Deviation Record Hall 2'!$B$119:$B$220,0))</f>
        <v/>
      </c>
      <c r="V42" s="207" t="str">
        <f t="array" ref="V42">INDEX('QC Deviation Record Hall 2'!$E$119:$E$220,MATCH(Table11[[#This Row],[Defect العيب]],'QC Deviation Record Hall 2'!$B$119:$B$220,0))</f>
        <v/>
      </c>
      <c r="W42" s="207" t="str">
        <f t="array" ref="W42">INDEX('QC Deviation Record Hall 2'!$F$119:$F$220,MATCH(Table11[[#This Row],[Defect العيب]],'QC Deviation Record Hall 2'!$B$119:$B$220,0))</f>
        <v/>
      </c>
      <c r="X42" s="207" t="str">
        <f t="array" ref="X42">INDEX('QC Deviation Record Hall 2'!$G$119:$G$220,MATCH(Table11[[#This Row],[Defect العيب]],'QC Deviation Record Hall 2'!$B$119:$B$220,0))</f>
        <v/>
      </c>
      <c r="Y42" s="207" t="str">
        <f t="array" ref="Y42">INDEX('QC Deviation Record Hall 2'!$H$119:$H$220,MATCH(Table11[[#This Row],[Defect العيب]],'QC Deviation Record Hall 2'!$B$119:$B$220,0))</f>
        <v/>
      </c>
      <c r="Z42" s="207" t="str">
        <f t="array" ref="Z42">INDEX('QC Deviation Record Hall 2'!$I$119:$I$220,MATCH(Table11[[#This Row],[Defect العيب]],'QC Deviation Record Hall 2'!$B$119:$B$220,0))</f>
        <v/>
      </c>
      <c r="AA42" s="207" t="str">
        <f t="array" ref="AA42">INDEX('QC Deviation Record Hall 2'!$J$119:$J$220,MATCH(Table11[[#This Row],[Defect العيب]],'QC Deviation Record Hall 2'!$B$119:$B$220,0))</f>
        <v/>
      </c>
      <c r="AB42" s="207" t="str">
        <f t="array" ref="AB42">INDEX('QC Deviation Record Hall 2'!$K$119:$K$220,MATCH(Table11[[#This Row],[Defect العيب]],'QC Deviation Record Hall 2'!$B$119:$B$220,0))</f>
        <v/>
      </c>
      <c r="AC42" s="208" t="str">
        <f t="array" ref="AC42">INDEX('QC Deviation Record Hall 2'!$L$119:$L$220,MATCH(Table11[[#This Row],[Defect العيب]],'QC Deviation Record Hall 2'!$B$119:$B$220,0))</f>
        <v/>
      </c>
      <c r="AF42" s="183" t="str">
        <f t="array" ref="AF42">INDEX('QC Deviation Record Hall 3'!$A$119:$A$220,MATCH(Table111[[#This Row],[Defect العيب]],'QC Deviation Record Hall 3'!$B$119:$B$220,0))</f>
        <v>LK01</v>
      </c>
      <c r="AG42" s="87" t="str">
        <f t="array" ref="AG42">INDEX('QC Deviation Record Hall 3'!$B$119:$B$220,MATCH(LARGE('QC Deviation Record Hall 3'!$M$119:$M$220-ROW('QC Deviation Record Hall 3'!$M$119:$M$220)/10000000,ROW(A9)),'QC Deviation Record Hall 3'!$M$119:$M$220-ROW('QC Deviation Record Hall 3'!$M$119:$M$220)/10000000,0))</f>
        <v>تسريب من جسم الكوب/العبوة</v>
      </c>
      <c r="AH42" s="87"/>
      <c r="AI42" s="207" t="str">
        <f t="array" ref="AI42">INDEX('QC Deviation Record Hall 3'!$C$119:$C$220,MATCH(Table111[[#This Row],[Defect العيب]],'QC Deviation Record Hall 3'!$B$119:$B$220,0))</f>
        <v/>
      </c>
      <c r="AJ42" s="207" t="str">
        <f t="array" ref="AJ42">INDEX('QC Deviation Record Hall 3'!$D$119:$D$220,MATCH(Table111[[#This Row],[Defect العيب]],'QC Deviation Record Hall 3'!$B$119:$B$220,0))</f>
        <v/>
      </c>
      <c r="AK42" s="207" t="str">
        <f t="array" ref="AK42">INDEX('QC Deviation Record Hall 3'!$E$119:$E$220,MATCH(Table111[[#This Row],[Defect العيب]],'QC Deviation Record Hall 3'!$B$119:$B$220,0))</f>
        <v/>
      </c>
      <c r="AL42" s="207" t="str">
        <f t="array" ref="AL42">INDEX('QC Deviation Record Hall 3'!$F$119:$F$220,MATCH(Table111[[#This Row],[Defect العيب]],'QC Deviation Record Hall 3'!$B$119:$B$220,0))</f>
        <v/>
      </c>
      <c r="AM42" s="207" t="str">
        <f t="array" ref="AM42">INDEX('QC Deviation Record Hall 3'!$G$119:$G$220,MATCH(Table111[[#This Row],[Defect العيب]],'QC Deviation Record Hall 3'!$B$119:$B$220,0))</f>
        <v/>
      </c>
      <c r="AN42" s="207" t="str">
        <f t="array" ref="AN42">INDEX('QC Deviation Record Hall 3'!$H$119:$H$220,MATCH(Table111[[#This Row],[Defect العيب]],'QC Deviation Record Hall 3'!$B$119:$B$220,0))</f>
        <v/>
      </c>
      <c r="AO42" s="207" t="str">
        <f t="array" ref="AO42">INDEX('QC Deviation Record Hall 3'!$I$119:$I$220,MATCH(Table111[[#This Row],[Defect العيب]],'QC Deviation Record Hall 3'!$B$119:$B$220,0))</f>
        <v/>
      </c>
      <c r="AP42" s="207" t="str">
        <f t="array" ref="AP42">INDEX('QC Deviation Record Hall 3'!$J$119:$J$220,MATCH(Table111[[#This Row],[Defect العيب]],'QC Deviation Record Hall 3'!$B$119:$B$220,0))</f>
        <v/>
      </c>
      <c r="AQ42" s="207" t="str">
        <f t="array" ref="AQ42">INDEX('QC Deviation Record Hall 3'!$K$119:$K$220,MATCH(Table111[[#This Row],[Defect العيب]],'QC Deviation Record Hall 3'!$B$119:$B$220,0))</f>
        <v/>
      </c>
      <c r="AR42" s="208" t="str">
        <f t="array" ref="AR42">INDEX('QC Deviation Record Hall 3'!$L$119:$L$220,MATCH(Table111[[#This Row],[Defect العيب]],'QC Deviation Record Hall 3'!$B$119:$B$220,0))</f>
        <v/>
      </c>
    </row>
    <row r="43" spans="1:44" s="85" customFormat="1" ht="180.5" customHeight="1" x14ac:dyDescent="0.15">
      <c r="A43" s="183" t="str">
        <f t="array" ref="A43">INDEX('QC Deviation Record Hall 1 '!$A$120:$A$221,MATCH(Table7[[#This Row],[Defect العيب]],'QC Deviation Record Hall 1 '!$B$120:$B$221,0))</f>
        <v>LK02</v>
      </c>
      <c r="B43" s="87" t="str">
        <f t="array" ref="B43">INDEX('QC Deviation Record Hall 1 '!$B$120:$B$221,MATCH(LARGE('QC Deviation Record Hall 1 '!$O$120:$O$221-ROW('QC Deviation Record Hall 1 '!$O$120:$O$221)/10000000,ROW(A10)),'QC Deviation Record Hall 1 '!$O$120:$O$221-ROW('QC Deviation Record Hall 1 '!$O$120:$O$221)/10000000,0))</f>
        <v>تسريب من منطقة الغطاء</v>
      </c>
      <c r="C43" s="87"/>
      <c r="D43" s="207" t="str">
        <f t="array" ref="D43">INDEX('QC Deviation Record Hall 1 '!$C$120:$C$221,MATCH(Table7[[#This Row],[Defect العيب]],'QC Deviation Record Hall 1 '!$B$120:$B$221,0))</f>
        <v/>
      </c>
      <c r="E43" s="207" t="str">
        <f t="array" ref="E43">INDEX('QC Deviation Record Hall 1 '!$D$120:$D$221,MATCH(Table7[[#This Row],[Defect العيب]],'QC Deviation Record Hall 1 '!$B$120:$B$221,0))</f>
        <v/>
      </c>
      <c r="F43" s="207" t="str">
        <f t="array" ref="F43">INDEX('QC Deviation Record Hall 1 '!$E$120:$E$221,MATCH(Table7[[#This Row],[Defect العيب]],'QC Deviation Record Hall 1 '!$B$120:$B$221,0))</f>
        <v/>
      </c>
      <c r="G43" s="207" t="str">
        <f t="array" ref="G43">INDEX('QC Deviation Record Hall 1 '!$F$120:$F$221,MATCH(Table7[[#This Row],[Defect العيب]],'QC Deviation Record Hall 1 '!$B$120:$B$221,0))</f>
        <v/>
      </c>
      <c r="H43" s="207" t="str">
        <f t="array" ref="H43">INDEX('QC Deviation Record Hall 1 '!$G$120:$G$221,MATCH(Table7[[#This Row],[Defect العيب]],'QC Deviation Record Hall 1 '!$B$120:$B$221,0))</f>
        <v/>
      </c>
      <c r="I43" s="207" t="str">
        <f t="array" ref="I43">INDEX('QC Deviation Record Hall 1 '!$H$120:$H$221,MATCH(Table7[[#This Row],[Defect العيب]],'QC Deviation Record Hall 1 '!$B$120:$B$221,0))</f>
        <v/>
      </c>
      <c r="J43" s="207" t="str">
        <f t="array" ref="J43">INDEX('QC Deviation Record Hall 1 '!$I$120:$I$221,MATCH(Table7[[#This Row],[Defect العيب]],'QC Deviation Record Hall 1 '!$B$120:$B$221,0))</f>
        <v/>
      </c>
      <c r="K43" s="207" t="str">
        <f t="array" ref="K43">INDEX('QC Deviation Record Hall 1 '!$J$120:$J$221,MATCH(Table7[[#This Row],[Defect العيب]],'QC Deviation Record Hall 1 '!$B$120:$B$221,0))</f>
        <v/>
      </c>
      <c r="L43" s="207" t="str">
        <f t="array" ref="L43">INDEX('QC Deviation Record Hall 1 '!$K$120:$K$221,MATCH(Table7[[#This Row],[Defect العيب]],'QC Deviation Record Hall 1 '!$B$120:$B$221,0))</f>
        <v/>
      </c>
      <c r="M43" s="207" t="str">
        <f t="array" ref="M43">INDEX('QC Deviation Record Hall 1 '!$L$120:$L$221,MATCH(Table7[[#This Row],[Defect العيب]],'QC Deviation Record Hall 1 '!$B$120:$B$221,0))</f>
        <v/>
      </c>
      <c r="N43" s="207" t="str">
        <f t="array" ref="N43">INDEX('QC Deviation Record Hall 1 '!$M$120:$M$221,MATCH(Table7[[#This Row],[Defect العيب]],'QC Deviation Record Hall 1 '!$B$120:$B$221,0))</f>
        <v/>
      </c>
      <c r="O43" s="208" t="str">
        <f t="array" ref="O43">INDEX('QC Deviation Record Hall 1 '!$N$120:$N$221,MATCH(Table7[[#This Row],[Defect العيب]],'QC Deviation Record Hall 1 '!$B$120:$B$221,0))</f>
        <v/>
      </c>
      <c r="Q43" s="183" t="str">
        <f t="array" ref="Q43">INDEX('QC Deviation Record Hall 2'!$A$119:$A$220,MATCH(Table11[[#This Row],[Defect العيب]],'QC Deviation Record Hall 2'!$B$119:$B$220,0))</f>
        <v>LK02</v>
      </c>
      <c r="R43" s="87" t="str">
        <f t="array" ref="R43">INDEX('QC Deviation Record Hall 2'!$B$119:$B$220,MATCH(LARGE('QC Deviation Record Hall 2'!$M$119:$M$220-ROW('QC Deviation Record Hall 2'!$M$119:$M$220)/10000000,ROW(A10)),'QC Deviation Record Hall 2'!$M$119:$M$220-ROW('QC Deviation Record Hall 2'!$M$119:$M$220)/10000000,0))</f>
        <v>تسريب من منطقة الغطاء</v>
      </c>
      <c r="S43" s="87"/>
      <c r="T43" s="207" t="str">
        <f t="array" ref="T43">INDEX('QC Deviation Record Hall 2'!$C$119:$C$220,MATCH(Table11[[#This Row],[Defect العيب]],'QC Deviation Record Hall 2'!$B$119:$B$220,0))</f>
        <v/>
      </c>
      <c r="U43" s="207" t="str">
        <f t="array" ref="U43">INDEX('QC Deviation Record Hall 2'!$D$119:$D$220,MATCH(Table11[[#This Row],[Defect العيب]],'QC Deviation Record Hall 2'!$B$119:$B$220,0))</f>
        <v/>
      </c>
      <c r="V43" s="207" t="str">
        <f t="array" ref="V43">INDEX('QC Deviation Record Hall 2'!$E$119:$E$220,MATCH(Table11[[#This Row],[Defect العيب]],'QC Deviation Record Hall 2'!$B$119:$B$220,0))</f>
        <v/>
      </c>
      <c r="W43" s="207" t="str">
        <f t="array" ref="W43">INDEX('QC Deviation Record Hall 2'!$F$119:$F$220,MATCH(Table11[[#This Row],[Defect العيب]],'QC Deviation Record Hall 2'!$B$119:$B$220,0))</f>
        <v/>
      </c>
      <c r="X43" s="207" t="str">
        <f t="array" ref="X43">INDEX('QC Deviation Record Hall 2'!$G$119:$G$220,MATCH(Table11[[#This Row],[Defect العيب]],'QC Deviation Record Hall 2'!$B$119:$B$220,0))</f>
        <v/>
      </c>
      <c r="Y43" s="207" t="str">
        <f t="array" ref="Y43">INDEX('QC Deviation Record Hall 2'!$H$119:$H$220,MATCH(Table11[[#This Row],[Defect العيب]],'QC Deviation Record Hall 2'!$B$119:$B$220,0))</f>
        <v/>
      </c>
      <c r="Z43" s="207" t="str">
        <f t="array" ref="Z43">INDEX('QC Deviation Record Hall 2'!$I$119:$I$220,MATCH(Table11[[#This Row],[Defect العيب]],'QC Deviation Record Hall 2'!$B$119:$B$220,0))</f>
        <v/>
      </c>
      <c r="AA43" s="207" t="str">
        <f t="array" ref="AA43">INDEX('QC Deviation Record Hall 2'!$J$119:$J$220,MATCH(Table11[[#This Row],[Defect العيب]],'QC Deviation Record Hall 2'!$B$119:$B$220,0))</f>
        <v/>
      </c>
      <c r="AB43" s="207" t="str">
        <f t="array" ref="AB43">INDEX('QC Deviation Record Hall 2'!$K$119:$K$220,MATCH(Table11[[#This Row],[Defect العيب]],'QC Deviation Record Hall 2'!$B$119:$B$220,0))</f>
        <v/>
      </c>
      <c r="AC43" s="208" t="str">
        <f t="array" ref="AC43">INDEX('QC Deviation Record Hall 2'!$L$119:$L$220,MATCH(Table11[[#This Row],[Defect العيب]],'QC Deviation Record Hall 2'!$B$119:$B$220,0))</f>
        <v/>
      </c>
      <c r="AF43" s="183" t="str">
        <f t="array" ref="AF43">INDEX('QC Deviation Record Hall 3'!$A$119:$A$220,MATCH(Table111[[#This Row],[Defect العيب]],'QC Deviation Record Hall 3'!$B$119:$B$220,0))</f>
        <v>LK02</v>
      </c>
      <c r="AG43" s="87" t="str">
        <f t="array" ref="AG43">INDEX('QC Deviation Record Hall 3'!$B$119:$B$220,MATCH(LARGE('QC Deviation Record Hall 3'!$M$119:$M$220-ROW('QC Deviation Record Hall 3'!$M$119:$M$220)/10000000,ROW(A10)),'QC Deviation Record Hall 3'!$M$119:$M$220-ROW('QC Deviation Record Hall 3'!$M$119:$M$220)/10000000,0))</f>
        <v>تسريب من منطقة الغطاء</v>
      </c>
      <c r="AH43" s="87"/>
      <c r="AI43" s="207" t="str">
        <f t="array" ref="AI43">INDEX('QC Deviation Record Hall 3'!$C$119:$C$220,MATCH(Table111[[#This Row],[Defect العيب]],'QC Deviation Record Hall 3'!$B$119:$B$220,0))</f>
        <v/>
      </c>
      <c r="AJ43" s="207" t="str">
        <f t="array" ref="AJ43">INDEX('QC Deviation Record Hall 3'!$D$119:$D$220,MATCH(Table111[[#This Row],[Defect العيب]],'QC Deviation Record Hall 3'!$B$119:$B$220,0))</f>
        <v/>
      </c>
      <c r="AK43" s="207" t="str">
        <f t="array" ref="AK43">INDEX('QC Deviation Record Hall 3'!$E$119:$E$220,MATCH(Table111[[#This Row],[Defect العيب]],'QC Deviation Record Hall 3'!$B$119:$B$220,0))</f>
        <v/>
      </c>
      <c r="AL43" s="207" t="str">
        <f t="array" ref="AL43">INDEX('QC Deviation Record Hall 3'!$F$119:$F$220,MATCH(Table111[[#This Row],[Defect العيب]],'QC Deviation Record Hall 3'!$B$119:$B$220,0))</f>
        <v/>
      </c>
      <c r="AM43" s="207" t="str">
        <f t="array" ref="AM43">INDEX('QC Deviation Record Hall 3'!$G$119:$G$220,MATCH(Table111[[#This Row],[Defect العيب]],'QC Deviation Record Hall 3'!$B$119:$B$220,0))</f>
        <v/>
      </c>
      <c r="AN43" s="207" t="str">
        <f t="array" ref="AN43">INDEX('QC Deviation Record Hall 3'!$H$119:$H$220,MATCH(Table111[[#This Row],[Defect العيب]],'QC Deviation Record Hall 3'!$B$119:$B$220,0))</f>
        <v/>
      </c>
      <c r="AO43" s="207" t="str">
        <f t="array" ref="AO43">INDEX('QC Deviation Record Hall 3'!$I$119:$I$220,MATCH(Table111[[#This Row],[Defect العيب]],'QC Deviation Record Hall 3'!$B$119:$B$220,0))</f>
        <v/>
      </c>
      <c r="AP43" s="207" t="str">
        <f t="array" ref="AP43">INDEX('QC Deviation Record Hall 3'!$J$119:$J$220,MATCH(Table111[[#This Row],[Defect العيب]],'QC Deviation Record Hall 3'!$B$119:$B$220,0))</f>
        <v/>
      </c>
      <c r="AQ43" s="207" t="str">
        <f t="array" ref="AQ43">INDEX('QC Deviation Record Hall 3'!$K$119:$K$220,MATCH(Table111[[#This Row],[Defect العيب]],'QC Deviation Record Hall 3'!$B$119:$B$220,0))</f>
        <v/>
      </c>
      <c r="AR43" s="208" t="str">
        <f t="array" ref="AR43">INDEX('QC Deviation Record Hall 3'!$L$119:$L$220,MATCH(Table111[[#This Row],[Defect العيب]],'QC Deviation Record Hall 3'!$B$119:$B$220,0))</f>
        <v/>
      </c>
    </row>
    <row r="44" spans="1:44" s="85" customFormat="1" ht="180.5" customHeight="1" x14ac:dyDescent="0.15">
      <c r="A44" s="183" t="str">
        <f t="array" ref="A44">INDEX('QC Deviation Record Hall 1 '!$A$120:$A$221,MATCH(Table7[[#This Row],[Defect العيب]],'QC Deviation Record Hall 1 '!$B$120:$B$221,0))</f>
        <v>LK03</v>
      </c>
      <c r="B44" s="87" t="str">
        <f t="array" ref="B44">INDEX('QC Deviation Record Hall 1 '!$B$120:$B$221,MATCH(LARGE('QC Deviation Record Hall 1 '!$O$120:$O$221-ROW('QC Deviation Record Hall 1 '!$O$120:$O$221)/10000000,ROW(A11)),'QC Deviation Record Hall 1 '!$O$120:$O$221-ROW('QC Deviation Record Hall 1 '!$O$120:$O$221)/10000000,0))</f>
        <v>تسريب بعد التجميد</v>
      </c>
      <c r="C44" s="87"/>
      <c r="D44" s="207" t="str">
        <f t="array" ref="D44">INDEX('QC Deviation Record Hall 1 '!$C$120:$C$221,MATCH(Table7[[#This Row],[Defect العيب]],'QC Deviation Record Hall 1 '!$B$120:$B$221,0))</f>
        <v/>
      </c>
      <c r="E44" s="207" t="str">
        <f t="array" ref="E44">INDEX('QC Deviation Record Hall 1 '!$D$120:$D$221,MATCH(Table7[[#This Row],[Defect العيب]],'QC Deviation Record Hall 1 '!$B$120:$B$221,0))</f>
        <v/>
      </c>
      <c r="F44" s="207" t="str">
        <f t="array" ref="F44">INDEX('QC Deviation Record Hall 1 '!$E$120:$E$221,MATCH(Table7[[#This Row],[Defect العيب]],'QC Deviation Record Hall 1 '!$B$120:$B$221,0))</f>
        <v/>
      </c>
      <c r="G44" s="207" t="str">
        <f t="array" ref="G44">INDEX('QC Deviation Record Hall 1 '!$F$120:$F$221,MATCH(Table7[[#This Row],[Defect العيب]],'QC Deviation Record Hall 1 '!$B$120:$B$221,0))</f>
        <v/>
      </c>
      <c r="H44" s="207" t="str">
        <f t="array" ref="H44">INDEX('QC Deviation Record Hall 1 '!$G$120:$G$221,MATCH(Table7[[#This Row],[Defect العيب]],'QC Deviation Record Hall 1 '!$B$120:$B$221,0))</f>
        <v/>
      </c>
      <c r="I44" s="207" t="str">
        <f t="array" ref="I44">INDEX('QC Deviation Record Hall 1 '!$H$120:$H$221,MATCH(Table7[[#This Row],[Defect العيب]],'QC Deviation Record Hall 1 '!$B$120:$B$221,0))</f>
        <v/>
      </c>
      <c r="J44" s="207" t="str">
        <f t="array" ref="J44">INDEX('QC Deviation Record Hall 1 '!$I$120:$I$221,MATCH(Table7[[#This Row],[Defect العيب]],'QC Deviation Record Hall 1 '!$B$120:$B$221,0))</f>
        <v/>
      </c>
      <c r="K44" s="207" t="str">
        <f t="array" ref="K44">INDEX('QC Deviation Record Hall 1 '!$J$120:$J$221,MATCH(Table7[[#This Row],[Defect العيب]],'QC Deviation Record Hall 1 '!$B$120:$B$221,0))</f>
        <v/>
      </c>
      <c r="L44" s="207" t="str">
        <f t="array" ref="L44">INDEX('QC Deviation Record Hall 1 '!$K$120:$K$221,MATCH(Table7[[#This Row],[Defect العيب]],'QC Deviation Record Hall 1 '!$B$120:$B$221,0))</f>
        <v/>
      </c>
      <c r="M44" s="207" t="str">
        <f t="array" ref="M44">INDEX('QC Deviation Record Hall 1 '!$L$120:$L$221,MATCH(Table7[[#This Row],[Defect العيب]],'QC Deviation Record Hall 1 '!$B$120:$B$221,0))</f>
        <v/>
      </c>
      <c r="N44" s="207" t="str">
        <f t="array" ref="N44">INDEX('QC Deviation Record Hall 1 '!$M$120:$M$221,MATCH(Table7[[#This Row],[Defect العيب]],'QC Deviation Record Hall 1 '!$B$120:$B$221,0))</f>
        <v/>
      </c>
      <c r="O44" s="208" t="str">
        <f t="array" ref="O44">INDEX('QC Deviation Record Hall 1 '!$N$120:$N$221,MATCH(Table7[[#This Row],[Defect العيب]],'QC Deviation Record Hall 1 '!$B$120:$B$221,0))</f>
        <v/>
      </c>
      <c r="Q44" s="183" t="str">
        <f t="array" ref="Q44">INDEX('QC Deviation Record Hall 2'!$A$119:$A$220,MATCH(Table11[[#This Row],[Defect العيب]],'QC Deviation Record Hall 2'!$B$119:$B$220,0))</f>
        <v>LK03</v>
      </c>
      <c r="R44" s="87" t="str">
        <f t="array" ref="R44">INDEX('QC Deviation Record Hall 2'!$B$119:$B$220,MATCH(LARGE('QC Deviation Record Hall 2'!$M$119:$M$220-ROW('QC Deviation Record Hall 2'!$M$119:$M$220)/10000000,ROW(A11)),'QC Deviation Record Hall 2'!$M$119:$M$220-ROW('QC Deviation Record Hall 2'!$M$119:$M$220)/10000000,0))</f>
        <v>تسريب بعد التجميد</v>
      </c>
      <c r="S44" s="87"/>
      <c r="T44" s="207" t="str">
        <f t="array" ref="T44">INDEX('QC Deviation Record Hall 2'!$C$119:$C$220,MATCH(Table11[[#This Row],[Defect العيب]],'QC Deviation Record Hall 2'!$B$119:$B$220,0))</f>
        <v/>
      </c>
      <c r="U44" s="207" t="str">
        <f t="array" ref="U44">INDEX('QC Deviation Record Hall 2'!$D$119:$D$220,MATCH(Table11[[#This Row],[Defect العيب]],'QC Deviation Record Hall 2'!$B$119:$B$220,0))</f>
        <v/>
      </c>
      <c r="V44" s="207" t="str">
        <f t="array" ref="V44">INDEX('QC Deviation Record Hall 2'!$E$119:$E$220,MATCH(Table11[[#This Row],[Defect العيب]],'QC Deviation Record Hall 2'!$B$119:$B$220,0))</f>
        <v/>
      </c>
      <c r="W44" s="207" t="str">
        <f t="array" ref="W44">INDEX('QC Deviation Record Hall 2'!$F$119:$F$220,MATCH(Table11[[#This Row],[Defect العيب]],'QC Deviation Record Hall 2'!$B$119:$B$220,0))</f>
        <v/>
      </c>
      <c r="X44" s="207" t="str">
        <f t="array" ref="X44">INDEX('QC Deviation Record Hall 2'!$G$119:$G$220,MATCH(Table11[[#This Row],[Defect العيب]],'QC Deviation Record Hall 2'!$B$119:$B$220,0))</f>
        <v/>
      </c>
      <c r="Y44" s="207" t="str">
        <f t="array" ref="Y44">INDEX('QC Deviation Record Hall 2'!$H$119:$H$220,MATCH(Table11[[#This Row],[Defect العيب]],'QC Deviation Record Hall 2'!$B$119:$B$220,0))</f>
        <v/>
      </c>
      <c r="Z44" s="207" t="str">
        <f t="array" ref="Z44">INDEX('QC Deviation Record Hall 2'!$I$119:$I$220,MATCH(Table11[[#This Row],[Defect العيب]],'QC Deviation Record Hall 2'!$B$119:$B$220,0))</f>
        <v/>
      </c>
      <c r="AA44" s="207" t="str">
        <f t="array" ref="AA44">INDEX('QC Deviation Record Hall 2'!$J$119:$J$220,MATCH(Table11[[#This Row],[Defect العيب]],'QC Deviation Record Hall 2'!$B$119:$B$220,0))</f>
        <v/>
      </c>
      <c r="AB44" s="207" t="str">
        <f t="array" ref="AB44">INDEX('QC Deviation Record Hall 2'!$K$119:$K$220,MATCH(Table11[[#This Row],[Defect العيب]],'QC Deviation Record Hall 2'!$B$119:$B$220,0))</f>
        <v/>
      </c>
      <c r="AC44" s="208" t="str">
        <f t="array" ref="AC44">INDEX('QC Deviation Record Hall 2'!$L$119:$L$220,MATCH(Table11[[#This Row],[Defect العيب]],'QC Deviation Record Hall 2'!$B$119:$B$220,0))</f>
        <v/>
      </c>
      <c r="AF44" s="183" t="str">
        <f t="array" ref="AF44">INDEX('QC Deviation Record Hall 3'!$A$119:$A$220,MATCH(Table111[[#This Row],[Defect العيب]],'QC Deviation Record Hall 3'!$B$119:$B$220,0))</f>
        <v>LK03</v>
      </c>
      <c r="AG44" s="87" t="str">
        <f t="array" ref="AG44">INDEX('QC Deviation Record Hall 3'!$B$119:$B$220,MATCH(LARGE('QC Deviation Record Hall 3'!$M$119:$M$220-ROW('QC Deviation Record Hall 3'!$M$119:$M$220)/10000000,ROW(A11)),'QC Deviation Record Hall 3'!$M$119:$M$220-ROW('QC Deviation Record Hall 3'!$M$119:$M$220)/10000000,0))</f>
        <v>تسريب بعد التجميد</v>
      </c>
      <c r="AH44" s="87"/>
      <c r="AI44" s="207" t="str">
        <f t="array" ref="AI44">INDEX('QC Deviation Record Hall 3'!$C$119:$C$220,MATCH(Table111[[#This Row],[Defect العيب]],'QC Deviation Record Hall 3'!$B$119:$B$220,0))</f>
        <v/>
      </c>
      <c r="AJ44" s="207" t="str">
        <f t="array" ref="AJ44">INDEX('QC Deviation Record Hall 3'!$D$119:$D$220,MATCH(Table111[[#This Row],[Defect العيب]],'QC Deviation Record Hall 3'!$B$119:$B$220,0))</f>
        <v/>
      </c>
      <c r="AK44" s="207" t="str">
        <f t="array" ref="AK44">INDEX('QC Deviation Record Hall 3'!$E$119:$E$220,MATCH(Table111[[#This Row],[Defect العيب]],'QC Deviation Record Hall 3'!$B$119:$B$220,0))</f>
        <v/>
      </c>
      <c r="AL44" s="207" t="str">
        <f t="array" ref="AL44">INDEX('QC Deviation Record Hall 3'!$F$119:$F$220,MATCH(Table111[[#This Row],[Defect العيب]],'QC Deviation Record Hall 3'!$B$119:$B$220,0))</f>
        <v/>
      </c>
      <c r="AM44" s="207" t="str">
        <f t="array" ref="AM44">INDEX('QC Deviation Record Hall 3'!$G$119:$G$220,MATCH(Table111[[#This Row],[Defect العيب]],'QC Deviation Record Hall 3'!$B$119:$B$220,0))</f>
        <v/>
      </c>
      <c r="AN44" s="207" t="str">
        <f t="array" ref="AN44">INDEX('QC Deviation Record Hall 3'!$H$119:$H$220,MATCH(Table111[[#This Row],[Defect العيب]],'QC Deviation Record Hall 3'!$B$119:$B$220,0))</f>
        <v/>
      </c>
      <c r="AO44" s="207" t="str">
        <f t="array" ref="AO44">INDEX('QC Deviation Record Hall 3'!$I$119:$I$220,MATCH(Table111[[#This Row],[Defect العيب]],'QC Deviation Record Hall 3'!$B$119:$B$220,0))</f>
        <v/>
      </c>
      <c r="AP44" s="207" t="str">
        <f t="array" ref="AP44">INDEX('QC Deviation Record Hall 3'!$J$119:$J$220,MATCH(Table111[[#This Row],[Defect العيب]],'QC Deviation Record Hall 3'!$B$119:$B$220,0))</f>
        <v/>
      </c>
      <c r="AQ44" s="207" t="str">
        <f t="array" ref="AQ44">INDEX('QC Deviation Record Hall 3'!$K$119:$K$220,MATCH(Table111[[#This Row],[Defect العيب]],'QC Deviation Record Hall 3'!$B$119:$B$220,0))</f>
        <v/>
      </c>
      <c r="AR44" s="208" t="str">
        <f t="array" ref="AR44">INDEX('QC Deviation Record Hall 3'!$L$119:$L$220,MATCH(Table111[[#This Row],[Defect العيب]],'QC Deviation Record Hall 3'!$B$119:$B$220,0))</f>
        <v/>
      </c>
    </row>
    <row r="45" spans="1:44" s="85" customFormat="1" ht="180.5" customHeight="1" x14ac:dyDescent="0.15">
      <c r="A45" s="183" t="str">
        <f t="array" ref="A45">INDEX('QC Deviation Record Hall 1 '!$A$120:$A$221,MATCH(Table7[[#This Row],[Defect العيب]],'QC Deviation Record Hall 1 '!$B$120:$B$221,0))</f>
        <v>LK04</v>
      </c>
      <c r="B45" s="87" t="str">
        <f t="array" ref="B45">INDEX('QC Deviation Record Hall 1 '!$B$120:$B$221,MATCH(LARGE('QC Deviation Record Hall 1 '!$O$120:$O$221-ROW('QC Deviation Record Hall 1 '!$O$120:$O$221)/10000000,ROW(A12)),'QC Deviation Record Hall 1 '!$O$120:$O$221-ROW('QC Deviation Record Hall 1 '!$O$120:$O$221)/10000000,0))</f>
        <v>تسريب أثناء النقل الداخلي</v>
      </c>
      <c r="C45" s="87"/>
      <c r="D45" s="207" t="str">
        <f t="array" ref="D45">INDEX('QC Deviation Record Hall 1 '!$C$120:$C$221,MATCH(Table7[[#This Row],[Defect العيب]],'QC Deviation Record Hall 1 '!$B$120:$B$221,0))</f>
        <v/>
      </c>
      <c r="E45" s="207" t="str">
        <f t="array" ref="E45">INDEX('QC Deviation Record Hall 1 '!$D$120:$D$221,MATCH(Table7[[#This Row],[Defect العيب]],'QC Deviation Record Hall 1 '!$B$120:$B$221,0))</f>
        <v/>
      </c>
      <c r="F45" s="207" t="str">
        <f t="array" ref="F45">INDEX('QC Deviation Record Hall 1 '!$E$120:$E$221,MATCH(Table7[[#This Row],[Defect العيب]],'QC Deviation Record Hall 1 '!$B$120:$B$221,0))</f>
        <v/>
      </c>
      <c r="G45" s="207" t="str">
        <f t="array" ref="G45">INDEX('QC Deviation Record Hall 1 '!$F$120:$F$221,MATCH(Table7[[#This Row],[Defect العيب]],'QC Deviation Record Hall 1 '!$B$120:$B$221,0))</f>
        <v/>
      </c>
      <c r="H45" s="207" t="str">
        <f t="array" ref="H45">INDEX('QC Deviation Record Hall 1 '!$G$120:$G$221,MATCH(Table7[[#This Row],[Defect العيب]],'QC Deviation Record Hall 1 '!$B$120:$B$221,0))</f>
        <v/>
      </c>
      <c r="I45" s="207" t="str">
        <f t="array" ref="I45">INDEX('QC Deviation Record Hall 1 '!$H$120:$H$221,MATCH(Table7[[#This Row],[Defect العيب]],'QC Deviation Record Hall 1 '!$B$120:$B$221,0))</f>
        <v/>
      </c>
      <c r="J45" s="207" t="str">
        <f t="array" ref="J45">INDEX('QC Deviation Record Hall 1 '!$I$120:$I$221,MATCH(Table7[[#This Row],[Defect العيب]],'QC Deviation Record Hall 1 '!$B$120:$B$221,0))</f>
        <v/>
      </c>
      <c r="K45" s="207" t="str">
        <f t="array" ref="K45">INDEX('QC Deviation Record Hall 1 '!$J$120:$J$221,MATCH(Table7[[#This Row],[Defect العيب]],'QC Deviation Record Hall 1 '!$B$120:$B$221,0))</f>
        <v/>
      </c>
      <c r="L45" s="207" t="str">
        <f t="array" ref="L45">INDEX('QC Deviation Record Hall 1 '!$K$120:$K$221,MATCH(Table7[[#This Row],[Defect العيب]],'QC Deviation Record Hall 1 '!$B$120:$B$221,0))</f>
        <v/>
      </c>
      <c r="M45" s="207" t="str">
        <f t="array" ref="M45">INDEX('QC Deviation Record Hall 1 '!$L$120:$L$221,MATCH(Table7[[#This Row],[Defect العيب]],'QC Deviation Record Hall 1 '!$B$120:$B$221,0))</f>
        <v/>
      </c>
      <c r="N45" s="207" t="str">
        <f t="array" ref="N45">INDEX('QC Deviation Record Hall 1 '!$M$120:$M$221,MATCH(Table7[[#This Row],[Defect العيب]],'QC Deviation Record Hall 1 '!$B$120:$B$221,0))</f>
        <v/>
      </c>
      <c r="O45" s="208" t="str">
        <f t="array" ref="O45">INDEX('QC Deviation Record Hall 1 '!$N$120:$N$221,MATCH(Table7[[#This Row],[Defect العيب]],'QC Deviation Record Hall 1 '!$B$120:$B$221,0))</f>
        <v/>
      </c>
      <c r="Q45" s="183" t="str">
        <f t="array" ref="Q45">INDEX('QC Deviation Record Hall 2'!$A$119:$A$220,MATCH(Table11[[#This Row],[Defect العيب]],'QC Deviation Record Hall 2'!$B$119:$B$220,0))</f>
        <v>LK04</v>
      </c>
      <c r="R45" s="87" t="str">
        <f t="array" ref="R45">INDEX('QC Deviation Record Hall 2'!$B$119:$B$220,MATCH(LARGE('QC Deviation Record Hall 2'!$M$119:$M$220-ROW('QC Deviation Record Hall 2'!$M$119:$M$220)/10000000,ROW(A12)),'QC Deviation Record Hall 2'!$M$119:$M$220-ROW('QC Deviation Record Hall 2'!$M$119:$M$220)/10000000,0))</f>
        <v>تسريب أثناء النقل الداخلي</v>
      </c>
      <c r="S45" s="87"/>
      <c r="T45" s="207" t="str">
        <f t="array" ref="T45">INDEX('QC Deviation Record Hall 2'!$C$119:$C$220,MATCH(Table11[[#This Row],[Defect العيب]],'QC Deviation Record Hall 2'!$B$119:$B$220,0))</f>
        <v/>
      </c>
      <c r="U45" s="207" t="str">
        <f t="array" ref="U45">INDEX('QC Deviation Record Hall 2'!$D$119:$D$220,MATCH(Table11[[#This Row],[Defect العيب]],'QC Deviation Record Hall 2'!$B$119:$B$220,0))</f>
        <v/>
      </c>
      <c r="V45" s="207" t="str">
        <f t="array" ref="V45">INDEX('QC Deviation Record Hall 2'!$E$119:$E$220,MATCH(Table11[[#This Row],[Defect العيب]],'QC Deviation Record Hall 2'!$B$119:$B$220,0))</f>
        <v/>
      </c>
      <c r="W45" s="207" t="str">
        <f t="array" ref="W45">INDEX('QC Deviation Record Hall 2'!$F$119:$F$220,MATCH(Table11[[#This Row],[Defect العيب]],'QC Deviation Record Hall 2'!$B$119:$B$220,0))</f>
        <v/>
      </c>
      <c r="X45" s="207" t="str">
        <f t="array" ref="X45">INDEX('QC Deviation Record Hall 2'!$G$119:$G$220,MATCH(Table11[[#This Row],[Defect العيب]],'QC Deviation Record Hall 2'!$B$119:$B$220,0))</f>
        <v/>
      </c>
      <c r="Y45" s="207" t="str">
        <f t="array" ref="Y45">INDEX('QC Deviation Record Hall 2'!$H$119:$H$220,MATCH(Table11[[#This Row],[Defect العيب]],'QC Deviation Record Hall 2'!$B$119:$B$220,0))</f>
        <v/>
      </c>
      <c r="Z45" s="207" t="str">
        <f t="array" ref="Z45">INDEX('QC Deviation Record Hall 2'!$I$119:$I$220,MATCH(Table11[[#This Row],[Defect العيب]],'QC Deviation Record Hall 2'!$B$119:$B$220,0))</f>
        <v/>
      </c>
      <c r="AA45" s="207" t="str">
        <f t="array" ref="AA45">INDEX('QC Deviation Record Hall 2'!$J$119:$J$220,MATCH(Table11[[#This Row],[Defect العيب]],'QC Deviation Record Hall 2'!$B$119:$B$220,0))</f>
        <v/>
      </c>
      <c r="AB45" s="207" t="str">
        <f t="array" ref="AB45">INDEX('QC Deviation Record Hall 2'!$K$119:$K$220,MATCH(Table11[[#This Row],[Defect العيب]],'QC Deviation Record Hall 2'!$B$119:$B$220,0))</f>
        <v/>
      </c>
      <c r="AC45" s="208" t="str">
        <f t="array" ref="AC45">INDEX('QC Deviation Record Hall 2'!$L$119:$L$220,MATCH(Table11[[#This Row],[Defect العيب]],'QC Deviation Record Hall 2'!$B$119:$B$220,0))</f>
        <v/>
      </c>
      <c r="AF45" s="183" t="str">
        <f t="array" ref="AF45">INDEX('QC Deviation Record Hall 3'!$A$119:$A$220,MATCH(Table111[[#This Row],[Defect العيب]],'QC Deviation Record Hall 3'!$B$119:$B$220,0))</f>
        <v>LK04</v>
      </c>
      <c r="AG45" s="87" t="str">
        <f t="array" ref="AG45">INDEX('QC Deviation Record Hall 3'!$B$119:$B$220,MATCH(LARGE('QC Deviation Record Hall 3'!$M$119:$M$220-ROW('QC Deviation Record Hall 3'!$M$119:$M$220)/10000000,ROW(A12)),'QC Deviation Record Hall 3'!$M$119:$M$220-ROW('QC Deviation Record Hall 3'!$M$119:$M$220)/10000000,0))</f>
        <v>تسريب أثناء النقل الداخلي</v>
      </c>
      <c r="AH45" s="87"/>
      <c r="AI45" s="207" t="str">
        <f t="array" ref="AI45">INDEX('QC Deviation Record Hall 3'!$C$119:$C$220,MATCH(Table111[[#This Row],[Defect العيب]],'QC Deviation Record Hall 3'!$B$119:$B$220,0))</f>
        <v/>
      </c>
      <c r="AJ45" s="207" t="str">
        <f t="array" ref="AJ45">INDEX('QC Deviation Record Hall 3'!$D$119:$D$220,MATCH(Table111[[#This Row],[Defect العيب]],'QC Deviation Record Hall 3'!$B$119:$B$220,0))</f>
        <v/>
      </c>
      <c r="AK45" s="207" t="str">
        <f t="array" ref="AK45">INDEX('QC Deviation Record Hall 3'!$E$119:$E$220,MATCH(Table111[[#This Row],[Defect العيب]],'QC Deviation Record Hall 3'!$B$119:$B$220,0))</f>
        <v/>
      </c>
      <c r="AL45" s="207" t="str">
        <f t="array" ref="AL45">INDEX('QC Deviation Record Hall 3'!$F$119:$F$220,MATCH(Table111[[#This Row],[Defect العيب]],'QC Deviation Record Hall 3'!$B$119:$B$220,0))</f>
        <v/>
      </c>
      <c r="AM45" s="207" t="str">
        <f t="array" ref="AM45">INDEX('QC Deviation Record Hall 3'!$G$119:$G$220,MATCH(Table111[[#This Row],[Defect العيب]],'QC Deviation Record Hall 3'!$B$119:$B$220,0))</f>
        <v/>
      </c>
      <c r="AN45" s="207" t="str">
        <f t="array" ref="AN45">INDEX('QC Deviation Record Hall 3'!$H$119:$H$220,MATCH(Table111[[#This Row],[Defect العيب]],'QC Deviation Record Hall 3'!$B$119:$B$220,0))</f>
        <v/>
      </c>
      <c r="AO45" s="207" t="str">
        <f t="array" ref="AO45">INDEX('QC Deviation Record Hall 3'!$I$119:$I$220,MATCH(Table111[[#This Row],[Defect العيب]],'QC Deviation Record Hall 3'!$B$119:$B$220,0))</f>
        <v/>
      </c>
      <c r="AP45" s="207" t="str">
        <f t="array" ref="AP45">INDEX('QC Deviation Record Hall 3'!$J$119:$J$220,MATCH(Table111[[#This Row],[Defect العيب]],'QC Deviation Record Hall 3'!$B$119:$B$220,0))</f>
        <v/>
      </c>
      <c r="AQ45" s="207" t="str">
        <f t="array" ref="AQ45">INDEX('QC Deviation Record Hall 3'!$K$119:$K$220,MATCH(Table111[[#This Row],[Defect العيب]],'QC Deviation Record Hall 3'!$B$119:$B$220,0))</f>
        <v/>
      </c>
      <c r="AR45" s="208" t="str">
        <f t="array" ref="AR45">INDEX('QC Deviation Record Hall 3'!$L$119:$L$220,MATCH(Table111[[#This Row],[Defect العيب]],'QC Deviation Record Hall 3'!$B$119:$B$220,0))</f>
        <v/>
      </c>
    </row>
    <row r="46" spans="1:44" s="4" customFormat="1" ht="180.5" customHeight="1" x14ac:dyDescent="0.15">
      <c r="A46" s="183" t="str">
        <f t="array" ref="A46">INDEX('QC Deviation Record Hall 1 '!$A$120:$A$221,MATCH(Table7[[#This Row],[Defect العيب]],'QC Deviation Record Hall 1 '!$B$120:$B$221,0))</f>
        <v>LK05</v>
      </c>
      <c r="B46" s="87" t="str">
        <f t="array" ref="B46">INDEX('QC Deviation Record Hall 1 '!$B$120:$B$221,MATCH(LARGE('QC Deviation Record Hall 1 '!$O$120:$O$221-ROW('QC Deviation Record Hall 1 '!$O$120:$O$221)/10000000,ROW(A13)),'QC Deviation Record Hall 1 '!$O$120:$O$221-ROW('QC Deviation Record Hall 1 '!$O$120:$O$221)/10000000,0))</f>
        <v>تسريب بسبب تشقق العبوة</v>
      </c>
      <c r="C46" s="87"/>
      <c r="D46" s="207" t="str">
        <f t="array" ref="D46">INDEX('QC Deviation Record Hall 1 '!$C$120:$C$221,MATCH(Table7[[#This Row],[Defect العيب]],'QC Deviation Record Hall 1 '!$B$120:$B$221,0))</f>
        <v/>
      </c>
      <c r="E46" s="207" t="str">
        <f t="array" ref="E46">INDEX('QC Deviation Record Hall 1 '!$D$120:$D$221,MATCH(Table7[[#This Row],[Defect العيب]],'QC Deviation Record Hall 1 '!$B$120:$B$221,0))</f>
        <v/>
      </c>
      <c r="F46" s="207" t="str">
        <f t="array" ref="F46">INDEX('QC Deviation Record Hall 1 '!$E$120:$E$221,MATCH(Table7[[#This Row],[Defect العيب]],'QC Deviation Record Hall 1 '!$B$120:$B$221,0))</f>
        <v/>
      </c>
      <c r="G46" s="207" t="str">
        <f t="array" ref="G46">INDEX('QC Deviation Record Hall 1 '!$F$120:$F$221,MATCH(Table7[[#This Row],[Defect العيب]],'QC Deviation Record Hall 1 '!$B$120:$B$221,0))</f>
        <v/>
      </c>
      <c r="H46" s="207" t="str">
        <f t="array" ref="H46">INDEX('QC Deviation Record Hall 1 '!$G$120:$G$221,MATCH(Table7[[#This Row],[Defect العيب]],'QC Deviation Record Hall 1 '!$B$120:$B$221,0))</f>
        <v/>
      </c>
      <c r="I46" s="207" t="str">
        <f t="array" ref="I46">INDEX('QC Deviation Record Hall 1 '!$H$120:$H$221,MATCH(Table7[[#This Row],[Defect العيب]],'QC Deviation Record Hall 1 '!$B$120:$B$221,0))</f>
        <v/>
      </c>
      <c r="J46" s="207" t="str">
        <f t="array" ref="J46">INDEX('QC Deviation Record Hall 1 '!$I$120:$I$221,MATCH(Table7[[#This Row],[Defect العيب]],'QC Deviation Record Hall 1 '!$B$120:$B$221,0))</f>
        <v/>
      </c>
      <c r="K46" s="207" t="str">
        <f t="array" ref="K46">INDEX('QC Deviation Record Hall 1 '!$J$120:$J$221,MATCH(Table7[[#This Row],[Defect العيب]],'QC Deviation Record Hall 1 '!$B$120:$B$221,0))</f>
        <v/>
      </c>
      <c r="L46" s="207" t="str">
        <f t="array" ref="L46">INDEX('QC Deviation Record Hall 1 '!$K$120:$K$221,MATCH(Table7[[#This Row],[Defect العيب]],'QC Deviation Record Hall 1 '!$B$120:$B$221,0))</f>
        <v/>
      </c>
      <c r="M46" s="207" t="str">
        <f t="array" ref="M46">INDEX('QC Deviation Record Hall 1 '!$L$120:$L$221,MATCH(Table7[[#This Row],[Defect العيب]],'QC Deviation Record Hall 1 '!$B$120:$B$221,0))</f>
        <v/>
      </c>
      <c r="N46" s="207" t="str">
        <f t="array" ref="N46">INDEX('QC Deviation Record Hall 1 '!$M$120:$M$221,MATCH(Table7[[#This Row],[Defect العيب]],'QC Deviation Record Hall 1 '!$B$120:$B$221,0))</f>
        <v/>
      </c>
      <c r="O46" s="208" t="str">
        <f t="array" ref="O46">INDEX('QC Deviation Record Hall 1 '!$N$120:$N$221,MATCH(Table7[[#This Row],[Defect العيب]],'QC Deviation Record Hall 1 '!$B$120:$B$221,0))</f>
        <v/>
      </c>
      <c r="P46" s="85"/>
      <c r="Q46" s="183" t="str">
        <f t="array" ref="Q46">INDEX('QC Deviation Record Hall 2'!$A$119:$A$220,MATCH(Table11[[#This Row],[Defect العيب]],'QC Deviation Record Hall 2'!$B$119:$B$220,0))</f>
        <v>LK05</v>
      </c>
      <c r="R46" s="87" t="str">
        <f t="array" ref="R46">INDEX('QC Deviation Record Hall 2'!$B$119:$B$220,MATCH(LARGE('QC Deviation Record Hall 2'!$M$119:$M$220-ROW('QC Deviation Record Hall 2'!$M$119:$M$220)/10000000,ROW(A13)),'QC Deviation Record Hall 2'!$M$119:$M$220-ROW('QC Deviation Record Hall 2'!$M$119:$M$220)/10000000,0))</f>
        <v>تسريب بسبب تشقق العبوة</v>
      </c>
      <c r="S46" s="87"/>
      <c r="T46" s="207" t="str">
        <f t="array" ref="T46">INDEX('QC Deviation Record Hall 2'!$C$119:$C$220,MATCH(Table11[[#This Row],[Defect العيب]],'QC Deviation Record Hall 2'!$B$119:$B$220,0))</f>
        <v/>
      </c>
      <c r="U46" s="207" t="str">
        <f t="array" ref="U46">INDEX('QC Deviation Record Hall 2'!$D$119:$D$220,MATCH(Table11[[#This Row],[Defect العيب]],'QC Deviation Record Hall 2'!$B$119:$B$220,0))</f>
        <v/>
      </c>
      <c r="V46" s="207" t="str">
        <f t="array" ref="V46">INDEX('QC Deviation Record Hall 2'!$E$119:$E$220,MATCH(Table11[[#This Row],[Defect العيب]],'QC Deviation Record Hall 2'!$B$119:$B$220,0))</f>
        <v/>
      </c>
      <c r="W46" s="207" t="str">
        <f t="array" ref="W46">INDEX('QC Deviation Record Hall 2'!$F$119:$F$220,MATCH(Table11[[#This Row],[Defect العيب]],'QC Deviation Record Hall 2'!$B$119:$B$220,0))</f>
        <v/>
      </c>
      <c r="X46" s="207" t="str">
        <f t="array" ref="X46">INDEX('QC Deviation Record Hall 2'!$G$119:$G$220,MATCH(Table11[[#This Row],[Defect العيب]],'QC Deviation Record Hall 2'!$B$119:$B$220,0))</f>
        <v/>
      </c>
      <c r="Y46" s="207" t="str">
        <f t="array" ref="Y46">INDEX('QC Deviation Record Hall 2'!$H$119:$H$220,MATCH(Table11[[#This Row],[Defect العيب]],'QC Deviation Record Hall 2'!$B$119:$B$220,0))</f>
        <v/>
      </c>
      <c r="Z46" s="207" t="str">
        <f t="array" ref="Z46">INDEX('QC Deviation Record Hall 2'!$I$119:$I$220,MATCH(Table11[[#This Row],[Defect العيب]],'QC Deviation Record Hall 2'!$B$119:$B$220,0))</f>
        <v/>
      </c>
      <c r="AA46" s="207" t="str">
        <f t="array" ref="AA46">INDEX('QC Deviation Record Hall 2'!$J$119:$J$220,MATCH(Table11[[#This Row],[Defect العيب]],'QC Deviation Record Hall 2'!$B$119:$B$220,0))</f>
        <v/>
      </c>
      <c r="AB46" s="207" t="str">
        <f t="array" ref="AB46">INDEX('QC Deviation Record Hall 2'!$K$119:$K$220,MATCH(Table11[[#This Row],[Defect العيب]],'QC Deviation Record Hall 2'!$B$119:$B$220,0))</f>
        <v/>
      </c>
      <c r="AC46" s="208" t="str">
        <f t="array" ref="AC46">INDEX('QC Deviation Record Hall 2'!$L$119:$L$220,MATCH(Table11[[#This Row],[Defect العيب]],'QC Deviation Record Hall 2'!$B$119:$B$220,0))</f>
        <v/>
      </c>
      <c r="AF46" s="183" t="str">
        <f t="array" ref="AF46">INDEX('QC Deviation Record Hall 3'!$A$119:$A$220,MATCH(Table111[[#This Row],[Defect العيب]],'QC Deviation Record Hall 3'!$B$119:$B$220,0))</f>
        <v>LK05</v>
      </c>
      <c r="AG46" s="87" t="str">
        <f t="array" ref="AG46">INDEX('QC Deviation Record Hall 3'!$B$119:$B$220,MATCH(LARGE('QC Deviation Record Hall 3'!$M$119:$M$220-ROW('QC Deviation Record Hall 3'!$M$119:$M$220)/10000000,ROW(A13)),'QC Deviation Record Hall 3'!$M$119:$M$220-ROW('QC Deviation Record Hall 3'!$M$119:$M$220)/10000000,0))</f>
        <v>تسريب بسبب تشقق العبوة</v>
      </c>
      <c r="AH46" s="87"/>
      <c r="AI46" s="207" t="str">
        <f t="array" ref="AI46">INDEX('QC Deviation Record Hall 3'!$C$119:$C$220,MATCH(Table111[[#This Row],[Defect العيب]],'QC Deviation Record Hall 3'!$B$119:$B$220,0))</f>
        <v/>
      </c>
      <c r="AJ46" s="207" t="str">
        <f t="array" ref="AJ46">INDEX('QC Deviation Record Hall 3'!$D$119:$D$220,MATCH(Table111[[#This Row],[Defect العيب]],'QC Deviation Record Hall 3'!$B$119:$B$220,0))</f>
        <v/>
      </c>
      <c r="AK46" s="207" t="str">
        <f t="array" ref="AK46">INDEX('QC Deviation Record Hall 3'!$E$119:$E$220,MATCH(Table111[[#This Row],[Defect العيب]],'QC Deviation Record Hall 3'!$B$119:$B$220,0))</f>
        <v/>
      </c>
      <c r="AL46" s="207" t="str">
        <f t="array" ref="AL46">INDEX('QC Deviation Record Hall 3'!$F$119:$F$220,MATCH(Table111[[#This Row],[Defect العيب]],'QC Deviation Record Hall 3'!$B$119:$B$220,0))</f>
        <v/>
      </c>
      <c r="AM46" s="207" t="str">
        <f t="array" ref="AM46">INDEX('QC Deviation Record Hall 3'!$G$119:$G$220,MATCH(Table111[[#This Row],[Defect العيب]],'QC Deviation Record Hall 3'!$B$119:$B$220,0))</f>
        <v/>
      </c>
      <c r="AN46" s="207" t="str">
        <f t="array" ref="AN46">INDEX('QC Deviation Record Hall 3'!$H$119:$H$220,MATCH(Table111[[#This Row],[Defect العيب]],'QC Deviation Record Hall 3'!$B$119:$B$220,0))</f>
        <v/>
      </c>
      <c r="AO46" s="207" t="str">
        <f t="array" ref="AO46">INDEX('QC Deviation Record Hall 3'!$I$119:$I$220,MATCH(Table111[[#This Row],[Defect العيب]],'QC Deviation Record Hall 3'!$B$119:$B$220,0))</f>
        <v/>
      </c>
      <c r="AP46" s="207" t="str">
        <f t="array" ref="AP46">INDEX('QC Deviation Record Hall 3'!$J$119:$J$220,MATCH(Table111[[#This Row],[Defect العيب]],'QC Deviation Record Hall 3'!$B$119:$B$220,0))</f>
        <v/>
      </c>
      <c r="AQ46" s="207" t="str">
        <f t="array" ref="AQ46">INDEX('QC Deviation Record Hall 3'!$K$119:$K$220,MATCH(Table111[[#This Row],[Defect العيب]],'QC Deviation Record Hall 3'!$B$119:$B$220,0))</f>
        <v/>
      </c>
      <c r="AR46" s="208" t="str">
        <f t="array" ref="AR46">INDEX('QC Deviation Record Hall 3'!$L$119:$L$220,MATCH(Table111[[#This Row],[Defect العيب]],'QC Deviation Record Hall 3'!$B$119:$B$220,0))</f>
        <v/>
      </c>
    </row>
    <row r="47" spans="1:44" s="4" customFormat="1" ht="180.5" customHeight="1" x14ac:dyDescent="0.15">
      <c r="A47" s="183" t="str">
        <f t="array" ref="A47">INDEX('QC Deviation Record Hall 1 '!$A$120:$A$221,MATCH(Table7[[#This Row],[Defect العيب]],'QC Deviation Record Hall 1 '!$B$120:$B$221,0))</f>
        <v>LK06</v>
      </c>
      <c r="B47" s="87" t="str">
        <f t="array" ref="B47">INDEX('QC Deviation Record Hall 1 '!$B$120:$B$221,MATCH(LARGE('QC Deviation Record Hall 1 '!$O$120:$O$221-ROW('QC Deviation Record Hall 1 '!$O$120:$O$221)/10000000,ROW(A14)),'QC Deviation Record Hall 1 '!$O$120:$O$221-ROW('QC Deviation Record Hall 1 '!$O$120:$O$221)/10000000,0))</f>
        <v>تسريب من اللحام بعد الفحص</v>
      </c>
      <c r="C47" s="87"/>
      <c r="D47" s="207" t="str">
        <f t="array" ref="D47">INDEX('QC Deviation Record Hall 1 '!$C$120:$C$221,MATCH(Table7[[#This Row],[Defect العيب]],'QC Deviation Record Hall 1 '!$B$120:$B$221,0))</f>
        <v/>
      </c>
      <c r="E47" s="207" t="str">
        <f t="array" ref="E47">INDEX('QC Deviation Record Hall 1 '!$D$120:$D$221,MATCH(Table7[[#This Row],[Defect العيب]],'QC Deviation Record Hall 1 '!$B$120:$B$221,0))</f>
        <v/>
      </c>
      <c r="F47" s="207" t="str">
        <f t="array" ref="F47">INDEX('QC Deviation Record Hall 1 '!$E$120:$E$221,MATCH(Table7[[#This Row],[Defect العيب]],'QC Deviation Record Hall 1 '!$B$120:$B$221,0))</f>
        <v/>
      </c>
      <c r="G47" s="207" t="str">
        <f t="array" ref="G47">INDEX('QC Deviation Record Hall 1 '!$F$120:$F$221,MATCH(Table7[[#This Row],[Defect العيب]],'QC Deviation Record Hall 1 '!$B$120:$B$221,0))</f>
        <v/>
      </c>
      <c r="H47" s="207" t="str">
        <f t="array" ref="H47">INDEX('QC Deviation Record Hall 1 '!$G$120:$G$221,MATCH(Table7[[#This Row],[Defect العيب]],'QC Deviation Record Hall 1 '!$B$120:$B$221,0))</f>
        <v/>
      </c>
      <c r="I47" s="207" t="str">
        <f t="array" ref="I47">INDEX('QC Deviation Record Hall 1 '!$H$120:$H$221,MATCH(Table7[[#This Row],[Defect العيب]],'QC Deviation Record Hall 1 '!$B$120:$B$221,0))</f>
        <v/>
      </c>
      <c r="J47" s="207" t="str">
        <f t="array" ref="J47">INDEX('QC Deviation Record Hall 1 '!$I$120:$I$221,MATCH(Table7[[#This Row],[Defect العيب]],'QC Deviation Record Hall 1 '!$B$120:$B$221,0))</f>
        <v/>
      </c>
      <c r="K47" s="207" t="str">
        <f t="array" ref="K47">INDEX('QC Deviation Record Hall 1 '!$J$120:$J$221,MATCH(Table7[[#This Row],[Defect العيب]],'QC Deviation Record Hall 1 '!$B$120:$B$221,0))</f>
        <v/>
      </c>
      <c r="L47" s="207" t="str">
        <f t="array" ref="L47">INDEX('QC Deviation Record Hall 1 '!$K$120:$K$221,MATCH(Table7[[#This Row],[Defect العيب]],'QC Deviation Record Hall 1 '!$B$120:$B$221,0))</f>
        <v/>
      </c>
      <c r="M47" s="207" t="str">
        <f t="array" ref="M47">INDEX('QC Deviation Record Hall 1 '!$L$120:$L$221,MATCH(Table7[[#This Row],[Defect العيب]],'QC Deviation Record Hall 1 '!$B$120:$B$221,0))</f>
        <v/>
      </c>
      <c r="N47" s="207" t="str">
        <f t="array" ref="N47">INDEX('QC Deviation Record Hall 1 '!$M$120:$M$221,MATCH(Table7[[#This Row],[Defect العيب]],'QC Deviation Record Hall 1 '!$B$120:$B$221,0))</f>
        <v/>
      </c>
      <c r="O47" s="208" t="str">
        <f t="array" ref="O47">INDEX('QC Deviation Record Hall 1 '!$N$120:$N$221,MATCH(Table7[[#This Row],[Defect العيب]],'QC Deviation Record Hall 1 '!$B$120:$B$221,0))</f>
        <v/>
      </c>
      <c r="P47" s="85"/>
      <c r="Q47" s="183" t="str">
        <f t="array" ref="Q47">INDEX('QC Deviation Record Hall 2'!$A$119:$A$220,MATCH(Table11[[#This Row],[Defect العيب]],'QC Deviation Record Hall 2'!$B$119:$B$220,0))</f>
        <v>LK06</v>
      </c>
      <c r="R47" s="87" t="str">
        <f t="array" ref="R47">INDEX('QC Deviation Record Hall 2'!$B$119:$B$220,MATCH(LARGE('QC Deviation Record Hall 2'!$M$119:$M$220-ROW('QC Deviation Record Hall 2'!$M$119:$M$220)/10000000,ROW(A14)),'QC Deviation Record Hall 2'!$M$119:$M$220-ROW('QC Deviation Record Hall 2'!$M$119:$M$220)/10000000,0))</f>
        <v>تسريب من اللحام بعد الفحص</v>
      </c>
      <c r="S47" s="87"/>
      <c r="T47" s="207" t="str">
        <f t="array" ref="T47">INDEX('QC Deviation Record Hall 2'!$C$119:$C$220,MATCH(Table11[[#This Row],[Defect العيب]],'QC Deviation Record Hall 2'!$B$119:$B$220,0))</f>
        <v/>
      </c>
      <c r="U47" s="207" t="str">
        <f t="array" ref="U47">INDEX('QC Deviation Record Hall 2'!$D$119:$D$220,MATCH(Table11[[#This Row],[Defect العيب]],'QC Deviation Record Hall 2'!$B$119:$B$220,0))</f>
        <v/>
      </c>
      <c r="V47" s="207" t="str">
        <f t="array" ref="V47">INDEX('QC Deviation Record Hall 2'!$E$119:$E$220,MATCH(Table11[[#This Row],[Defect العيب]],'QC Deviation Record Hall 2'!$B$119:$B$220,0))</f>
        <v/>
      </c>
      <c r="W47" s="207" t="str">
        <f t="array" ref="W47">INDEX('QC Deviation Record Hall 2'!$F$119:$F$220,MATCH(Table11[[#This Row],[Defect العيب]],'QC Deviation Record Hall 2'!$B$119:$B$220,0))</f>
        <v/>
      </c>
      <c r="X47" s="207" t="str">
        <f t="array" ref="X47">INDEX('QC Deviation Record Hall 2'!$G$119:$G$220,MATCH(Table11[[#This Row],[Defect العيب]],'QC Deviation Record Hall 2'!$B$119:$B$220,0))</f>
        <v/>
      </c>
      <c r="Y47" s="207" t="str">
        <f t="array" ref="Y47">INDEX('QC Deviation Record Hall 2'!$H$119:$H$220,MATCH(Table11[[#This Row],[Defect العيب]],'QC Deviation Record Hall 2'!$B$119:$B$220,0))</f>
        <v/>
      </c>
      <c r="Z47" s="207" t="str">
        <f t="array" ref="Z47">INDEX('QC Deviation Record Hall 2'!$I$119:$I$220,MATCH(Table11[[#This Row],[Defect العيب]],'QC Deviation Record Hall 2'!$B$119:$B$220,0))</f>
        <v/>
      </c>
      <c r="AA47" s="207" t="str">
        <f t="array" ref="AA47">INDEX('QC Deviation Record Hall 2'!$J$119:$J$220,MATCH(Table11[[#This Row],[Defect العيب]],'QC Deviation Record Hall 2'!$B$119:$B$220,0))</f>
        <v/>
      </c>
      <c r="AB47" s="207" t="str">
        <f t="array" ref="AB47">INDEX('QC Deviation Record Hall 2'!$K$119:$K$220,MATCH(Table11[[#This Row],[Defect العيب]],'QC Deviation Record Hall 2'!$B$119:$B$220,0))</f>
        <v/>
      </c>
      <c r="AC47" s="208" t="str">
        <f t="array" ref="AC47">INDEX('QC Deviation Record Hall 2'!$L$119:$L$220,MATCH(Table11[[#This Row],[Defect العيب]],'QC Deviation Record Hall 2'!$B$119:$B$220,0))</f>
        <v/>
      </c>
      <c r="AF47" s="183" t="str">
        <f t="array" ref="AF47">INDEX('QC Deviation Record Hall 3'!$A$119:$A$220,MATCH(Table111[[#This Row],[Defect العيب]],'QC Deviation Record Hall 3'!$B$119:$B$220,0))</f>
        <v>LK06</v>
      </c>
      <c r="AG47" s="87" t="str">
        <f t="array" ref="AG47">INDEX('QC Deviation Record Hall 3'!$B$119:$B$220,MATCH(LARGE('QC Deviation Record Hall 3'!$M$119:$M$220-ROW('QC Deviation Record Hall 3'!$M$119:$M$220)/10000000,ROW(A14)),'QC Deviation Record Hall 3'!$M$119:$M$220-ROW('QC Deviation Record Hall 3'!$M$119:$M$220)/10000000,0))</f>
        <v>تسريب من اللحام بعد الفحص</v>
      </c>
      <c r="AH47" s="87"/>
      <c r="AI47" s="207" t="str">
        <f t="array" ref="AI47">INDEX('QC Deviation Record Hall 3'!$C$119:$C$220,MATCH(Table111[[#This Row],[Defect العيب]],'QC Deviation Record Hall 3'!$B$119:$B$220,0))</f>
        <v/>
      </c>
      <c r="AJ47" s="207" t="str">
        <f t="array" ref="AJ47">INDEX('QC Deviation Record Hall 3'!$D$119:$D$220,MATCH(Table111[[#This Row],[Defect العيب]],'QC Deviation Record Hall 3'!$B$119:$B$220,0))</f>
        <v/>
      </c>
      <c r="AK47" s="207" t="str">
        <f t="array" ref="AK47">INDEX('QC Deviation Record Hall 3'!$E$119:$E$220,MATCH(Table111[[#This Row],[Defect العيب]],'QC Deviation Record Hall 3'!$B$119:$B$220,0))</f>
        <v/>
      </c>
      <c r="AL47" s="207" t="str">
        <f t="array" ref="AL47">INDEX('QC Deviation Record Hall 3'!$F$119:$F$220,MATCH(Table111[[#This Row],[Defect العيب]],'QC Deviation Record Hall 3'!$B$119:$B$220,0))</f>
        <v/>
      </c>
      <c r="AM47" s="207" t="str">
        <f t="array" ref="AM47">INDEX('QC Deviation Record Hall 3'!$G$119:$G$220,MATCH(Table111[[#This Row],[Defect العيب]],'QC Deviation Record Hall 3'!$B$119:$B$220,0))</f>
        <v/>
      </c>
      <c r="AN47" s="207" t="str">
        <f t="array" ref="AN47">INDEX('QC Deviation Record Hall 3'!$H$119:$H$220,MATCH(Table111[[#This Row],[Defect العيب]],'QC Deviation Record Hall 3'!$B$119:$B$220,0))</f>
        <v/>
      </c>
      <c r="AO47" s="207" t="str">
        <f t="array" ref="AO47">INDEX('QC Deviation Record Hall 3'!$I$119:$I$220,MATCH(Table111[[#This Row],[Defect العيب]],'QC Deviation Record Hall 3'!$B$119:$B$220,0))</f>
        <v/>
      </c>
      <c r="AP47" s="207" t="str">
        <f t="array" ref="AP47">INDEX('QC Deviation Record Hall 3'!$J$119:$J$220,MATCH(Table111[[#This Row],[Defect العيب]],'QC Deviation Record Hall 3'!$B$119:$B$220,0))</f>
        <v/>
      </c>
      <c r="AQ47" s="207" t="str">
        <f t="array" ref="AQ47">INDEX('QC Deviation Record Hall 3'!$K$119:$K$220,MATCH(Table111[[#This Row],[Defect العيب]],'QC Deviation Record Hall 3'!$B$119:$B$220,0))</f>
        <v/>
      </c>
      <c r="AR47" s="208" t="str">
        <f t="array" ref="AR47">INDEX('QC Deviation Record Hall 3'!$L$119:$L$220,MATCH(Table111[[#This Row],[Defect العيب]],'QC Deviation Record Hall 3'!$B$119:$B$220,0))</f>
        <v/>
      </c>
    </row>
    <row r="48" spans="1:44" s="4" customFormat="1" ht="180.5" customHeight="1" x14ac:dyDescent="0.15">
      <c r="A48" s="192" t="e">
        <f t="array" ref="A48">INDEX('QC Deviation Record Hall 1 '!$A$120:$A$221,MATCH(Table7[[#This Row],[Defect العيب]],'QC Deviation Record Hall 1 '!$B$120:$B$221,0))</f>
        <v>#N/A</v>
      </c>
      <c r="B48" s="87">
        <f t="array" ref="B48">INDEX('QC Deviation Record Hall 1 '!$B$120:$B$221,MATCH(LARGE('QC Deviation Record Hall 1 '!$O$120:$O$221-ROW('QC Deviation Record Hall 1 '!$O$120:$O$221)/10000000,ROW(A15)),'QC Deviation Record Hall 1 '!$O$120:$O$221-ROW('QC Deviation Record Hall 1 '!$O$120:$O$221)/10000000,0))</f>
        <v>0</v>
      </c>
      <c r="C48" s="193"/>
      <c r="D48" s="209" t="e">
        <f t="array" ref="D48">INDEX('QC Deviation Record Hall 1 '!$C$120:$C$221,MATCH(Table7[[#This Row],[Defect العيب]],'QC Deviation Record Hall 1 '!$B$120:$B$221,0))</f>
        <v>#N/A</v>
      </c>
      <c r="E48" s="209" t="e">
        <f t="array" ref="E48">INDEX('QC Deviation Record Hall 1 '!$D$120:$D$221,MATCH(Table7[[#This Row],[Defect العيب]],'QC Deviation Record Hall 1 '!$B$120:$B$221,0))</f>
        <v>#N/A</v>
      </c>
      <c r="F48" s="209" t="e">
        <f t="array" ref="F48">INDEX('QC Deviation Record Hall 1 '!$E$120:$E$221,MATCH(Table7[[#This Row],[Defect العيب]],'QC Deviation Record Hall 1 '!$B$120:$B$221,0))</f>
        <v>#N/A</v>
      </c>
      <c r="G48" s="209" t="e">
        <f t="array" ref="G48">INDEX('QC Deviation Record Hall 1 '!$F$120:$F$221,MATCH(Table7[[#This Row],[Defect العيب]],'QC Deviation Record Hall 1 '!$B$120:$B$221,0))</f>
        <v>#N/A</v>
      </c>
      <c r="H48" s="209" t="e">
        <f t="array" ref="H48">INDEX('QC Deviation Record Hall 1 '!$G$120:$G$221,MATCH(Table7[[#This Row],[Defect العيب]],'QC Deviation Record Hall 1 '!$B$120:$B$221,0))</f>
        <v>#N/A</v>
      </c>
      <c r="I48" s="209" t="e">
        <f t="array" ref="I48">INDEX('QC Deviation Record Hall 1 '!$H$120:$H$221,MATCH(Table7[[#This Row],[Defect العيب]],'QC Deviation Record Hall 1 '!$B$120:$B$221,0))</f>
        <v>#N/A</v>
      </c>
      <c r="J48" s="209" t="e">
        <f t="array" ref="J48">INDEX('QC Deviation Record Hall 1 '!$I$120:$I$221,MATCH(Table7[[#This Row],[Defect العيب]],'QC Deviation Record Hall 1 '!$B$120:$B$221,0))</f>
        <v>#N/A</v>
      </c>
      <c r="K48" s="209" t="e">
        <f t="array" ref="K48">INDEX('QC Deviation Record Hall 1 '!$J$120:$J$221,MATCH(Table7[[#This Row],[Defect العيب]],'QC Deviation Record Hall 1 '!$B$120:$B$221,0))</f>
        <v>#N/A</v>
      </c>
      <c r="L48" s="209" t="e">
        <f t="array" ref="L48">INDEX('QC Deviation Record Hall 1 '!$K$120:$K$221,MATCH(Table7[[#This Row],[Defect العيب]],'QC Deviation Record Hall 1 '!$B$120:$B$221,0))</f>
        <v>#N/A</v>
      </c>
      <c r="M48" s="209" t="e">
        <f t="array" ref="M48">INDEX('QC Deviation Record Hall 1 '!$L$120:$L$221,MATCH(Table7[[#This Row],[Defect العيب]],'QC Deviation Record Hall 1 '!$B$120:$B$221,0))</f>
        <v>#N/A</v>
      </c>
      <c r="N48" s="209" t="e">
        <f t="array" ref="N48">INDEX('QC Deviation Record Hall 1 '!$M$120:$M$221,MATCH(Table7[[#This Row],[Defect العيب]],'QC Deviation Record Hall 1 '!$B$120:$B$221,0))</f>
        <v>#N/A</v>
      </c>
      <c r="O48" s="210" t="e">
        <f t="array" ref="O48">INDEX('QC Deviation Record Hall 1 '!$N$120:$N$221,MATCH(Table7[[#This Row],[Defect العيب]],'QC Deviation Record Hall 1 '!$B$120:$B$221,0))</f>
        <v>#N/A</v>
      </c>
      <c r="P48" s="85"/>
      <c r="Q48" s="192" t="e">
        <f t="array" ref="Q48">INDEX('QC Deviation Record Hall 2'!$A$119:$A$220,MATCH(Table11[[#This Row],[Defect العيب]],'QC Deviation Record Hall 2'!$B$119:$B$220,0))</f>
        <v>#N/A</v>
      </c>
      <c r="R48" s="193">
        <f t="array" ref="R48">INDEX('QC Deviation Record Hall 2'!$B$119:$B$220,MATCH(LARGE('QC Deviation Record Hall 2'!$M$119:$M$220-ROW('QC Deviation Record Hall 2'!$M$119:$M$220)/10000000,ROW(A15)),'QC Deviation Record Hall 2'!$M$119:$M$220-ROW('QC Deviation Record Hall 2'!$M$119:$M$220)/10000000,0))</f>
        <v>0</v>
      </c>
      <c r="S48" s="193"/>
      <c r="T48" s="209" t="e">
        <f t="array" ref="T48">INDEX('QC Deviation Record Hall 2'!$C$119:$C$220,MATCH(Table11[[#This Row],[Defect العيب]],'QC Deviation Record Hall 2'!$B$119:$B$220,0))</f>
        <v>#N/A</v>
      </c>
      <c r="U48" s="209" t="e">
        <f t="array" ref="U48">INDEX('QC Deviation Record Hall 2'!$D$119:$D$220,MATCH(Table11[[#This Row],[Defect العيب]],'QC Deviation Record Hall 2'!$B$119:$B$220,0))</f>
        <v>#N/A</v>
      </c>
      <c r="V48" s="209" t="e">
        <f t="array" ref="V48">INDEX('QC Deviation Record Hall 2'!$E$119:$E$220,MATCH(Table11[[#This Row],[Defect العيب]],'QC Deviation Record Hall 2'!$B$119:$B$220,0))</f>
        <v>#N/A</v>
      </c>
      <c r="W48" s="209" t="e">
        <f t="array" ref="W48">INDEX('QC Deviation Record Hall 2'!$F$119:$F$220,MATCH(Table11[[#This Row],[Defect العيب]],'QC Deviation Record Hall 2'!$B$119:$B$220,0))</f>
        <v>#N/A</v>
      </c>
      <c r="X48" s="209" t="e">
        <f t="array" ref="X48">INDEX('QC Deviation Record Hall 2'!$G$119:$G$220,MATCH(Table11[[#This Row],[Defect العيب]],'QC Deviation Record Hall 2'!$B$119:$B$220,0))</f>
        <v>#N/A</v>
      </c>
      <c r="Y48" s="209" t="e">
        <f t="array" ref="Y48">INDEX('QC Deviation Record Hall 2'!$H$119:$H$220,MATCH(Table11[[#This Row],[Defect العيب]],'QC Deviation Record Hall 2'!$B$119:$B$220,0))</f>
        <v>#N/A</v>
      </c>
      <c r="Z48" s="209" t="e">
        <f t="array" ref="Z48">INDEX('QC Deviation Record Hall 2'!$I$119:$I$220,MATCH(Table11[[#This Row],[Defect العيب]],'QC Deviation Record Hall 2'!$B$119:$B$220,0))</f>
        <v>#N/A</v>
      </c>
      <c r="AA48" s="209" t="e">
        <f t="array" ref="AA48">INDEX('QC Deviation Record Hall 2'!$J$119:$J$220,MATCH(Table11[[#This Row],[Defect العيب]],'QC Deviation Record Hall 2'!$B$119:$B$220,0))</f>
        <v>#N/A</v>
      </c>
      <c r="AB48" s="209" t="e">
        <f t="array" ref="AB48">INDEX('QC Deviation Record Hall 2'!$K$119:$K$220,MATCH(Table11[[#This Row],[Defect العيب]],'QC Deviation Record Hall 2'!$B$119:$B$220,0))</f>
        <v>#N/A</v>
      </c>
      <c r="AC48" s="210" t="e">
        <f t="array" ref="AC48">INDEX('QC Deviation Record Hall 2'!$L$119:$L$220,MATCH(Table11[[#This Row],[Defect العيب]],'QC Deviation Record Hall 2'!$B$119:$B$220,0))</f>
        <v>#N/A</v>
      </c>
      <c r="AF48" s="192" t="e">
        <f t="array" ref="AF48">INDEX('QC Deviation Record Hall 3'!$A$119:$A$220,MATCH(Table111[[#This Row],[Defect العيب]],'QC Deviation Record Hall 3'!$B$119:$B$220,0))</f>
        <v>#N/A</v>
      </c>
      <c r="AG48" s="193">
        <f t="array" ref="AG48">INDEX('QC Deviation Record Hall 3'!$B$119:$B$220,MATCH(LARGE('QC Deviation Record Hall 3'!$M$119:$M$220-ROW('QC Deviation Record Hall 3'!$M$119:$M$220)/10000000,ROW(A15)),'QC Deviation Record Hall 3'!$M$119:$M$220-ROW('QC Deviation Record Hall 3'!$M$119:$M$220)/10000000,0))</f>
        <v>0</v>
      </c>
      <c r="AH48" s="193"/>
      <c r="AI48" s="209" t="e">
        <f t="array" ref="AI48">INDEX('QC Deviation Record Hall 3'!$C$119:$C$220,MATCH(Table111[[#This Row],[Defect العيب]],'QC Deviation Record Hall 3'!$B$119:$B$220,0))</f>
        <v>#N/A</v>
      </c>
      <c r="AJ48" s="209" t="e">
        <f t="array" ref="AJ48">INDEX('QC Deviation Record Hall 3'!$D$119:$D$220,MATCH(Table111[[#This Row],[Defect العيب]],'QC Deviation Record Hall 3'!$B$119:$B$220,0))</f>
        <v>#N/A</v>
      </c>
      <c r="AK48" s="209" t="e">
        <f t="array" ref="AK48">INDEX('QC Deviation Record Hall 3'!$E$119:$E$220,MATCH(Table111[[#This Row],[Defect العيب]],'QC Deviation Record Hall 3'!$B$119:$B$220,0))</f>
        <v>#N/A</v>
      </c>
      <c r="AL48" s="209" t="e">
        <f t="array" ref="AL48">INDEX('QC Deviation Record Hall 3'!$F$119:$F$220,MATCH(Table111[[#This Row],[Defect العيب]],'QC Deviation Record Hall 3'!$B$119:$B$220,0))</f>
        <v>#N/A</v>
      </c>
      <c r="AM48" s="209" t="e">
        <f t="array" ref="AM48">INDEX('QC Deviation Record Hall 3'!$G$119:$G$220,MATCH(Table111[[#This Row],[Defect العيب]],'QC Deviation Record Hall 3'!$B$119:$B$220,0))</f>
        <v>#N/A</v>
      </c>
      <c r="AN48" s="209" t="e">
        <f t="array" ref="AN48">INDEX('QC Deviation Record Hall 3'!$H$119:$H$220,MATCH(Table111[[#This Row],[Defect العيب]],'QC Deviation Record Hall 3'!$B$119:$B$220,0))</f>
        <v>#N/A</v>
      </c>
      <c r="AO48" s="209" t="e">
        <f t="array" ref="AO48">INDEX('QC Deviation Record Hall 3'!$I$119:$I$220,MATCH(Table111[[#This Row],[Defect العيب]],'QC Deviation Record Hall 3'!$B$119:$B$220,0))</f>
        <v>#N/A</v>
      </c>
      <c r="AP48" s="209" t="e">
        <f t="array" ref="AP48">INDEX('QC Deviation Record Hall 3'!$J$119:$J$220,MATCH(Table111[[#This Row],[Defect العيب]],'QC Deviation Record Hall 3'!$B$119:$B$220,0))</f>
        <v>#N/A</v>
      </c>
      <c r="AQ48" s="209" t="e">
        <f t="array" ref="AQ48">INDEX('QC Deviation Record Hall 3'!$K$119:$K$220,MATCH(Table111[[#This Row],[Defect العيب]],'QC Deviation Record Hall 3'!$B$119:$B$220,0))</f>
        <v>#N/A</v>
      </c>
      <c r="AR48" s="210" t="e">
        <f t="array" ref="AR48">INDEX('QC Deviation Record Hall 3'!$L$119:$L$220,MATCH(Table111[[#This Row],[Defect العيب]],'QC Deviation Record Hall 3'!$B$119:$B$220,0))</f>
        <v>#N/A</v>
      </c>
    </row>
    <row r="49" spans="1:44" s="4" customFormat="1" ht="79" customHeight="1" x14ac:dyDescent="0.15"/>
    <row r="50" spans="1:44" s="4" customFormat="1" ht="164" customHeight="1" x14ac:dyDescent="0.15">
      <c r="A50" s="230" t="s">
        <v>42</v>
      </c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</row>
    <row r="51" spans="1:44" s="4" customFormat="1" ht="79" customHeight="1" x14ac:dyDescent="0.15"/>
    <row r="52" spans="1:44" s="4" customFormat="1" ht="79" customHeight="1" x14ac:dyDescent="0.15">
      <c r="B52" s="85"/>
      <c r="C52" s="190" t="s">
        <v>7</v>
      </c>
      <c r="D52" s="190" t="s">
        <v>8</v>
      </c>
      <c r="E52" s="190" t="s">
        <v>9</v>
      </c>
      <c r="F52" s="190" t="s">
        <v>10</v>
      </c>
      <c r="G52" s="190" t="s">
        <v>11</v>
      </c>
      <c r="H52" s="190" t="s">
        <v>12</v>
      </c>
      <c r="I52" s="190" t="s">
        <v>13</v>
      </c>
      <c r="J52" s="190" t="s">
        <v>14</v>
      </c>
      <c r="K52" s="190" t="s">
        <v>15</v>
      </c>
      <c r="L52" s="190" t="s">
        <v>16</v>
      </c>
      <c r="M52" s="190" t="s">
        <v>43</v>
      </c>
      <c r="N52" s="191" t="s">
        <v>17</v>
      </c>
      <c r="S52" s="85"/>
      <c r="T52" s="190" t="s">
        <v>18</v>
      </c>
      <c r="U52" s="190" t="s">
        <v>19</v>
      </c>
      <c r="V52" s="190" t="s">
        <v>20</v>
      </c>
      <c r="W52" s="190" t="s">
        <v>39</v>
      </c>
      <c r="X52" s="190" t="s">
        <v>21</v>
      </c>
      <c r="Y52" s="190" t="s">
        <v>22</v>
      </c>
      <c r="Z52" s="190" t="s">
        <v>23</v>
      </c>
      <c r="AA52" s="190" t="s">
        <v>40</v>
      </c>
      <c r="AB52" s="190" t="s">
        <v>24</v>
      </c>
      <c r="AC52" s="191" t="s">
        <v>41</v>
      </c>
      <c r="AH52" s="85"/>
      <c r="AI52" s="190" t="s">
        <v>18</v>
      </c>
      <c r="AJ52" s="190" t="s">
        <v>19</v>
      </c>
      <c r="AK52" s="190" t="s">
        <v>20</v>
      </c>
      <c r="AL52" s="190" t="s">
        <v>39</v>
      </c>
      <c r="AM52" s="190" t="s">
        <v>21</v>
      </c>
      <c r="AN52" s="190" t="s">
        <v>22</v>
      </c>
      <c r="AO52" s="190" t="s">
        <v>23</v>
      </c>
      <c r="AP52" s="190" t="s">
        <v>40</v>
      </c>
      <c r="AQ52" s="190" t="s">
        <v>24</v>
      </c>
      <c r="AR52" s="191" t="s">
        <v>41</v>
      </c>
    </row>
    <row r="53" spans="1:44" s="4" customFormat="1" ht="79" customHeight="1" x14ac:dyDescent="0.15">
      <c r="B53" s="86" t="s">
        <v>44</v>
      </c>
      <c r="C53" s="206" t="str">
        <f>'QC Deviation Record Hall 1 '!C112</f>
        <v/>
      </c>
      <c r="D53" s="206" t="str">
        <f>'QC Deviation Record Hall 1 '!K112</f>
        <v/>
      </c>
      <c r="E53" s="206" t="str">
        <f>'QC Deviation Record Hall 1 '!S112</f>
        <v/>
      </c>
      <c r="F53" s="206" t="str">
        <f>'QC Deviation Record Hall 1 '!AA112</f>
        <v/>
      </c>
      <c r="G53" s="206" t="str">
        <f>'QC Deviation Record Hall 1 '!AI112</f>
        <v/>
      </c>
      <c r="H53" s="206" t="str">
        <f>'QC Deviation Record Hall 1 '!AQ112</f>
        <v/>
      </c>
      <c r="I53" s="206" t="str">
        <f>'QC Deviation Record Hall 1 '!AY112</f>
        <v/>
      </c>
      <c r="J53" s="206" t="str">
        <f>'QC Deviation Record Hall 1 '!BG112</f>
        <v/>
      </c>
      <c r="K53" s="206" t="str">
        <f>'QC Deviation Record Hall 1 '!BO112</f>
        <v/>
      </c>
      <c r="L53" s="206" t="str">
        <f>'QC Deviation Record Hall 1 '!BW112</f>
        <v/>
      </c>
      <c r="M53" s="206" t="str">
        <f>'QC Deviation Record Hall 1 '!CE112</f>
        <v/>
      </c>
      <c r="N53" s="205" t="str">
        <f>'QC Deviation Record Hall 1 '!CM112</f>
        <v/>
      </c>
      <c r="O53" s="33"/>
      <c r="S53" s="86" t="s">
        <v>44</v>
      </c>
      <c r="T53" s="206" t="str">
        <f>'QC Deviation Record Hall 2'!C111</f>
        <v/>
      </c>
      <c r="U53" s="206" t="str">
        <f>'QC Deviation Record Hall 2'!K111</f>
        <v/>
      </c>
      <c r="V53" s="206" t="str">
        <f>'QC Deviation Record Hall 2'!S111</f>
        <v/>
      </c>
      <c r="W53" s="206" t="str">
        <f>'QC Deviation Record Hall 2'!AA111</f>
        <v/>
      </c>
      <c r="X53" s="206" t="str">
        <f>'QC Deviation Record Hall 2'!AI111</f>
        <v/>
      </c>
      <c r="Y53" s="206" t="str">
        <f>'QC Deviation Record Hall 2'!AQ111</f>
        <v/>
      </c>
      <c r="Z53" s="206" t="str">
        <f>'QC Deviation Record Hall 2'!AY111</f>
        <v/>
      </c>
      <c r="AA53" s="206" t="str">
        <f>'QC Deviation Record Hall 2'!BG111</f>
        <v/>
      </c>
      <c r="AB53" s="206" t="str">
        <f>'QC Deviation Record Hall 2'!BO111</f>
        <v/>
      </c>
      <c r="AC53" s="205" t="str">
        <f>'QC Deviation Record Hall 2'!BW111</f>
        <v/>
      </c>
      <c r="AH53" s="86" t="s">
        <v>44</v>
      </c>
      <c r="AI53" s="206" t="str">
        <f>'QC Deviation Record Hall 3'!C111</f>
        <v/>
      </c>
      <c r="AJ53" s="206" t="str">
        <f>'QC Deviation Record Hall 3'!K111</f>
        <v/>
      </c>
      <c r="AK53" s="206" t="str">
        <f>'QC Deviation Record Hall 3'!S111</f>
        <v/>
      </c>
      <c r="AL53" s="206" t="str">
        <f>'QC Deviation Record Hall 3'!AA111</f>
        <v/>
      </c>
      <c r="AM53" s="206" t="str">
        <f>'QC Deviation Record Hall 3'!AI111</f>
        <v/>
      </c>
      <c r="AN53" s="206" t="str">
        <f>'QC Deviation Record Hall 3'!AQ111</f>
        <v/>
      </c>
      <c r="AO53" s="206" t="str">
        <f>'QC Deviation Record Hall 3'!AY111</f>
        <v/>
      </c>
      <c r="AP53" s="206" t="str">
        <f>'QC Deviation Record Hall 3'!BG111</f>
        <v/>
      </c>
      <c r="AQ53" s="206" t="str">
        <f>'QC Deviation Record Hall 3'!BO111</f>
        <v/>
      </c>
      <c r="AR53" s="205" t="str">
        <f>'QC Deviation Record Hall 3'!BW111</f>
        <v/>
      </c>
    </row>
    <row r="54" spans="1:44" s="4" customFormat="1" ht="79" customHeight="1" x14ac:dyDescent="0.15">
      <c r="B54" s="86" t="s">
        <v>45</v>
      </c>
      <c r="C54" s="206" t="str">
        <f>'QC Deviation Record Hall 1 '!D112</f>
        <v/>
      </c>
      <c r="D54" s="206" t="str">
        <f>'QC Deviation Record Hall 1 '!L112</f>
        <v/>
      </c>
      <c r="E54" s="206" t="str">
        <f>'QC Deviation Record Hall 1 '!T112</f>
        <v/>
      </c>
      <c r="F54" s="206" t="str">
        <f>'QC Deviation Record Hall 1 '!AB112</f>
        <v/>
      </c>
      <c r="G54" s="206" t="str">
        <f>'QC Deviation Record Hall 1 '!AJ112</f>
        <v/>
      </c>
      <c r="H54" s="206" t="str">
        <f>'QC Deviation Record Hall 1 '!AR112</f>
        <v/>
      </c>
      <c r="I54" s="206" t="str">
        <f>'QC Deviation Record Hall 1 '!AZ112</f>
        <v/>
      </c>
      <c r="J54" s="206" t="str">
        <f>'QC Deviation Record Hall 1 '!BH112</f>
        <v/>
      </c>
      <c r="K54" s="206" t="str">
        <f>'QC Deviation Record Hall 1 '!BP112</f>
        <v/>
      </c>
      <c r="L54" s="206" t="str">
        <f>'QC Deviation Record Hall 1 '!BX112</f>
        <v/>
      </c>
      <c r="M54" s="206" t="str">
        <f>'QC Deviation Record Hall 1 '!CF112</f>
        <v/>
      </c>
      <c r="N54" s="205" t="str">
        <f>'QC Deviation Record Hall 1 '!CN112</f>
        <v/>
      </c>
      <c r="O54" s="33"/>
      <c r="S54" s="86" t="s">
        <v>45</v>
      </c>
      <c r="T54" s="206" t="str">
        <f>'QC Deviation Record Hall 2'!D111</f>
        <v/>
      </c>
      <c r="U54" s="206" t="str">
        <f>'QC Deviation Record Hall 2'!L111</f>
        <v/>
      </c>
      <c r="V54" s="206" t="str">
        <f>'QC Deviation Record Hall 2'!T111</f>
        <v/>
      </c>
      <c r="W54" s="206" t="str">
        <f>'QC Deviation Record Hall 2'!AB111</f>
        <v/>
      </c>
      <c r="X54" s="206" t="str">
        <f>'QC Deviation Record Hall 2'!AJ111</f>
        <v/>
      </c>
      <c r="Y54" s="206" t="str">
        <f>'QC Deviation Record Hall 2'!AR111</f>
        <v/>
      </c>
      <c r="Z54" s="206" t="str">
        <f>'QC Deviation Record Hall 2'!AZ111</f>
        <v/>
      </c>
      <c r="AA54" s="206" t="str">
        <f>'QC Deviation Record Hall 2'!BH111</f>
        <v/>
      </c>
      <c r="AB54" s="206" t="str">
        <f>'QC Deviation Record Hall 2'!BP111</f>
        <v/>
      </c>
      <c r="AC54" s="205" t="str">
        <f>'QC Deviation Record Hall 2'!BX111</f>
        <v/>
      </c>
      <c r="AH54" s="86" t="s">
        <v>45</v>
      </c>
      <c r="AI54" s="206" t="str">
        <f>'QC Deviation Record Hall 3'!D111</f>
        <v/>
      </c>
      <c r="AJ54" s="206" t="str">
        <f>'QC Deviation Record Hall 3'!L111</f>
        <v/>
      </c>
      <c r="AK54" s="206" t="str">
        <f>'QC Deviation Record Hall 3'!T111</f>
        <v/>
      </c>
      <c r="AL54" s="206" t="str">
        <f>'QC Deviation Record Hall 3'!AB111</f>
        <v/>
      </c>
      <c r="AM54" s="206" t="str">
        <f>'QC Deviation Record Hall 3'!AJ111</f>
        <v/>
      </c>
      <c r="AN54" s="206" t="str">
        <f>'QC Deviation Record Hall 3'!AR111</f>
        <v/>
      </c>
      <c r="AO54" s="206" t="str">
        <f>'QC Deviation Record Hall 3'!AZ111</f>
        <v/>
      </c>
      <c r="AP54" s="206" t="str">
        <f>'QC Deviation Record Hall 3'!BH111</f>
        <v/>
      </c>
      <c r="AQ54" s="206" t="str">
        <f>'QC Deviation Record Hall 3'!BP111</f>
        <v/>
      </c>
      <c r="AR54" s="205" t="str">
        <f>'QC Deviation Record Hall 3'!BX111</f>
        <v/>
      </c>
    </row>
    <row r="55" spans="1:44" s="4" customFormat="1" ht="79" customHeight="1" x14ac:dyDescent="0.15">
      <c r="B55" s="86" t="s">
        <v>30</v>
      </c>
      <c r="C55" s="206" t="str">
        <f>'QC Deviation Record Hall 1 '!E112</f>
        <v/>
      </c>
      <c r="D55" s="206" t="str">
        <f>'QC Deviation Record Hall 1 '!M112</f>
        <v/>
      </c>
      <c r="E55" s="206" t="str">
        <f>'QC Deviation Record Hall 1 '!U112</f>
        <v/>
      </c>
      <c r="F55" s="206" t="str">
        <f>'QC Deviation Record Hall 1 '!AC112</f>
        <v/>
      </c>
      <c r="G55" s="206" t="str">
        <f>'QC Deviation Record Hall 1 '!AK112</f>
        <v/>
      </c>
      <c r="H55" s="206" t="str">
        <f>'QC Deviation Record Hall 1 '!AS112</f>
        <v/>
      </c>
      <c r="I55" s="206" t="str">
        <f>'QC Deviation Record Hall 1 '!BA112</f>
        <v/>
      </c>
      <c r="J55" s="206" t="str">
        <f>'QC Deviation Record Hall 1 '!BI112</f>
        <v/>
      </c>
      <c r="K55" s="206" t="str">
        <f>'QC Deviation Record Hall 1 '!BQ112</f>
        <v/>
      </c>
      <c r="L55" s="206" t="str">
        <f>'QC Deviation Record Hall 1 '!BY112</f>
        <v/>
      </c>
      <c r="M55" s="206" t="str">
        <f>'QC Deviation Record Hall 1 '!CG112</f>
        <v/>
      </c>
      <c r="N55" s="205" t="str">
        <f>'QC Deviation Record Hall 1 '!CO112</f>
        <v/>
      </c>
      <c r="O55" s="33"/>
      <c r="P55" s="33"/>
      <c r="Q55" s="33"/>
      <c r="S55" s="86" t="s">
        <v>30</v>
      </c>
      <c r="T55" s="206" t="str">
        <f>'QC Deviation Record Hall 2'!E111</f>
        <v/>
      </c>
      <c r="U55" s="206" t="str">
        <f>'QC Deviation Record Hall 2'!M111</f>
        <v/>
      </c>
      <c r="V55" s="206" t="str">
        <f>'QC Deviation Record Hall 2'!U111</f>
        <v/>
      </c>
      <c r="W55" s="206" t="str">
        <f>'QC Deviation Record Hall 2'!AC111</f>
        <v/>
      </c>
      <c r="X55" s="206" t="str">
        <f>'QC Deviation Record Hall 2'!AK111</f>
        <v/>
      </c>
      <c r="Y55" s="206" t="str">
        <f>'QC Deviation Record Hall 2'!AS111</f>
        <v/>
      </c>
      <c r="Z55" s="206" t="str">
        <f>'QC Deviation Record Hall 2'!BA111</f>
        <v/>
      </c>
      <c r="AA55" s="206" t="str">
        <f>'QC Deviation Record Hall 2'!BI111</f>
        <v/>
      </c>
      <c r="AB55" s="206" t="str">
        <f>'QC Deviation Record Hall 2'!BQ111</f>
        <v/>
      </c>
      <c r="AC55" s="205" t="str">
        <f>'QC Deviation Record Hall 2'!BY111</f>
        <v/>
      </c>
      <c r="AF55" s="33"/>
      <c r="AH55" s="86" t="s">
        <v>30</v>
      </c>
      <c r="AI55" s="206" t="str">
        <f>'QC Deviation Record Hall 3'!E111</f>
        <v/>
      </c>
      <c r="AJ55" s="206" t="str">
        <f>'QC Deviation Record Hall 3'!M111</f>
        <v/>
      </c>
      <c r="AK55" s="206" t="str">
        <f>'QC Deviation Record Hall 3'!U111</f>
        <v/>
      </c>
      <c r="AL55" s="206" t="str">
        <f>'QC Deviation Record Hall 3'!AC111</f>
        <v/>
      </c>
      <c r="AM55" s="206" t="str">
        <f>'QC Deviation Record Hall 3'!AK111</f>
        <v/>
      </c>
      <c r="AN55" s="206" t="str">
        <f>'QC Deviation Record Hall 3'!AS111</f>
        <v/>
      </c>
      <c r="AO55" s="206" t="str">
        <f>'QC Deviation Record Hall 3'!BA111</f>
        <v/>
      </c>
      <c r="AP55" s="206" t="str">
        <f>'QC Deviation Record Hall 3'!BI111</f>
        <v/>
      </c>
      <c r="AQ55" s="206" t="str">
        <f>'QC Deviation Record Hall 3'!BQ111</f>
        <v/>
      </c>
      <c r="AR55" s="205" t="str">
        <f>'QC Deviation Record Hall 3'!BY111</f>
        <v/>
      </c>
    </row>
    <row r="56" spans="1:44" s="4" customFormat="1" ht="79" customHeight="1" x14ac:dyDescent="0.15">
      <c r="B56" s="86" t="s">
        <v>31</v>
      </c>
      <c r="C56" s="206" t="str">
        <f>'QC Deviation Record Hall 1 '!F112</f>
        <v/>
      </c>
      <c r="D56" s="206" t="str">
        <f>'QC Deviation Record Hall 1 '!N112</f>
        <v/>
      </c>
      <c r="E56" s="206" t="str">
        <f>'QC Deviation Record Hall 1 '!V112</f>
        <v/>
      </c>
      <c r="F56" s="206" t="str">
        <f>'QC Deviation Record Hall 1 '!AD112</f>
        <v/>
      </c>
      <c r="G56" s="206" t="str">
        <f>'QC Deviation Record Hall 1 '!AL112</f>
        <v/>
      </c>
      <c r="H56" s="206" t="str">
        <f>'QC Deviation Record Hall 1 '!AT112</f>
        <v/>
      </c>
      <c r="I56" s="206" t="str">
        <f>'QC Deviation Record Hall 1 '!BB112</f>
        <v/>
      </c>
      <c r="J56" s="206" t="str">
        <f>'QC Deviation Record Hall 1 '!BJ112</f>
        <v/>
      </c>
      <c r="K56" s="206" t="str">
        <f>'QC Deviation Record Hall 1 '!BR112</f>
        <v/>
      </c>
      <c r="L56" s="206" t="str">
        <f>'QC Deviation Record Hall 1 '!BZ112</f>
        <v/>
      </c>
      <c r="M56" s="206" t="str">
        <f>'QC Deviation Record Hall 1 '!CH112</f>
        <v/>
      </c>
      <c r="N56" s="205" t="str">
        <f>'QC Deviation Record Hall 1 '!CP112</f>
        <v/>
      </c>
      <c r="O56" s="33"/>
      <c r="P56" s="33"/>
      <c r="Q56" s="33"/>
      <c r="S56" s="86" t="s">
        <v>31</v>
      </c>
      <c r="T56" s="206" t="str">
        <f>'QC Deviation Record Hall 2'!F111</f>
        <v/>
      </c>
      <c r="U56" s="206" t="str">
        <f>'QC Deviation Record Hall 2'!N111</f>
        <v/>
      </c>
      <c r="V56" s="206" t="str">
        <f>'QC Deviation Record Hall 2'!V111</f>
        <v/>
      </c>
      <c r="W56" s="206" t="str">
        <f>'QC Deviation Record Hall 2'!AD111</f>
        <v/>
      </c>
      <c r="X56" s="206" t="str">
        <f>'QC Deviation Record Hall 2'!AL111</f>
        <v/>
      </c>
      <c r="Y56" s="206" t="str">
        <f>'QC Deviation Record Hall 2'!AT111</f>
        <v/>
      </c>
      <c r="Z56" s="206" t="str">
        <f>'QC Deviation Record Hall 2'!BB111</f>
        <v/>
      </c>
      <c r="AA56" s="206" t="str">
        <f>'QC Deviation Record Hall 2'!BJ111</f>
        <v/>
      </c>
      <c r="AB56" s="206" t="str">
        <f>'QC Deviation Record Hall 2'!BR111</f>
        <v/>
      </c>
      <c r="AC56" s="205" t="str">
        <f>'QC Deviation Record Hall 2'!BZ111</f>
        <v/>
      </c>
      <c r="AF56" s="33"/>
      <c r="AH56" s="86" t="s">
        <v>31</v>
      </c>
      <c r="AI56" s="206" t="str">
        <f>'QC Deviation Record Hall 3'!F111</f>
        <v/>
      </c>
      <c r="AJ56" s="206" t="str">
        <f>'QC Deviation Record Hall 3'!N111</f>
        <v/>
      </c>
      <c r="AK56" s="206" t="str">
        <f>'QC Deviation Record Hall 3'!V111</f>
        <v/>
      </c>
      <c r="AL56" s="206" t="str">
        <f>'QC Deviation Record Hall 3'!AD111</f>
        <v/>
      </c>
      <c r="AM56" s="206" t="str">
        <f>'QC Deviation Record Hall 3'!AL111</f>
        <v/>
      </c>
      <c r="AN56" s="206" t="str">
        <f>'QC Deviation Record Hall 3'!AT111</f>
        <v/>
      </c>
      <c r="AO56" s="206" t="str">
        <f>'QC Deviation Record Hall 3'!BB111</f>
        <v/>
      </c>
      <c r="AP56" s="206" t="str">
        <f>'QC Deviation Record Hall 3'!BJ111</f>
        <v/>
      </c>
      <c r="AQ56" s="206" t="str">
        <f>'QC Deviation Record Hall 3'!BR111</f>
        <v/>
      </c>
      <c r="AR56" s="205" t="str">
        <f>'QC Deviation Record Hall 3'!BZ111</f>
        <v/>
      </c>
    </row>
    <row r="57" spans="1:44" s="4" customFormat="1" ht="79" customHeight="1" x14ac:dyDescent="0.15">
      <c r="B57" s="86" t="s">
        <v>32</v>
      </c>
      <c r="C57" s="206" t="str">
        <f>'QC Deviation Record Hall 1 '!G112</f>
        <v/>
      </c>
      <c r="D57" s="206" t="str">
        <f>'QC Deviation Record Hall 1 '!O112</f>
        <v/>
      </c>
      <c r="E57" s="206" t="str">
        <f>'QC Deviation Record Hall 1 '!W112</f>
        <v/>
      </c>
      <c r="F57" s="206" t="str">
        <f>'QC Deviation Record Hall 1 '!AE112</f>
        <v/>
      </c>
      <c r="G57" s="206" t="str">
        <f>'QC Deviation Record Hall 1 '!AM112</f>
        <v/>
      </c>
      <c r="H57" s="206" t="str">
        <f>'QC Deviation Record Hall 1 '!AU112</f>
        <v/>
      </c>
      <c r="I57" s="206" t="str">
        <f>'QC Deviation Record Hall 1 '!BC112</f>
        <v/>
      </c>
      <c r="J57" s="206" t="str">
        <f>'QC Deviation Record Hall 1 '!BK112</f>
        <v/>
      </c>
      <c r="K57" s="206" t="str">
        <f>'QC Deviation Record Hall 1 '!BS112</f>
        <v/>
      </c>
      <c r="L57" s="206" t="str">
        <f>'QC Deviation Record Hall 1 '!CA112</f>
        <v/>
      </c>
      <c r="M57" s="206" t="str">
        <f>'QC Deviation Record Hall 1 '!CI112</f>
        <v/>
      </c>
      <c r="N57" s="205" t="str">
        <f>'QC Deviation Record Hall 1 '!CQ112</f>
        <v/>
      </c>
      <c r="O57" s="33"/>
      <c r="P57" s="33"/>
      <c r="Q57" s="33"/>
      <c r="S57" s="86" t="s">
        <v>32</v>
      </c>
      <c r="T57" s="206" t="str">
        <f>'QC Deviation Record Hall 2'!G111</f>
        <v/>
      </c>
      <c r="U57" s="206" t="str">
        <f>'QC Deviation Record Hall 2'!O111</f>
        <v/>
      </c>
      <c r="V57" s="206" t="str">
        <f>'QC Deviation Record Hall 2'!W111</f>
        <v/>
      </c>
      <c r="W57" s="206" t="str">
        <f>'QC Deviation Record Hall 2'!AE111</f>
        <v/>
      </c>
      <c r="X57" s="206" t="str">
        <f>'QC Deviation Record Hall 2'!AM111</f>
        <v/>
      </c>
      <c r="Y57" s="206" t="str">
        <f>'QC Deviation Record Hall 2'!AU111</f>
        <v/>
      </c>
      <c r="Z57" s="206" t="str">
        <f>'QC Deviation Record Hall 2'!BC111</f>
        <v/>
      </c>
      <c r="AA57" s="206" t="str">
        <f>'QC Deviation Record Hall 2'!BK111</f>
        <v/>
      </c>
      <c r="AB57" s="206" t="str">
        <f>'QC Deviation Record Hall 2'!BS111</f>
        <v/>
      </c>
      <c r="AC57" s="205" t="str">
        <f>'QC Deviation Record Hall 2'!CA111</f>
        <v/>
      </c>
      <c r="AF57" s="33"/>
      <c r="AH57" s="86" t="s">
        <v>32</v>
      </c>
      <c r="AI57" s="206" t="str">
        <f>'QC Deviation Record Hall 3'!G111</f>
        <v/>
      </c>
      <c r="AJ57" s="206" t="str">
        <f>'QC Deviation Record Hall 3'!O111</f>
        <v/>
      </c>
      <c r="AK57" s="206" t="str">
        <f>'QC Deviation Record Hall 3'!W111</f>
        <v/>
      </c>
      <c r="AL57" s="206" t="str">
        <f>'QC Deviation Record Hall 3'!AE111</f>
        <v/>
      </c>
      <c r="AM57" s="206" t="str">
        <f>'QC Deviation Record Hall 3'!AM111</f>
        <v/>
      </c>
      <c r="AN57" s="206" t="str">
        <f>'QC Deviation Record Hall 3'!AU111</f>
        <v/>
      </c>
      <c r="AO57" s="206" t="str">
        <f>'QC Deviation Record Hall 3'!BC111</f>
        <v/>
      </c>
      <c r="AP57" s="206" t="str">
        <f>'QC Deviation Record Hall 3'!BK111</f>
        <v/>
      </c>
      <c r="AQ57" s="206" t="str">
        <f>'QC Deviation Record Hall 3'!BS111</f>
        <v/>
      </c>
      <c r="AR57" s="205" t="str">
        <f>'QC Deviation Record Hall 3'!CA111</f>
        <v/>
      </c>
    </row>
    <row r="58" spans="1:44" s="4" customFormat="1" ht="79" customHeight="1" x14ac:dyDescent="0.15">
      <c r="B58" s="86" t="s">
        <v>33</v>
      </c>
      <c r="C58" s="206" t="str">
        <f>'QC Deviation Record Hall 1 '!H112</f>
        <v/>
      </c>
      <c r="D58" s="206" t="str">
        <f>'QC Deviation Record Hall 1 '!P112</f>
        <v/>
      </c>
      <c r="E58" s="206" t="str">
        <f>'QC Deviation Record Hall 1 '!X112</f>
        <v/>
      </c>
      <c r="F58" s="206" t="str">
        <f>'QC Deviation Record Hall 1 '!AF112</f>
        <v/>
      </c>
      <c r="G58" s="206" t="str">
        <f>'QC Deviation Record Hall 1 '!AN112</f>
        <v/>
      </c>
      <c r="H58" s="206" t="str">
        <f>'QC Deviation Record Hall 1 '!AV112</f>
        <v/>
      </c>
      <c r="I58" s="206" t="str">
        <f>'QC Deviation Record Hall 1 '!BD112</f>
        <v/>
      </c>
      <c r="J58" s="206" t="str">
        <f>'QC Deviation Record Hall 1 '!BL112</f>
        <v/>
      </c>
      <c r="K58" s="206" t="str">
        <f>'QC Deviation Record Hall 1 '!BT112</f>
        <v/>
      </c>
      <c r="L58" s="206" t="str">
        <f>'QC Deviation Record Hall 1 '!CB112</f>
        <v/>
      </c>
      <c r="M58" s="206" t="str">
        <f>'QC Deviation Record Hall 1 '!CJ112</f>
        <v/>
      </c>
      <c r="N58" s="205" t="str">
        <f>'QC Deviation Record Hall 1 '!CR112</f>
        <v/>
      </c>
      <c r="O58" s="33"/>
      <c r="P58" s="33"/>
      <c r="Q58" s="33"/>
      <c r="S58" s="86" t="s">
        <v>33</v>
      </c>
      <c r="T58" s="206" t="str">
        <f>'QC Deviation Record Hall 2'!H111</f>
        <v/>
      </c>
      <c r="U58" s="206" t="str">
        <f>'QC Deviation Record Hall 2'!P111</f>
        <v/>
      </c>
      <c r="V58" s="206" t="str">
        <f>'QC Deviation Record Hall 2'!X111</f>
        <v/>
      </c>
      <c r="W58" s="206" t="str">
        <f>'QC Deviation Record Hall 2'!AF111</f>
        <v/>
      </c>
      <c r="X58" s="206" t="str">
        <f>'QC Deviation Record Hall 2'!AN111</f>
        <v/>
      </c>
      <c r="Y58" s="206" t="str">
        <f>'QC Deviation Record Hall 2'!AV111</f>
        <v/>
      </c>
      <c r="Z58" s="206" t="str">
        <f>'QC Deviation Record Hall 2'!BD111</f>
        <v/>
      </c>
      <c r="AA58" s="206" t="str">
        <f>'QC Deviation Record Hall 2'!BL111</f>
        <v/>
      </c>
      <c r="AB58" s="206" t="str">
        <f>'QC Deviation Record Hall 2'!BT111</f>
        <v/>
      </c>
      <c r="AC58" s="205" t="str">
        <f>'QC Deviation Record Hall 2'!CB111</f>
        <v/>
      </c>
      <c r="AF58" s="33"/>
      <c r="AH58" s="86" t="s">
        <v>33</v>
      </c>
      <c r="AI58" s="206" t="str">
        <f>'QC Deviation Record Hall 3'!H111</f>
        <v/>
      </c>
      <c r="AJ58" s="206" t="str">
        <f>'QC Deviation Record Hall 3'!P111</f>
        <v/>
      </c>
      <c r="AK58" s="206" t="str">
        <f>'QC Deviation Record Hall 3'!X111</f>
        <v/>
      </c>
      <c r="AL58" s="206" t="str">
        <f>'QC Deviation Record Hall 3'!AF111</f>
        <v/>
      </c>
      <c r="AM58" s="206" t="str">
        <f>'QC Deviation Record Hall 3'!AN111</f>
        <v/>
      </c>
      <c r="AN58" s="206" t="str">
        <f>'QC Deviation Record Hall 3'!AV111</f>
        <v/>
      </c>
      <c r="AO58" s="206" t="str">
        <f>'QC Deviation Record Hall 3'!BD111</f>
        <v/>
      </c>
      <c r="AP58" s="206" t="str">
        <f>'QC Deviation Record Hall 3'!BL111</f>
        <v/>
      </c>
      <c r="AQ58" s="206" t="str">
        <f>'QC Deviation Record Hall 3'!BT111</f>
        <v/>
      </c>
      <c r="AR58" s="205" t="str">
        <f>'QC Deviation Record Hall 3'!CB111</f>
        <v/>
      </c>
    </row>
    <row r="59" spans="1:44" s="4" customFormat="1" ht="53" customHeight="1" x14ac:dyDescent="0.15">
      <c r="B59" s="86" t="s">
        <v>34</v>
      </c>
      <c r="C59" s="206" t="str">
        <f>'QC Deviation Record Hall 1 '!I112</f>
        <v/>
      </c>
      <c r="D59" s="206" t="str">
        <f>'QC Deviation Record Hall 1 '!Q112</f>
        <v/>
      </c>
      <c r="E59" s="206" t="str">
        <f>'QC Deviation Record Hall 1 '!Y112</f>
        <v/>
      </c>
      <c r="F59" s="206" t="str">
        <f>'QC Deviation Record Hall 1 '!AG112</f>
        <v/>
      </c>
      <c r="G59" s="206" t="str">
        <f>'QC Deviation Record Hall 1 '!AO112</f>
        <v/>
      </c>
      <c r="H59" s="206" t="str">
        <f>'QC Deviation Record Hall 1 '!AW112</f>
        <v/>
      </c>
      <c r="I59" s="206" t="str">
        <f>'QC Deviation Record Hall 1 '!BE112</f>
        <v/>
      </c>
      <c r="J59" s="206" t="str">
        <f>'QC Deviation Record Hall 1 '!BM112</f>
        <v/>
      </c>
      <c r="K59" s="206" t="str">
        <f>'QC Deviation Record Hall 1 '!BU112</f>
        <v/>
      </c>
      <c r="L59" s="206" t="str">
        <f>'QC Deviation Record Hall 1 '!CC112</f>
        <v/>
      </c>
      <c r="M59" s="206" t="str">
        <f>'QC Deviation Record Hall 1 '!CK112</f>
        <v/>
      </c>
      <c r="N59" s="205" t="str">
        <f>'QC Deviation Record Hall 1 '!CS112</f>
        <v/>
      </c>
      <c r="O59" s="33"/>
      <c r="P59" s="33"/>
      <c r="Q59" s="33"/>
      <c r="S59" s="86" t="s">
        <v>34</v>
      </c>
      <c r="T59" s="206" t="str">
        <f>'QC Deviation Record Hall 2'!I111</f>
        <v/>
      </c>
      <c r="U59" s="206" t="str">
        <f>'QC Deviation Record Hall 2'!Q111</f>
        <v/>
      </c>
      <c r="V59" s="206" t="str">
        <f>'QC Deviation Record Hall 2'!Y111</f>
        <v/>
      </c>
      <c r="W59" s="206" t="str">
        <f>'QC Deviation Record Hall 2'!AG111</f>
        <v/>
      </c>
      <c r="X59" s="206" t="str">
        <f>'QC Deviation Record Hall 2'!AO111</f>
        <v/>
      </c>
      <c r="Y59" s="206" t="str">
        <f>'QC Deviation Record Hall 2'!AW111</f>
        <v/>
      </c>
      <c r="Z59" s="206" t="str">
        <f>'QC Deviation Record Hall 2'!BE111</f>
        <v/>
      </c>
      <c r="AA59" s="206" t="str">
        <f>'QC Deviation Record Hall 2'!BM111</f>
        <v/>
      </c>
      <c r="AB59" s="206" t="str">
        <f>'QC Deviation Record Hall 2'!BU111</f>
        <v/>
      </c>
      <c r="AC59" s="205" t="str">
        <f>'QC Deviation Record Hall 2'!CC111</f>
        <v/>
      </c>
      <c r="AF59" s="33"/>
      <c r="AH59" s="86" t="s">
        <v>34</v>
      </c>
      <c r="AI59" s="206" t="str">
        <f>'QC Deviation Record Hall 3'!I111</f>
        <v/>
      </c>
      <c r="AJ59" s="206" t="str">
        <f>'QC Deviation Record Hall 3'!Q111</f>
        <v/>
      </c>
      <c r="AK59" s="206" t="str">
        <f>'QC Deviation Record Hall 3'!Y111</f>
        <v/>
      </c>
      <c r="AL59" s="206" t="str">
        <f>'QC Deviation Record Hall 3'!AG111</f>
        <v/>
      </c>
      <c r="AM59" s="206" t="str">
        <f>'QC Deviation Record Hall 3'!AO111</f>
        <v/>
      </c>
      <c r="AN59" s="206" t="str">
        <f>'QC Deviation Record Hall 3'!AW111</f>
        <v/>
      </c>
      <c r="AO59" s="206" t="str">
        <f>'QC Deviation Record Hall 3'!BE111</f>
        <v/>
      </c>
      <c r="AP59" s="206" t="str">
        <f>'QC Deviation Record Hall 3'!BM111</f>
        <v/>
      </c>
      <c r="AQ59" s="206" t="str">
        <f>'QC Deviation Record Hall 3'!BU111</f>
        <v/>
      </c>
      <c r="AR59" s="205" t="str">
        <f>'QC Deviation Record Hall 3'!CC111</f>
        <v/>
      </c>
    </row>
    <row r="60" spans="1:44" s="4" customFormat="1" ht="53" customHeight="1" x14ac:dyDescent="0.15">
      <c r="B60" s="88" t="s">
        <v>46</v>
      </c>
      <c r="C60" s="214" t="str">
        <f>'QC Deviation Record Hall 1 '!J113</f>
        <v/>
      </c>
      <c r="D60" s="214" t="str">
        <f>'QC Deviation Record Hall 1 '!R113</f>
        <v/>
      </c>
      <c r="E60" s="214" t="str">
        <f>'QC Deviation Record Hall 1 '!Z113</f>
        <v/>
      </c>
      <c r="F60" s="214" t="str">
        <f>'QC Deviation Record Hall 1 '!AH113</f>
        <v/>
      </c>
      <c r="G60" s="214" t="str">
        <f>'QC Deviation Record Hall 1 '!AP113</f>
        <v/>
      </c>
      <c r="H60" s="214" t="str">
        <f>'QC Deviation Record Hall 1 '!AX113</f>
        <v/>
      </c>
      <c r="I60" s="214" t="str">
        <f>'QC Deviation Record Hall 1 '!BF113</f>
        <v/>
      </c>
      <c r="J60" s="214" t="str">
        <f>'QC Deviation Record Hall 1 '!BN113</f>
        <v/>
      </c>
      <c r="K60" s="214" t="str">
        <f>'QC Deviation Record Hall 1 '!BV113</f>
        <v/>
      </c>
      <c r="L60" s="214" t="str">
        <f>'QC Deviation Record Hall 1 '!CD113</f>
        <v/>
      </c>
      <c r="M60" s="214" t="str">
        <f>'QC Deviation Record Hall 1 '!CL113</f>
        <v/>
      </c>
      <c r="N60" s="215" t="str">
        <f>'QC Deviation Record Hall 1 '!CT113</f>
        <v/>
      </c>
      <c r="O60" s="33"/>
      <c r="P60" s="33"/>
      <c r="Q60" s="33"/>
      <c r="S60" s="88" t="s">
        <v>46</v>
      </c>
      <c r="T60" s="214" t="str">
        <f>'QC Deviation Record Hall 2'!J112</f>
        <v/>
      </c>
      <c r="U60" s="214" t="str">
        <f>'QC Deviation Record Hall 2'!R112</f>
        <v/>
      </c>
      <c r="V60" s="214" t="str">
        <f>'QC Deviation Record Hall 2'!Z112</f>
        <v/>
      </c>
      <c r="W60" s="214" t="str">
        <f>'QC Deviation Record Hall 2'!AH112</f>
        <v/>
      </c>
      <c r="X60" s="214" t="str">
        <f>'QC Deviation Record Hall 2'!AP112</f>
        <v/>
      </c>
      <c r="Y60" s="214" t="str">
        <f>'QC Deviation Record Hall 2'!AX112</f>
        <v/>
      </c>
      <c r="Z60" s="214" t="str">
        <f>'QC Deviation Record Hall 2'!BF112</f>
        <v/>
      </c>
      <c r="AA60" s="214" t="str">
        <f>'QC Deviation Record Hall 2'!BN112</f>
        <v/>
      </c>
      <c r="AB60" s="214" t="str">
        <f>'QC Deviation Record Hall 2'!BV112</f>
        <v/>
      </c>
      <c r="AC60" s="215" t="str">
        <f>'QC Deviation Record Hall 2'!CD112</f>
        <v/>
      </c>
      <c r="AF60" s="33"/>
      <c r="AH60" s="88" t="s">
        <v>46</v>
      </c>
      <c r="AI60" s="214" t="str">
        <f>'QC Deviation Record Hall 3'!J112</f>
        <v/>
      </c>
      <c r="AJ60" s="214" t="str">
        <f>'QC Deviation Record Hall 3'!R112</f>
        <v/>
      </c>
      <c r="AK60" s="214" t="str">
        <f>'QC Deviation Record Hall 3'!Z112</f>
        <v/>
      </c>
      <c r="AL60" s="214" t="str">
        <f>'QC Deviation Record Hall 3'!AH112</f>
        <v/>
      </c>
      <c r="AM60" s="214" t="str">
        <f>'QC Deviation Record Hall 3'!AP112</f>
        <v/>
      </c>
      <c r="AN60" s="214" t="str">
        <f>'QC Deviation Record Hall 3'!AX112</f>
        <v/>
      </c>
      <c r="AO60" s="214" t="str">
        <f>'QC Deviation Record Hall 3'!BF112</f>
        <v/>
      </c>
      <c r="AP60" s="214" t="str">
        <f>'QC Deviation Record Hall 3'!BN112</f>
        <v/>
      </c>
      <c r="AQ60" s="214" t="str">
        <f>'QC Deviation Record Hall 3'!BV112</f>
        <v/>
      </c>
      <c r="AR60" s="215" t="str">
        <f>'QC Deviation Record Hall 3'!CD112</f>
        <v/>
      </c>
    </row>
    <row r="61" spans="1:44" s="4" customFormat="1" ht="53" customHeight="1" x14ac:dyDescent="0.15">
      <c r="B61" s="88" t="s">
        <v>47</v>
      </c>
      <c r="C61" s="216" t="str">
        <f>'QC Deviation Record Hall 1 '!C113</f>
        <v/>
      </c>
      <c r="D61" s="216" t="str">
        <f>'QC Deviation Record Hall 1 '!K113</f>
        <v/>
      </c>
      <c r="E61" s="216" t="str">
        <f>'QC Deviation Record Hall 1 '!S113</f>
        <v/>
      </c>
      <c r="F61" s="216" t="str">
        <f>'QC Deviation Record Hall 1 '!AA113</f>
        <v/>
      </c>
      <c r="G61" s="216" t="str">
        <f>'QC Deviation Record Hall 1 '!AI113</f>
        <v/>
      </c>
      <c r="H61" s="216" t="str">
        <f>'QC Deviation Record Hall 1 '!AQ113</f>
        <v/>
      </c>
      <c r="I61" s="216" t="str">
        <f>'QC Deviation Record Hall 1 '!AY113</f>
        <v/>
      </c>
      <c r="J61" s="216" t="str">
        <f>'QC Deviation Record Hall 1 '!BG113</f>
        <v/>
      </c>
      <c r="K61" s="216" t="str">
        <f>'QC Deviation Record Hall 1 '!BO113</f>
        <v/>
      </c>
      <c r="L61" s="216" t="str">
        <f>'QC Deviation Record Hall 1 '!BW113</f>
        <v/>
      </c>
      <c r="M61" s="216" t="str">
        <f>'QC Deviation Record Hall 1 '!CE113</f>
        <v/>
      </c>
      <c r="N61" s="217" t="str">
        <f>'QC Deviation Record Hall 1 '!CM113</f>
        <v/>
      </c>
      <c r="O61" s="33"/>
      <c r="P61" s="33"/>
      <c r="Q61" s="33"/>
      <c r="S61" s="88" t="s">
        <v>47</v>
      </c>
      <c r="T61" s="216" t="str">
        <f>'QC Deviation Record Hall 2'!C112</f>
        <v/>
      </c>
      <c r="U61" s="216" t="str">
        <f>'QC Deviation Record Hall 2'!K112</f>
        <v/>
      </c>
      <c r="V61" s="216" t="str">
        <f>'QC Deviation Record Hall 2'!S112</f>
        <v/>
      </c>
      <c r="W61" s="216" t="str">
        <f>'QC Deviation Record Hall 2'!AA112</f>
        <v/>
      </c>
      <c r="X61" s="216" t="str">
        <f>'QC Deviation Record Hall 2'!AI112</f>
        <v/>
      </c>
      <c r="Y61" s="216" t="str">
        <f>'QC Deviation Record Hall 2'!AQ112</f>
        <v/>
      </c>
      <c r="Z61" s="216" t="str">
        <f>'QC Deviation Record Hall 2'!AY112</f>
        <v/>
      </c>
      <c r="AA61" s="216" t="str">
        <f>'QC Deviation Record Hall 2'!BG112</f>
        <v/>
      </c>
      <c r="AB61" s="216" t="str">
        <f>'QC Deviation Record Hall 2'!BO112</f>
        <v/>
      </c>
      <c r="AC61" s="217" t="str">
        <f>'QC Deviation Record Hall 2'!BW112</f>
        <v/>
      </c>
      <c r="AF61" s="33"/>
      <c r="AH61" s="88" t="s">
        <v>47</v>
      </c>
      <c r="AI61" s="216" t="str">
        <f>'QC Deviation Record Hall 3'!C112</f>
        <v/>
      </c>
      <c r="AJ61" s="216" t="str">
        <f>'QC Deviation Record Hall 3'!K112</f>
        <v/>
      </c>
      <c r="AK61" s="216" t="str">
        <f>'QC Deviation Record Hall 3'!S112</f>
        <v/>
      </c>
      <c r="AL61" s="216" t="str">
        <f>'QC Deviation Record Hall 3'!AA112</f>
        <v/>
      </c>
      <c r="AM61" s="216" t="str">
        <f>'QC Deviation Record Hall 3'!AI112</f>
        <v/>
      </c>
      <c r="AN61" s="216" t="str">
        <f>'QC Deviation Record Hall 3'!AQ112</f>
        <v/>
      </c>
      <c r="AO61" s="216" t="str">
        <f>'QC Deviation Record Hall 3'!AY112</f>
        <v/>
      </c>
      <c r="AP61" s="216" t="str">
        <f>'QC Deviation Record Hall 3'!BG112</f>
        <v/>
      </c>
      <c r="AQ61" s="216" t="str">
        <f>'QC Deviation Record Hall 3'!BO112</f>
        <v/>
      </c>
      <c r="AR61" s="217" t="str">
        <f>'QC Deviation Record Hall 3'!BW112</f>
        <v/>
      </c>
    </row>
    <row r="62" spans="1:44" s="4" customFormat="1" ht="53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S62" s="3"/>
      <c r="T62" s="3"/>
      <c r="U62" s="3"/>
      <c r="V62" s="3"/>
      <c r="W62" s="3"/>
      <c r="X62" s="3"/>
      <c r="Y62" s="3"/>
      <c r="Z62" s="3"/>
      <c r="AH62" s="3"/>
      <c r="AI62" s="3"/>
      <c r="AJ62" s="3"/>
      <c r="AK62" s="3"/>
      <c r="AL62" s="3"/>
      <c r="AM62" s="3"/>
      <c r="AN62" s="3"/>
      <c r="AO62" s="3"/>
    </row>
    <row r="63" spans="1:44" s="4" customFormat="1" ht="53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4" s="4" customFormat="1" ht="53" customHeight="1" x14ac:dyDescent="0.15"/>
    <row r="65" s="4" customFormat="1" ht="53" customHeight="1" x14ac:dyDescent="0.15"/>
    <row r="66" s="4" customFormat="1" ht="53" customHeight="1" x14ac:dyDescent="0.15"/>
    <row r="67" s="4" customFormat="1" ht="53" customHeight="1" x14ac:dyDescent="0.15"/>
    <row r="68" s="4" customFormat="1" ht="53" customHeight="1" x14ac:dyDescent="0.15"/>
    <row r="69" s="4" customFormat="1" ht="53" customHeight="1" x14ac:dyDescent="0.15"/>
    <row r="70" s="4" customFormat="1" ht="53" customHeight="1" x14ac:dyDescent="0.15"/>
    <row r="71" s="4" customFormat="1" ht="53" customHeight="1" x14ac:dyDescent="0.15"/>
    <row r="72" s="4" customFormat="1" ht="53" customHeight="1" x14ac:dyDescent="0.15"/>
    <row r="73" s="4" customFormat="1" ht="53" customHeight="1" x14ac:dyDescent="0.15"/>
    <row r="74" s="4" customFormat="1" ht="53" customHeight="1" x14ac:dyDescent="0.15"/>
    <row r="75" s="4" customFormat="1" ht="53" customHeight="1" x14ac:dyDescent="0.15"/>
    <row r="76" s="4" customFormat="1" ht="53" customHeight="1" x14ac:dyDescent="0.15"/>
    <row r="77" s="4" customFormat="1" ht="53" customHeight="1" x14ac:dyDescent="0.15"/>
    <row r="78" s="4" customFormat="1" ht="53" customHeight="1" x14ac:dyDescent="0.15"/>
    <row r="79" s="4" customFormat="1" ht="53" customHeight="1" x14ac:dyDescent="0.15"/>
    <row r="80" s="4" customFormat="1" ht="53" customHeight="1" x14ac:dyDescent="0.15"/>
    <row r="81" s="4" customFormat="1" ht="53" customHeight="1" x14ac:dyDescent="0.15"/>
    <row r="82" s="4" customFormat="1" ht="53" customHeight="1" x14ac:dyDescent="0.15"/>
    <row r="83" s="4" customFormat="1" ht="53" customHeight="1" x14ac:dyDescent="0.15"/>
    <row r="84" s="4" customFormat="1" ht="53" customHeight="1" x14ac:dyDescent="0.15"/>
    <row r="85" s="4" customFormat="1" ht="53" customHeight="1" x14ac:dyDescent="0.15"/>
    <row r="86" s="4" customFormat="1" ht="53" customHeight="1" x14ac:dyDescent="0.15"/>
    <row r="87" s="4" customFormat="1" ht="53" customHeight="1" x14ac:dyDescent="0.15"/>
    <row r="88" s="4" customFormat="1" ht="53" customHeight="1" x14ac:dyDescent="0.15"/>
    <row r="89" s="4" customFormat="1" ht="53" customHeight="1" x14ac:dyDescent="0.15"/>
    <row r="90" s="4" customFormat="1" ht="53" customHeight="1" x14ac:dyDescent="0.15"/>
    <row r="91" s="4" customFormat="1" ht="53" customHeight="1" x14ac:dyDescent="0.15"/>
    <row r="92" s="4" customFormat="1" ht="53" customHeight="1" x14ac:dyDescent="0.15"/>
    <row r="93" s="4" customFormat="1" ht="53" customHeight="1" x14ac:dyDescent="0.15"/>
    <row r="94" s="4" customFormat="1" ht="38.5" customHeight="1" x14ac:dyDescent="0.15"/>
    <row r="95" s="4" customFormat="1" ht="135" customHeight="1" x14ac:dyDescent="0.15"/>
    <row r="96" s="4" customFormat="1" ht="53" customHeight="1" x14ac:dyDescent="0.15"/>
    <row r="97" spans="1:45" s="4" customFormat="1" ht="103" customHeight="1" x14ac:dyDescent="0.15"/>
    <row r="98" spans="1:45" s="5" customFormat="1" ht="103" customHeight="1" x14ac:dyDescent="0.15">
      <c r="A98" s="4"/>
      <c r="B98" s="4"/>
      <c r="C98" s="4"/>
      <c r="D98" s="4"/>
      <c r="E98" s="4"/>
      <c r="AG98" s="4"/>
      <c r="AH98" s="4"/>
      <c r="AI98" s="4"/>
    </row>
    <row r="99" spans="1:45" s="4" customFormat="1" ht="53" customHeight="1" x14ac:dyDescent="0.15"/>
    <row r="100" spans="1:45" s="4" customFormat="1" ht="53" customHeight="1" x14ac:dyDescent="0.15"/>
    <row r="101" spans="1:45" s="4" customFormat="1" ht="53" customHeight="1" x14ac:dyDescent="0.15">
      <c r="A101" s="5"/>
      <c r="B101" s="5"/>
      <c r="C101" s="5"/>
      <c r="D101" s="5"/>
      <c r="E101" s="5"/>
    </row>
    <row r="102" spans="1:45" s="4" customFormat="1" ht="53" customHeight="1" x14ac:dyDescent="0.15"/>
    <row r="103" spans="1:45" s="4" customFormat="1" ht="173.5" customHeight="1" x14ac:dyDescent="0.15">
      <c r="A103" s="234" t="s">
        <v>48</v>
      </c>
      <c r="B103" s="231"/>
      <c r="C103" s="231"/>
      <c r="D103" s="231"/>
      <c r="F103" s="240" t="s">
        <v>49</v>
      </c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</row>
    <row r="104" spans="1:45" s="4" customFormat="1" ht="173.5" customHeight="1" x14ac:dyDescent="0.15">
      <c r="A104" s="235"/>
      <c r="B104" s="231"/>
      <c r="C104" s="231"/>
      <c r="D104" s="231"/>
    </row>
    <row r="105" spans="1:45" s="4" customFormat="1" ht="173.5" customHeight="1" x14ac:dyDescent="0.15">
      <c r="A105" s="34"/>
      <c r="B105" s="34"/>
      <c r="C105" s="34"/>
      <c r="D105" s="34"/>
      <c r="F105" s="194" t="s">
        <v>50</v>
      </c>
      <c r="G105" s="194" t="s">
        <v>7</v>
      </c>
      <c r="H105" s="194" t="s">
        <v>8</v>
      </c>
      <c r="I105" s="194" t="s">
        <v>9</v>
      </c>
      <c r="J105" s="194" t="s">
        <v>10</v>
      </c>
      <c r="K105" s="194" t="s">
        <v>11</v>
      </c>
      <c r="L105" s="194" t="s">
        <v>12</v>
      </c>
      <c r="M105" s="194" t="s">
        <v>13</v>
      </c>
      <c r="N105" s="194" t="s">
        <v>14</v>
      </c>
      <c r="O105" s="194" t="s">
        <v>15</v>
      </c>
      <c r="P105" s="194" t="s">
        <v>16</v>
      </c>
      <c r="Q105" s="194" t="s">
        <v>43</v>
      </c>
      <c r="R105" s="195" t="s">
        <v>17</v>
      </c>
      <c r="T105" s="194" t="s">
        <v>50</v>
      </c>
      <c r="U105" s="194" t="s">
        <v>18</v>
      </c>
      <c r="V105" s="194" t="s">
        <v>19</v>
      </c>
      <c r="W105" s="194" t="s">
        <v>20</v>
      </c>
      <c r="X105" s="194" t="s">
        <v>20</v>
      </c>
      <c r="Y105" s="194" t="s">
        <v>21</v>
      </c>
      <c r="Z105" s="194" t="s">
        <v>22</v>
      </c>
      <c r="AA105" s="194" t="s">
        <v>23</v>
      </c>
      <c r="AB105" s="194" t="s">
        <v>40</v>
      </c>
      <c r="AC105" s="194" t="s">
        <v>24</v>
      </c>
      <c r="AD105" s="195" t="s">
        <v>41</v>
      </c>
      <c r="AF105" s="194" t="s">
        <v>43</v>
      </c>
      <c r="AG105" s="195" t="s">
        <v>17</v>
      </c>
      <c r="AI105" s="194" t="s">
        <v>50</v>
      </c>
      <c r="AJ105" s="194" t="s">
        <v>18</v>
      </c>
      <c r="AK105" s="194" t="s">
        <v>19</v>
      </c>
      <c r="AL105" s="194" t="s">
        <v>20</v>
      </c>
      <c r="AM105" s="194" t="s">
        <v>20</v>
      </c>
      <c r="AN105" s="194" t="s">
        <v>21</v>
      </c>
      <c r="AO105" s="194" t="s">
        <v>22</v>
      </c>
      <c r="AP105" s="194" t="s">
        <v>23</v>
      </c>
      <c r="AQ105" s="194" t="s">
        <v>40</v>
      </c>
      <c r="AR105" s="194" t="s">
        <v>24</v>
      </c>
      <c r="AS105" s="195" t="s">
        <v>41</v>
      </c>
    </row>
    <row r="106" spans="1:45" s="4" customFormat="1" ht="173.5" customHeight="1" x14ac:dyDescent="0.15">
      <c r="A106" s="97" t="s">
        <v>51</v>
      </c>
      <c r="B106" s="97" t="s">
        <v>52</v>
      </c>
      <c r="C106" s="104" t="s">
        <v>37</v>
      </c>
      <c r="D106" s="104" t="s">
        <v>53</v>
      </c>
      <c r="F106" s="196" t="s">
        <v>54</v>
      </c>
      <c r="G106" s="212" t="str">
        <f>'QC Deviation Record Hall 1 '!C114</f>
        <v/>
      </c>
      <c r="H106" s="212" t="str">
        <f>'QC Deviation Record Hall 1 '!K114</f>
        <v/>
      </c>
      <c r="I106" s="212" t="str">
        <f>'QC Deviation Record Hall 1 '!S114</f>
        <v/>
      </c>
      <c r="J106" s="212" t="str">
        <f>'QC Deviation Record Hall 1 '!AA114</f>
        <v/>
      </c>
      <c r="K106" s="212" t="str">
        <f>'QC Deviation Record Hall 1 '!AI114</f>
        <v/>
      </c>
      <c r="L106" s="212" t="str">
        <f>'QC Deviation Record Hall 1 '!AQ114</f>
        <v/>
      </c>
      <c r="M106" s="212" t="str">
        <f>'QC Deviation Record Hall 1 '!AY114</f>
        <v/>
      </c>
      <c r="N106" s="212" t="str">
        <f>'QC Deviation Record Hall 1 '!BG114</f>
        <v/>
      </c>
      <c r="O106" s="212" t="str">
        <f>'QC Deviation Record Hall 1 '!BO114</f>
        <v/>
      </c>
      <c r="P106" s="212" t="str">
        <f>'QC Deviation Record Hall 1 '!BW114</f>
        <v/>
      </c>
      <c r="Q106" s="212" t="str">
        <f>'QC Deviation Record Hall 1 '!CE114</f>
        <v/>
      </c>
      <c r="R106" s="213" t="str">
        <f>'QC Deviation Record Hall 1 '!CM114</f>
        <v/>
      </c>
      <c r="S106" s="5"/>
      <c r="T106" s="196" t="s">
        <v>54</v>
      </c>
      <c r="U106" s="212" t="str">
        <f>'QC Deviation Record Hall 2'!C113</f>
        <v/>
      </c>
      <c r="V106" s="212" t="str">
        <f>'QC Deviation Record Hall 2'!K113</f>
        <v/>
      </c>
      <c r="W106" s="212" t="str">
        <f>'QC Deviation Record Hall 2'!S113</f>
        <v/>
      </c>
      <c r="X106" s="212" t="str">
        <f>'QC Deviation Record Hall 2'!AA113</f>
        <v/>
      </c>
      <c r="Y106" s="212" t="str">
        <f>'QC Deviation Record Hall 2'!AI113</f>
        <v/>
      </c>
      <c r="Z106" s="212" t="str">
        <f>'QC Deviation Record Hall 2'!AQ113</f>
        <v/>
      </c>
      <c r="AA106" s="212" t="str">
        <f>'QC Deviation Record Hall 2'!AY113</f>
        <v/>
      </c>
      <c r="AB106" s="212" t="str">
        <f>'QC Deviation Record Hall 2'!BG113</f>
        <v/>
      </c>
      <c r="AC106" s="212" t="str">
        <f>'QC Deviation Record Hall 2'!BO113</f>
        <v/>
      </c>
      <c r="AD106" s="213" t="str">
        <f>'QC Deviation Record Hall 2'!BW113</f>
        <v/>
      </c>
      <c r="AF106" s="212" t="str">
        <f>'QC Deviation Record Hall 1 '!CE114</f>
        <v/>
      </c>
      <c r="AG106" s="213" t="str">
        <f>'QC Deviation Record Hall 1 '!CM114</f>
        <v/>
      </c>
      <c r="AH106" s="5"/>
      <c r="AI106" s="196" t="s">
        <v>54</v>
      </c>
      <c r="AJ106" s="212" t="str">
        <f>'QC Deviation Record Hall 3'!C113</f>
        <v/>
      </c>
      <c r="AK106" s="212" t="str">
        <f>'QC Deviation Record Hall 3'!K113</f>
        <v/>
      </c>
      <c r="AL106" s="212" t="str">
        <f>'QC Deviation Record Hall 3'!S113</f>
        <v/>
      </c>
      <c r="AM106" s="212" t="str">
        <f>'QC Deviation Record Hall 3'!AA113</f>
        <v/>
      </c>
      <c r="AN106" s="212" t="str">
        <f>'QC Deviation Record Hall 3'!AI113</f>
        <v/>
      </c>
      <c r="AO106" s="212" t="str">
        <f>'QC Deviation Record Hall 3'!AQ113</f>
        <v/>
      </c>
      <c r="AP106" s="212" t="str">
        <f>'QC Deviation Record Hall 3'!AY113</f>
        <v/>
      </c>
      <c r="AQ106" s="212" t="str">
        <f>'QC Deviation Record Hall 3'!BG113</f>
        <v/>
      </c>
      <c r="AR106" s="212" t="str">
        <f>'QC Deviation Record Hall 3'!BO113</f>
        <v/>
      </c>
      <c r="AS106" s="213" t="str">
        <f>'QC Deviation Record Hall 3'!BW113</f>
        <v/>
      </c>
    </row>
    <row r="107" spans="1:45" s="4" customFormat="1" ht="173.5" customHeight="1" x14ac:dyDescent="0.15">
      <c r="A107" s="98" t="s">
        <v>55</v>
      </c>
      <c r="B107" s="84"/>
      <c r="C107" s="105"/>
      <c r="D107" s="10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</row>
    <row r="108" spans="1:45" s="4" customFormat="1" ht="173.5" customHeight="1" x14ac:dyDescent="0.15">
      <c r="A108" s="99" t="s">
        <v>56</v>
      </c>
      <c r="B108" s="114" t="s">
        <v>57</v>
      </c>
      <c r="C108" s="106"/>
      <c r="D108" s="106">
        <v>15</v>
      </c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</row>
    <row r="109" spans="1:45" s="4" customFormat="1" ht="173.5" customHeight="1" x14ac:dyDescent="0.15">
      <c r="A109" s="100" t="s">
        <v>58</v>
      </c>
      <c r="B109" s="115" t="s">
        <v>59</v>
      </c>
      <c r="C109" s="107"/>
      <c r="D109" s="107">
        <v>40</v>
      </c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</row>
    <row r="110" spans="1:45" s="4" customFormat="1" ht="173.5" customHeight="1" x14ac:dyDescent="0.15">
      <c r="A110" s="99" t="s">
        <v>60</v>
      </c>
      <c r="B110" s="114" t="s">
        <v>61</v>
      </c>
      <c r="C110" s="106"/>
      <c r="D110" s="106">
        <v>50</v>
      </c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</row>
    <row r="111" spans="1:45" s="4" customFormat="1" ht="173.5" customHeight="1" x14ac:dyDescent="0.15">
      <c r="A111" s="100" t="s">
        <v>62</v>
      </c>
      <c r="B111" s="115" t="s">
        <v>63</v>
      </c>
      <c r="C111" s="107"/>
      <c r="D111" s="107">
        <v>10</v>
      </c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</row>
    <row r="112" spans="1:45" s="4" customFormat="1" ht="173.5" customHeight="1" x14ac:dyDescent="0.15">
      <c r="A112" s="99" t="s">
        <v>64</v>
      </c>
      <c r="B112" s="114" t="s">
        <v>65</v>
      </c>
      <c r="C112" s="106"/>
      <c r="D112" s="106">
        <v>10</v>
      </c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</row>
    <row r="113" spans="1:45" s="4" customFormat="1" ht="173.5" customHeight="1" x14ac:dyDescent="0.15">
      <c r="A113" s="101" t="s">
        <v>66</v>
      </c>
      <c r="B113" s="116"/>
      <c r="C113" s="101"/>
      <c r="D113" s="108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</row>
    <row r="114" spans="1:45" s="4" customFormat="1" ht="173.5" customHeight="1" x14ac:dyDescent="0.15">
      <c r="A114" s="102" t="s">
        <v>67</v>
      </c>
      <c r="B114" s="117" t="s">
        <v>66</v>
      </c>
      <c r="C114" s="102"/>
      <c r="D114" s="109">
        <v>50</v>
      </c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</row>
    <row r="115" spans="1:45" s="4" customFormat="1" ht="173.5" customHeight="1" x14ac:dyDescent="0.15">
      <c r="A115" s="98" t="s">
        <v>68</v>
      </c>
      <c r="B115" s="118"/>
      <c r="C115" s="105"/>
      <c r="D115" s="10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</row>
    <row r="116" spans="1:45" s="4" customFormat="1" ht="173.5" customHeight="1" x14ac:dyDescent="0.15">
      <c r="A116" s="100" t="s">
        <v>69</v>
      </c>
      <c r="B116" s="115" t="s">
        <v>70</v>
      </c>
      <c r="C116" s="107"/>
      <c r="D116" s="107">
        <v>5</v>
      </c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</row>
    <row r="117" spans="1:45" s="4" customFormat="1" ht="173.5" customHeight="1" x14ac:dyDescent="0.15">
      <c r="A117" s="99" t="s">
        <v>71</v>
      </c>
      <c r="B117" s="114" t="s">
        <v>72</v>
      </c>
      <c r="C117" s="106"/>
      <c r="D117" s="106">
        <v>5</v>
      </c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</row>
    <row r="118" spans="1:45" s="4" customFormat="1" ht="173.5" customHeight="1" x14ac:dyDescent="0.15">
      <c r="A118" s="100" t="s">
        <v>73</v>
      </c>
      <c r="B118" s="115" t="s">
        <v>74</v>
      </c>
      <c r="C118" s="107"/>
      <c r="D118" s="107">
        <v>5</v>
      </c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</row>
    <row r="119" spans="1:45" s="4" customFormat="1" ht="173.5" customHeight="1" x14ac:dyDescent="0.15">
      <c r="A119" s="99" t="s">
        <v>75</v>
      </c>
      <c r="B119" s="114" t="s">
        <v>76</v>
      </c>
      <c r="C119" s="106"/>
      <c r="D119" s="106">
        <v>5</v>
      </c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</row>
    <row r="120" spans="1:45" s="4" customFormat="1" ht="173.5" customHeight="1" x14ac:dyDescent="0.15">
      <c r="A120" s="100" t="s">
        <v>77</v>
      </c>
      <c r="B120" s="115" t="s">
        <v>78</v>
      </c>
      <c r="C120" s="107"/>
      <c r="D120" s="107">
        <v>5</v>
      </c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</row>
    <row r="121" spans="1:45" s="4" customFormat="1" ht="173.5" customHeight="1" x14ac:dyDescent="0.15">
      <c r="A121" s="99" t="s">
        <v>79</v>
      </c>
      <c r="B121" s="114" t="s">
        <v>80</v>
      </c>
      <c r="C121" s="106"/>
      <c r="D121" s="106">
        <v>10</v>
      </c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</row>
    <row r="122" spans="1:45" s="4" customFormat="1" ht="173.5" customHeight="1" x14ac:dyDescent="0.15">
      <c r="A122" s="98" t="s">
        <v>81</v>
      </c>
      <c r="B122" s="118"/>
      <c r="C122" s="105"/>
      <c r="D122" s="10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</row>
    <row r="123" spans="1:45" s="4" customFormat="1" ht="173.5" customHeight="1" x14ac:dyDescent="0.15">
      <c r="A123" s="100" t="s">
        <v>82</v>
      </c>
      <c r="B123" s="115" t="s">
        <v>83</v>
      </c>
      <c r="C123" s="107"/>
      <c r="D123" s="107">
        <v>50</v>
      </c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</row>
    <row r="124" spans="1:45" s="4" customFormat="1" ht="173.5" customHeight="1" x14ac:dyDescent="0.15">
      <c r="A124" s="98" t="s">
        <v>84</v>
      </c>
      <c r="B124" s="118"/>
      <c r="C124" s="105"/>
      <c r="D124" s="10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</row>
    <row r="125" spans="1:45" s="4" customFormat="1" ht="173.5" customHeight="1" x14ac:dyDescent="0.15">
      <c r="A125" s="99" t="s">
        <v>85</v>
      </c>
      <c r="B125" s="114" t="s">
        <v>86</v>
      </c>
      <c r="C125" s="106"/>
      <c r="D125" s="106">
        <v>45</v>
      </c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</row>
    <row r="126" spans="1:45" s="4" customFormat="1" ht="173.5" customHeight="1" x14ac:dyDescent="0.15">
      <c r="A126" s="100" t="s">
        <v>87</v>
      </c>
      <c r="B126" s="115" t="s">
        <v>88</v>
      </c>
      <c r="C126" s="107"/>
      <c r="D126" s="107">
        <v>45</v>
      </c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</row>
    <row r="127" spans="1:45" s="4" customFormat="1" ht="173.5" customHeight="1" x14ac:dyDescent="0.15">
      <c r="A127" s="99" t="s">
        <v>89</v>
      </c>
      <c r="B127" s="114" t="s">
        <v>90</v>
      </c>
      <c r="C127" s="106"/>
      <c r="D127" s="106">
        <v>45</v>
      </c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</row>
    <row r="128" spans="1:45" s="4" customFormat="1" ht="173.5" customHeight="1" x14ac:dyDescent="0.15">
      <c r="A128" s="100" t="s">
        <v>91</v>
      </c>
      <c r="B128" s="115" t="s">
        <v>92</v>
      </c>
      <c r="C128" s="107"/>
      <c r="D128" s="107">
        <v>45</v>
      </c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</row>
    <row r="129" spans="1:45" s="4" customFormat="1" ht="173.5" customHeight="1" x14ac:dyDescent="0.15">
      <c r="A129" s="99" t="s">
        <v>93</v>
      </c>
      <c r="B129" s="114" t="s">
        <v>94</v>
      </c>
      <c r="C129" s="106"/>
      <c r="D129" s="106">
        <v>45</v>
      </c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</row>
    <row r="130" spans="1:45" s="4" customFormat="1" ht="173.5" customHeight="1" x14ac:dyDescent="0.15">
      <c r="A130" s="100" t="s">
        <v>95</v>
      </c>
      <c r="B130" s="115" t="s">
        <v>96</v>
      </c>
      <c r="C130" s="107"/>
      <c r="D130" s="107">
        <v>50</v>
      </c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</row>
    <row r="131" spans="1:45" s="4" customFormat="1" ht="173.5" customHeight="1" x14ac:dyDescent="0.15">
      <c r="A131" s="99" t="s">
        <v>97</v>
      </c>
      <c r="B131" s="114" t="s">
        <v>98</v>
      </c>
      <c r="C131" s="106"/>
      <c r="D131" s="106">
        <v>45</v>
      </c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</row>
    <row r="132" spans="1:45" s="4" customFormat="1" ht="173.5" customHeight="1" x14ac:dyDescent="0.15">
      <c r="A132" s="100" t="s">
        <v>99</v>
      </c>
      <c r="B132" s="115" t="s">
        <v>100</v>
      </c>
      <c r="C132" s="107"/>
      <c r="D132" s="107">
        <v>45</v>
      </c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</row>
    <row r="133" spans="1:45" s="4" customFormat="1" ht="173.5" customHeight="1" x14ac:dyDescent="0.15">
      <c r="A133" s="99" t="s">
        <v>101</v>
      </c>
      <c r="B133" s="114" t="s">
        <v>102</v>
      </c>
      <c r="C133" s="106"/>
      <c r="D133" s="106">
        <v>45</v>
      </c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</row>
    <row r="134" spans="1:45" s="4" customFormat="1" ht="173.5" customHeight="1" x14ac:dyDescent="0.15">
      <c r="A134" s="98" t="s">
        <v>103</v>
      </c>
      <c r="B134" s="118"/>
      <c r="C134" s="105"/>
      <c r="D134" s="10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</row>
    <row r="135" spans="1:45" s="4" customFormat="1" ht="173.5" customHeight="1" x14ac:dyDescent="0.15">
      <c r="A135" s="100" t="s">
        <v>104</v>
      </c>
      <c r="B135" s="115" t="s">
        <v>105</v>
      </c>
      <c r="C135" s="107"/>
      <c r="D135" s="110">
        <v>15</v>
      </c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</row>
    <row r="136" spans="1:45" s="4" customFormat="1" ht="173.5" customHeight="1" x14ac:dyDescent="0.15">
      <c r="A136" s="99" t="s">
        <v>106</v>
      </c>
      <c r="B136" s="114" t="s">
        <v>107</v>
      </c>
      <c r="C136" s="106"/>
      <c r="D136" s="111">
        <v>15</v>
      </c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</row>
    <row r="137" spans="1:45" s="4" customFormat="1" ht="173.5" customHeight="1" x14ac:dyDescent="0.15">
      <c r="A137" s="100" t="s">
        <v>108</v>
      </c>
      <c r="B137" s="115" t="s">
        <v>109</v>
      </c>
      <c r="C137" s="107"/>
      <c r="D137" s="110">
        <v>45</v>
      </c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</row>
    <row r="138" spans="1:45" s="4" customFormat="1" ht="173.5" customHeight="1" x14ac:dyDescent="0.15">
      <c r="A138" s="99" t="s">
        <v>110</v>
      </c>
      <c r="B138" s="114" t="s">
        <v>111</v>
      </c>
      <c r="C138" s="106"/>
      <c r="D138" s="111">
        <v>10</v>
      </c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</row>
    <row r="139" spans="1:45" s="4" customFormat="1" ht="173.5" customHeight="1" x14ac:dyDescent="0.15">
      <c r="A139" s="99" t="s">
        <v>112</v>
      </c>
      <c r="B139" s="114" t="s">
        <v>113</v>
      </c>
      <c r="C139" s="106"/>
      <c r="D139" s="111">
        <v>30</v>
      </c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</row>
    <row r="140" spans="1:45" s="4" customFormat="1" ht="173.5" customHeight="1" x14ac:dyDescent="0.15">
      <c r="A140" s="100" t="s">
        <v>114</v>
      </c>
      <c r="B140" s="115" t="s">
        <v>115</v>
      </c>
      <c r="C140" s="107"/>
      <c r="D140" s="110">
        <v>40</v>
      </c>
    </row>
    <row r="141" spans="1:45" s="4" customFormat="1" ht="173.5" customHeight="1" x14ac:dyDescent="0.15">
      <c r="A141" s="99" t="s">
        <v>116</v>
      </c>
      <c r="B141" s="114" t="s">
        <v>117</v>
      </c>
      <c r="C141" s="106"/>
      <c r="D141" s="111">
        <v>15</v>
      </c>
    </row>
    <row r="142" spans="1:45" s="4" customFormat="1" ht="173.5" customHeight="1" x14ac:dyDescent="0.15">
      <c r="A142" s="100" t="s">
        <v>118</v>
      </c>
      <c r="B142" s="115" t="s">
        <v>119</v>
      </c>
      <c r="C142" s="107"/>
      <c r="D142" s="110">
        <v>25</v>
      </c>
    </row>
    <row r="143" spans="1:45" s="4" customFormat="1" ht="173.5" customHeight="1" x14ac:dyDescent="0.15">
      <c r="A143" s="99" t="s">
        <v>120</v>
      </c>
      <c r="B143" s="114" t="s">
        <v>121</v>
      </c>
      <c r="C143" s="106"/>
      <c r="D143" s="111">
        <v>20</v>
      </c>
    </row>
    <row r="144" spans="1:45" s="4" customFormat="1" ht="173.5" customHeight="1" x14ac:dyDescent="0.15">
      <c r="A144" s="100" t="s">
        <v>122</v>
      </c>
      <c r="B144" s="115" t="s">
        <v>123</v>
      </c>
      <c r="C144" s="107"/>
      <c r="D144" s="110">
        <v>30</v>
      </c>
      <c r="F144" s="240" t="s">
        <v>124</v>
      </c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AF144" s="220"/>
      <c r="AG144" s="220"/>
    </row>
    <row r="145" spans="1:33" s="4" customFormat="1" ht="173.5" customHeight="1" x14ac:dyDescent="0.15">
      <c r="A145" s="99" t="s">
        <v>125</v>
      </c>
      <c r="B145" s="114" t="s">
        <v>126</v>
      </c>
      <c r="C145" s="106"/>
      <c r="D145" s="111">
        <v>25</v>
      </c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AF145" s="220"/>
      <c r="AG145" s="220"/>
    </row>
    <row r="146" spans="1:33" s="4" customFormat="1" ht="173.5" customHeight="1" x14ac:dyDescent="0.15">
      <c r="A146" s="100" t="s">
        <v>127</v>
      </c>
      <c r="B146" s="115" t="s">
        <v>128</v>
      </c>
      <c r="C146" s="107"/>
      <c r="D146" s="110">
        <v>10</v>
      </c>
      <c r="H146" s="4" t="s">
        <v>129</v>
      </c>
    </row>
    <row r="147" spans="1:33" s="4" customFormat="1" ht="173.5" customHeight="1" x14ac:dyDescent="0.15">
      <c r="A147" s="99" t="s">
        <v>130</v>
      </c>
      <c r="B147" s="114" t="s">
        <v>131</v>
      </c>
      <c r="C147" s="106"/>
      <c r="D147" s="111">
        <v>20</v>
      </c>
      <c r="K147" s="199"/>
      <c r="L147" s="200"/>
      <c r="M147" s="200"/>
    </row>
    <row r="148" spans="1:33" s="4" customFormat="1" ht="173.5" customHeight="1" x14ac:dyDescent="0.15">
      <c r="A148" s="100" t="s">
        <v>132</v>
      </c>
      <c r="B148" s="115" t="s">
        <v>133</v>
      </c>
      <c r="C148" s="107"/>
      <c r="D148" s="110">
        <v>25</v>
      </c>
      <c r="K148" s="198" t="s">
        <v>134</v>
      </c>
      <c r="L148" s="201" t="str">
        <f>K148</f>
        <v>المخازن</v>
      </c>
      <c r="M148" s="211" t="str">
        <f>IFERROR(IF('Quality Control Dashboard   '!L148="","",(COUNTIF(Table1[التوجيه للإدارة المعنية],'Quality Control Dashboard   '!L148)/COUNTA(Table1[التوجيه للإدارة المعنية])*100)),"")</f>
        <v/>
      </c>
    </row>
    <row r="149" spans="1:33" s="4" customFormat="1" ht="173.5" customHeight="1" x14ac:dyDescent="0.15">
      <c r="A149" s="99" t="s">
        <v>135</v>
      </c>
      <c r="B149" s="114" t="s">
        <v>136</v>
      </c>
      <c r="C149" s="106"/>
      <c r="D149" s="111">
        <v>30</v>
      </c>
      <c r="K149" s="197"/>
      <c r="L149" s="202" t="s">
        <v>137</v>
      </c>
      <c r="M149" s="211" t="str">
        <f>IFERROR(100-M148,"")</f>
        <v/>
      </c>
    </row>
    <row r="150" spans="1:33" s="4" customFormat="1" ht="173.5" customHeight="1" x14ac:dyDescent="0.15">
      <c r="A150" s="100" t="s">
        <v>138</v>
      </c>
      <c r="B150" s="115" t="s">
        <v>139</v>
      </c>
      <c r="C150" s="107"/>
      <c r="D150" s="110">
        <v>40</v>
      </c>
    </row>
    <row r="151" spans="1:33" s="4" customFormat="1" ht="173.5" customHeight="1" x14ac:dyDescent="0.15">
      <c r="A151" s="99" t="s">
        <v>140</v>
      </c>
      <c r="B151" s="114" t="s">
        <v>141</v>
      </c>
      <c r="C151" s="106"/>
      <c r="D151" s="111">
        <v>10</v>
      </c>
      <c r="L151" s="203" t="s">
        <v>142</v>
      </c>
    </row>
    <row r="152" spans="1:33" s="4" customFormat="1" ht="173.5" customHeight="1" x14ac:dyDescent="0.15">
      <c r="A152" s="100" t="s">
        <v>143</v>
      </c>
      <c r="B152" s="115" t="s">
        <v>144</v>
      </c>
      <c r="C152" s="107"/>
      <c r="D152" s="110">
        <v>15</v>
      </c>
      <c r="L152" s="203" t="s">
        <v>145</v>
      </c>
    </row>
    <row r="153" spans="1:33" s="4" customFormat="1" ht="173.5" customHeight="1" x14ac:dyDescent="0.15">
      <c r="A153" s="99" t="s">
        <v>146</v>
      </c>
      <c r="B153" s="114" t="s">
        <v>147</v>
      </c>
      <c r="C153" s="106"/>
      <c r="D153" s="111">
        <v>20</v>
      </c>
      <c r="L153" s="203" t="s">
        <v>148</v>
      </c>
    </row>
    <row r="154" spans="1:33" s="4" customFormat="1" ht="173.5" customHeight="1" x14ac:dyDescent="0.15">
      <c r="A154" s="100" t="s">
        <v>149</v>
      </c>
      <c r="B154" s="115" t="s">
        <v>150</v>
      </c>
      <c r="C154" s="107"/>
      <c r="D154" s="110">
        <v>40</v>
      </c>
      <c r="L154" s="203" t="s">
        <v>151</v>
      </c>
    </row>
    <row r="155" spans="1:33" s="4" customFormat="1" ht="173.5" customHeight="1" x14ac:dyDescent="0.15">
      <c r="A155" s="99" t="s">
        <v>152</v>
      </c>
      <c r="B155" s="114" t="s">
        <v>153</v>
      </c>
      <c r="C155" s="106"/>
      <c r="D155" s="111">
        <v>10</v>
      </c>
      <c r="L155" s="203" t="s">
        <v>134</v>
      </c>
    </row>
    <row r="156" spans="1:33" s="4" customFormat="1" ht="173.5" customHeight="1" x14ac:dyDescent="0.15">
      <c r="A156" s="100" t="s">
        <v>154</v>
      </c>
      <c r="B156" s="115" t="s">
        <v>155</v>
      </c>
      <c r="C156" s="107"/>
      <c r="D156" s="110">
        <v>10</v>
      </c>
      <c r="L156" s="203" t="s">
        <v>156</v>
      </c>
    </row>
    <row r="157" spans="1:33" s="4" customFormat="1" ht="173.5" customHeight="1" x14ac:dyDescent="0.15">
      <c r="A157" s="99" t="s">
        <v>157</v>
      </c>
      <c r="B157" s="114" t="s">
        <v>158</v>
      </c>
      <c r="C157" s="106"/>
      <c r="D157" s="111">
        <v>10</v>
      </c>
      <c r="L157" s="203" t="s">
        <v>159</v>
      </c>
    </row>
    <row r="158" spans="1:33" s="4" customFormat="1" ht="173.5" customHeight="1" x14ac:dyDescent="0.15">
      <c r="A158" s="100" t="s">
        <v>160</v>
      </c>
      <c r="B158" s="115" t="s">
        <v>161</v>
      </c>
      <c r="C158" s="107"/>
      <c r="D158" s="110">
        <v>10</v>
      </c>
      <c r="L158" s="203" t="s">
        <v>162</v>
      </c>
    </row>
    <row r="159" spans="1:33" s="4" customFormat="1" ht="173.5" customHeight="1" x14ac:dyDescent="0.15">
      <c r="A159" s="99" t="s">
        <v>163</v>
      </c>
      <c r="B159" s="114" t="s">
        <v>164</v>
      </c>
      <c r="C159" s="106"/>
      <c r="D159" s="111">
        <v>10</v>
      </c>
      <c r="L159" s="204" t="s">
        <v>165</v>
      </c>
    </row>
    <row r="160" spans="1:33" s="4" customFormat="1" ht="173.5" customHeight="1" x14ac:dyDescent="0.15">
      <c r="A160" s="100" t="s">
        <v>166</v>
      </c>
      <c r="B160" s="115" t="s">
        <v>167</v>
      </c>
      <c r="C160" s="107"/>
      <c r="D160" s="110">
        <v>10</v>
      </c>
    </row>
    <row r="161" spans="1:4" s="4" customFormat="1" ht="173.5" customHeight="1" x14ac:dyDescent="0.15">
      <c r="A161" s="99" t="s">
        <v>168</v>
      </c>
      <c r="B161" s="114" t="s">
        <v>169</v>
      </c>
      <c r="C161" s="106"/>
      <c r="D161" s="111">
        <v>15</v>
      </c>
    </row>
    <row r="162" spans="1:4" s="4" customFormat="1" ht="173.5" customHeight="1" x14ac:dyDescent="0.15">
      <c r="A162" s="100" t="s">
        <v>170</v>
      </c>
      <c r="B162" s="115" t="s">
        <v>171</v>
      </c>
      <c r="C162" s="107"/>
      <c r="D162" s="110">
        <v>5</v>
      </c>
    </row>
    <row r="163" spans="1:4" s="4" customFormat="1" ht="173.5" customHeight="1" x14ac:dyDescent="0.15">
      <c r="A163" s="99" t="s">
        <v>172</v>
      </c>
      <c r="B163" s="114" t="s">
        <v>173</v>
      </c>
      <c r="C163" s="106"/>
      <c r="D163" s="111">
        <v>15</v>
      </c>
    </row>
    <row r="164" spans="1:4" s="4" customFormat="1" ht="173.5" customHeight="1" x14ac:dyDescent="0.15">
      <c r="A164" s="100" t="s">
        <v>174</v>
      </c>
      <c r="B164" s="115" t="s">
        <v>175</v>
      </c>
      <c r="C164" s="107"/>
      <c r="D164" s="110">
        <v>15</v>
      </c>
    </row>
    <row r="165" spans="1:4" s="4" customFormat="1" ht="173.5" customHeight="1" x14ac:dyDescent="0.15">
      <c r="A165" s="99" t="s">
        <v>176</v>
      </c>
      <c r="B165" s="114" t="s">
        <v>177</v>
      </c>
      <c r="C165" s="106"/>
      <c r="D165" s="111">
        <v>10</v>
      </c>
    </row>
    <row r="166" spans="1:4" s="4" customFormat="1" ht="173.5" customHeight="1" x14ac:dyDescent="0.15">
      <c r="A166" s="99" t="s">
        <v>178</v>
      </c>
      <c r="B166" s="114" t="s">
        <v>179</v>
      </c>
      <c r="C166" s="107"/>
      <c r="D166" s="110">
        <v>10</v>
      </c>
    </row>
    <row r="167" spans="1:4" s="4" customFormat="1" ht="173.5" customHeight="1" x14ac:dyDescent="0.15">
      <c r="A167" s="100" t="s">
        <v>180</v>
      </c>
      <c r="B167" s="115" t="s">
        <v>181</v>
      </c>
      <c r="C167" s="106"/>
      <c r="D167" s="111">
        <v>20</v>
      </c>
    </row>
    <row r="168" spans="1:4" s="4" customFormat="1" ht="173.5" customHeight="1" x14ac:dyDescent="0.15">
      <c r="A168" s="100" t="s">
        <v>182</v>
      </c>
      <c r="B168" s="115" t="s">
        <v>183</v>
      </c>
      <c r="C168" s="107"/>
      <c r="D168" s="110">
        <v>20</v>
      </c>
    </row>
    <row r="169" spans="1:4" s="4" customFormat="1" ht="173.5" customHeight="1" x14ac:dyDescent="0.15">
      <c r="A169" s="100" t="s">
        <v>184</v>
      </c>
      <c r="B169" s="115" t="s">
        <v>185</v>
      </c>
      <c r="C169" s="107"/>
      <c r="D169" s="110">
        <v>10</v>
      </c>
    </row>
    <row r="170" spans="1:4" s="4" customFormat="1" ht="173.5" customHeight="1" x14ac:dyDescent="0.15">
      <c r="A170" s="98" t="s">
        <v>186</v>
      </c>
      <c r="B170" s="118"/>
      <c r="C170" s="105"/>
      <c r="D170" s="105"/>
    </row>
    <row r="171" spans="1:4" s="4" customFormat="1" ht="173.5" customHeight="1" x14ac:dyDescent="0.15">
      <c r="A171" s="99" t="s">
        <v>187</v>
      </c>
      <c r="B171" s="114" t="s">
        <v>188</v>
      </c>
      <c r="C171" s="106"/>
      <c r="D171" s="106">
        <v>30</v>
      </c>
    </row>
    <row r="172" spans="1:4" s="4" customFormat="1" ht="173.5" customHeight="1" x14ac:dyDescent="0.15">
      <c r="A172" s="100" t="s">
        <v>189</v>
      </c>
      <c r="B172" s="115" t="s">
        <v>190</v>
      </c>
      <c r="C172" s="107"/>
      <c r="D172" s="107">
        <v>20</v>
      </c>
    </row>
    <row r="173" spans="1:4" s="4" customFormat="1" ht="173.5" customHeight="1" x14ac:dyDescent="0.15">
      <c r="A173" s="99" t="s">
        <v>191</v>
      </c>
      <c r="B173" s="114" t="s">
        <v>192</v>
      </c>
      <c r="C173" s="106"/>
      <c r="D173" s="106">
        <v>30</v>
      </c>
    </row>
    <row r="174" spans="1:4" s="4" customFormat="1" ht="173.5" customHeight="1" x14ac:dyDescent="0.15">
      <c r="A174" s="100" t="s">
        <v>193</v>
      </c>
      <c r="B174" s="115" t="s">
        <v>194</v>
      </c>
      <c r="C174" s="107"/>
      <c r="D174" s="107">
        <v>10</v>
      </c>
    </row>
    <row r="175" spans="1:4" s="4" customFormat="1" ht="173.5" customHeight="1" x14ac:dyDescent="0.15">
      <c r="A175" s="99" t="s">
        <v>195</v>
      </c>
      <c r="B175" s="114" t="s">
        <v>196</v>
      </c>
      <c r="C175" s="106"/>
      <c r="D175" s="106">
        <v>30</v>
      </c>
    </row>
    <row r="176" spans="1:4" s="4" customFormat="1" ht="173.5" customHeight="1" x14ac:dyDescent="0.15">
      <c r="A176" s="98" t="s">
        <v>197</v>
      </c>
      <c r="B176" s="118"/>
      <c r="C176" s="105"/>
      <c r="D176" s="105"/>
    </row>
    <row r="177" spans="1:4" s="4" customFormat="1" ht="173.5" customHeight="1" x14ac:dyDescent="0.15">
      <c r="A177" s="100" t="s">
        <v>198</v>
      </c>
      <c r="B177" s="115" t="s">
        <v>199</v>
      </c>
      <c r="C177" s="107"/>
      <c r="D177" s="107">
        <v>15</v>
      </c>
    </row>
    <row r="178" spans="1:4" s="4" customFormat="1" ht="173.5" customHeight="1" x14ac:dyDescent="0.15">
      <c r="A178" s="99" t="s">
        <v>200</v>
      </c>
      <c r="B178" s="114" t="s">
        <v>201</v>
      </c>
      <c r="C178" s="106"/>
      <c r="D178" s="106">
        <v>10</v>
      </c>
    </row>
    <row r="179" spans="1:4" s="4" customFormat="1" ht="173.5" customHeight="1" x14ac:dyDescent="0.15">
      <c r="A179" s="100" t="s">
        <v>202</v>
      </c>
      <c r="B179" s="115" t="s">
        <v>203</v>
      </c>
      <c r="C179" s="107"/>
      <c r="D179" s="107">
        <v>10</v>
      </c>
    </row>
    <row r="180" spans="1:4" s="4" customFormat="1" ht="173.5" customHeight="1" x14ac:dyDescent="0.15">
      <c r="A180" s="99" t="s">
        <v>204</v>
      </c>
      <c r="B180" s="114" t="s">
        <v>205</v>
      </c>
      <c r="C180" s="106"/>
      <c r="D180" s="106">
        <v>25</v>
      </c>
    </row>
    <row r="181" spans="1:4" s="4" customFormat="1" ht="173.5" customHeight="1" x14ac:dyDescent="0.15">
      <c r="A181" s="100" t="s">
        <v>206</v>
      </c>
      <c r="B181" s="115" t="s">
        <v>207</v>
      </c>
      <c r="C181" s="107"/>
      <c r="D181" s="107">
        <v>20</v>
      </c>
    </row>
    <row r="182" spans="1:4" s="4" customFormat="1" ht="173.5" customHeight="1" x14ac:dyDescent="0.15">
      <c r="A182" s="99" t="s">
        <v>208</v>
      </c>
      <c r="B182" s="114" t="s">
        <v>209</v>
      </c>
      <c r="C182" s="106"/>
      <c r="D182" s="106">
        <v>20</v>
      </c>
    </row>
    <row r="183" spans="1:4" s="4" customFormat="1" ht="173.5" customHeight="1" x14ac:dyDescent="0.15">
      <c r="A183" s="100" t="s">
        <v>210</v>
      </c>
      <c r="B183" s="115" t="s">
        <v>211</v>
      </c>
      <c r="C183" s="107"/>
      <c r="D183" s="107">
        <v>20</v>
      </c>
    </row>
    <row r="184" spans="1:4" s="4" customFormat="1" ht="173.5" customHeight="1" x14ac:dyDescent="0.15">
      <c r="A184" s="99" t="s">
        <v>212</v>
      </c>
      <c r="B184" s="114" t="s">
        <v>213</v>
      </c>
      <c r="C184" s="106"/>
      <c r="D184" s="106">
        <v>15</v>
      </c>
    </row>
    <row r="185" spans="1:4" s="4" customFormat="1" ht="173.5" customHeight="1" x14ac:dyDescent="0.15">
      <c r="A185" s="100" t="s">
        <v>214</v>
      </c>
      <c r="B185" s="115" t="s">
        <v>215</v>
      </c>
      <c r="C185" s="107"/>
      <c r="D185" s="107">
        <v>15</v>
      </c>
    </row>
    <row r="186" spans="1:4" s="4" customFormat="1" ht="173.5" customHeight="1" x14ac:dyDescent="0.15">
      <c r="A186" s="98" t="s">
        <v>216</v>
      </c>
      <c r="B186" s="118"/>
      <c r="C186" s="105"/>
      <c r="D186" s="105"/>
    </row>
    <row r="187" spans="1:4" s="4" customFormat="1" ht="173.5" customHeight="1" x14ac:dyDescent="0.15">
      <c r="A187" s="99" t="s">
        <v>217</v>
      </c>
      <c r="B187" s="114" t="s">
        <v>218</v>
      </c>
      <c r="C187" s="106"/>
      <c r="D187" s="106">
        <v>15</v>
      </c>
    </row>
    <row r="188" spans="1:4" s="4" customFormat="1" ht="173.5" customHeight="1" x14ac:dyDescent="0.15">
      <c r="A188" s="100" t="s">
        <v>219</v>
      </c>
      <c r="B188" s="115" t="s">
        <v>220</v>
      </c>
      <c r="C188" s="107"/>
      <c r="D188" s="107">
        <v>15</v>
      </c>
    </row>
    <row r="189" spans="1:4" s="4" customFormat="1" ht="173.5" customHeight="1" x14ac:dyDescent="0.15">
      <c r="A189" s="99" t="s">
        <v>221</v>
      </c>
      <c r="B189" s="114" t="s">
        <v>222</v>
      </c>
      <c r="C189" s="106"/>
      <c r="D189" s="106">
        <v>15</v>
      </c>
    </row>
    <row r="190" spans="1:4" s="4" customFormat="1" ht="173.5" customHeight="1" x14ac:dyDescent="0.15">
      <c r="A190" s="100" t="s">
        <v>223</v>
      </c>
      <c r="B190" s="115" t="s">
        <v>224</v>
      </c>
      <c r="C190" s="107"/>
      <c r="D190" s="107">
        <v>15</v>
      </c>
    </row>
    <row r="191" spans="1:4" s="4" customFormat="1" ht="173.5" customHeight="1" x14ac:dyDescent="0.15">
      <c r="A191" s="99" t="s">
        <v>225</v>
      </c>
      <c r="B191" s="114" t="s">
        <v>226</v>
      </c>
      <c r="C191" s="106"/>
      <c r="D191" s="106">
        <v>10</v>
      </c>
    </row>
    <row r="192" spans="1:4" s="4" customFormat="1" ht="173.5" customHeight="1" x14ac:dyDescent="0.15">
      <c r="A192" s="100" t="s">
        <v>227</v>
      </c>
      <c r="B192" s="115" t="s">
        <v>228</v>
      </c>
      <c r="C192" s="107"/>
      <c r="D192" s="107">
        <v>20</v>
      </c>
    </row>
    <row r="193" spans="1:4" s="4" customFormat="1" ht="173.5" customHeight="1" x14ac:dyDescent="0.15">
      <c r="A193" s="98" t="s">
        <v>229</v>
      </c>
      <c r="B193" s="118"/>
      <c r="C193" s="105"/>
      <c r="D193" s="105"/>
    </row>
    <row r="194" spans="1:4" s="4" customFormat="1" ht="173.5" customHeight="1" x14ac:dyDescent="0.15">
      <c r="A194" s="99" t="s">
        <v>230</v>
      </c>
      <c r="B194" s="114" t="s">
        <v>231</v>
      </c>
      <c r="C194" s="106"/>
      <c r="D194" s="106">
        <v>30</v>
      </c>
    </row>
    <row r="195" spans="1:4" s="4" customFormat="1" ht="173.5" customHeight="1" x14ac:dyDescent="0.15">
      <c r="A195" s="100" t="s">
        <v>232</v>
      </c>
      <c r="B195" s="115" t="s">
        <v>233</v>
      </c>
      <c r="C195" s="107"/>
      <c r="D195" s="107">
        <v>40</v>
      </c>
    </row>
    <row r="196" spans="1:4" s="4" customFormat="1" ht="173.5" customHeight="1" x14ac:dyDescent="0.15">
      <c r="A196" s="99" t="s">
        <v>234</v>
      </c>
      <c r="B196" s="114" t="s">
        <v>235</v>
      </c>
      <c r="C196" s="106"/>
      <c r="D196" s="106">
        <v>30</v>
      </c>
    </row>
    <row r="197" spans="1:4" s="4" customFormat="1" ht="173.5" customHeight="1" x14ac:dyDescent="0.15">
      <c r="A197" s="100" t="s">
        <v>236</v>
      </c>
      <c r="B197" s="115" t="s">
        <v>237</v>
      </c>
      <c r="C197" s="107"/>
      <c r="D197" s="107">
        <v>15</v>
      </c>
    </row>
    <row r="198" spans="1:4" s="4" customFormat="1" ht="173.5" customHeight="1" x14ac:dyDescent="0.15">
      <c r="A198" s="98" t="s">
        <v>238</v>
      </c>
      <c r="B198" s="118"/>
      <c r="C198" s="105"/>
      <c r="D198" s="105"/>
    </row>
    <row r="199" spans="1:4" s="4" customFormat="1" ht="173.5" customHeight="1" x14ac:dyDescent="0.15">
      <c r="A199" s="99" t="s">
        <v>239</v>
      </c>
      <c r="B199" s="114" t="s">
        <v>240</v>
      </c>
      <c r="C199" s="106"/>
      <c r="D199" s="106">
        <v>25</v>
      </c>
    </row>
    <row r="200" spans="1:4" s="4" customFormat="1" ht="173.5" customHeight="1" x14ac:dyDescent="0.15">
      <c r="A200" s="100" t="s">
        <v>241</v>
      </c>
      <c r="B200" s="115" t="s">
        <v>242</v>
      </c>
      <c r="C200" s="107"/>
      <c r="D200" s="107">
        <v>15</v>
      </c>
    </row>
    <row r="201" spans="1:4" s="4" customFormat="1" ht="173.5" customHeight="1" x14ac:dyDescent="0.15">
      <c r="A201" s="99" t="s">
        <v>243</v>
      </c>
      <c r="B201" s="114" t="s">
        <v>244</v>
      </c>
      <c r="C201" s="106"/>
      <c r="D201" s="106">
        <v>15</v>
      </c>
    </row>
    <row r="202" spans="1:4" s="4" customFormat="1" ht="173.5" customHeight="1" x14ac:dyDescent="0.15">
      <c r="A202" s="100" t="s">
        <v>245</v>
      </c>
      <c r="B202" s="115" t="s">
        <v>246</v>
      </c>
      <c r="C202" s="107"/>
      <c r="D202" s="107">
        <v>15</v>
      </c>
    </row>
    <row r="203" spans="1:4" s="4" customFormat="1" ht="173.5" customHeight="1" x14ac:dyDescent="0.15">
      <c r="A203" s="99" t="s">
        <v>247</v>
      </c>
      <c r="B203" s="114" t="s">
        <v>248</v>
      </c>
      <c r="C203" s="106"/>
      <c r="D203" s="106">
        <v>15</v>
      </c>
    </row>
    <row r="204" spans="1:4" s="4" customFormat="1" ht="173.5" customHeight="1" x14ac:dyDescent="0.15">
      <c r="A204" s="100" t="s">
        <v>249</v>
      </c>
      <c r="B204" s="115" t="s">
        <v>250</v>
      </c>
      <c r="C204" s="107"/>
      <c r="D204" s="107">
        <v>15</v>
      </c>
    </row>
    <row r="205" spans="1:4" s="4" customFormat="1" ht="173.5" customHeight="1" x14ac:dyDescent="0.15">
      <c r="A205" s="100" t="s">
        <v>251</v>
      </c>
      <c r="B205" s="115" t="s">
        <v>252</v>
      </c>
      <c r="C205" s="107"/>
      <c r="D205" s="107">
        <v>25</v>
      </c>
    </row>
    <row r="206" spans="1:4" s="4" customFormat="1" ht="173.5" customHeight="1" x14ac:dyDescent="0.15">
      <c r="A206" s="98" t="s">
        <v>253</v>
      </c>
      <c r="B206" s="118"/>
      <c r="C206" s="105"/>
      <c r="D206" s="105"/>
    </row>
    <row r="207" spans="1:4" s="4" customFormat="1" ht="173.5" customHeight="1" x14ac:dyDescent="0.15">
      <c r="A207" s="99" t="s">
        <v>254</v>
      </c>
      <c r="B207" s="114" t="s">
        <v>255</v>
      </c>
      <c r="C207" s="106"/>
      <c r="D207" s="111"/>
    </row>
    <row r="208" spans="1:4" s="4" customFormat="1" ht="173.5" customHeight="1" x14ac:dyDescent="0.15">
      <c r="A208" s="99"/>
      <c r="B208" s="114"/>
      <c r="C208" s="106"/>
      <c r="D208" s="111"/>
    </row>
    <row r="209" spans="1:45" s="4" customFormat="1" ht="39.5" customHeight="1" x14ac:dyDescent="0.15">
      <c r="A209" s="103"/>
      <c r="B209" s="119"/>
      <c r="C209" s="112"/>
      <c r="D209" s="113"/>
    </row>
    <row r="210" spans="1:45" ht="90" customHeight="1" x14ac:dyDescent="0.15">
      <c r="A210" s="100"/>
      <c r="B210" s="115"/>
      <c r="C210" s="107"/>
      <c r="D210" s="1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 ht="90" customHeight="1" x14ac:dyDescent="0.15">
      <c r="A211" s="99"/>
      <c r="B211" s="114"/>
      <c r="C211" s="106"/>
      <c r="D211" s="1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 ht="125" customHeight="1" x14ac:dyDescent="0.15">
      <c r="A212" s="96"/>
      <c r="B212" s="34"/>
      <c r="C212" s="34"/>
      <c r="D212" s="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 ht="22.5" customHeight="1" x14ac:dyDescent="0.15">
      <c r="A213" s="34"/>
      <c r="B213" s="34"/>
      <c r="C213" s="34"/>
      <c r="D213" s="34"/>
    </row>
  </sheetData>
  <mergeCells count="32">
    <mergeCell ref="F144:R145"/>
    <mergeCell ref="A4:C4"/>
    <mergeCell ref="F103:AD103"/>
    <mergeCell ref="AF30:AG32"/>
    <mergeCell ref="AF15:AG17"/>
    <mergeCell ref="A18:B20"/>
    <mergeCell ref="A27:B29"/>
    <mergeCell ref="A50:AC50"/>
    <mergeCell ref="A12:B14"/>
    <mergeCell ref="A21:B23"/>
    <mergeCell ref="Q30:R32"/>
    <mergeCell ref="AF21:AG23"/>
    <mergeCell ref="AF12:AG14"/>
    <mergeCell ref="Q15:R17"/>
    <mergeCell ref="Q27:R29"/>
    <mergeCell ref="A10:N10"/>
    <mergeCell ref="A103:D104"/>
    <mergeCell ref="AF18:AG20"/>
    <mergeCell ref="AF27:AG29"/>
    <mergeCell ref="A30:B32"/>
    <mergeCell ref="Q18:R20"/>
    <mergeCell ref="Q21:R23"/>
    <mergeCell ref="AF24:AG26"/>
    <mergeCell ref="Q24:R26"/>
    <mergeCell ref="J1:S2"/>
    <mergeCell ref="A24:B26"/>
    <mergeCell ref="A15:B17"/>
    <mergeCell ref="A9:AC9"/>
    <mergeCell ref="A3:C3"/>
    <mergeCell ref="A2:C2"/>
    <mergeCell ref="Q12:R14"/>
    <mergeCell ref="A5:C5"/>
  </mergeCells>
  <pageMargins left="0.7" right="0.7" top="0.75" bottom="0.75" header="0.3" footer="0.3"/>
  <pageSetup paperSize="9" scale="23" fitToHeight="0" orientation="portrait" horizontalDpi="300" verticalDpi="300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C124"/>
  <sheetViews>
    <sheetView showGridLines="0" topLeftCell="A70" zoomScale="23" zoomScaleNormal="85" workbookViewId="0">
      <selection activeCell="D74" sqref="D74:D81"/>
    </sheetView>
  </sheetViews>
  <sheetFormatPr baseColWidth="10" defaultColWidth="13.6640625" defaultRowHeight="28" x14ac:dyDescent="0.3"/>
  <cols>
    <col min="1" max="1" width="32.33203125" style="130" customWidth="1"/>
    <col min="2" max="3" width="13.6640625" style="130" customWidth="1"/>
    <col min="4" max="4" width="20.33203125" style="135" bestFit="1" customWidth="1"/>
    <col min="5" max="9" width="13.6640625" style="130" customWidth="1"/>
    <col min="10" max="10" width="18.83203125" style="130" bestFit="1" customWidth="1"/>
    <col min="11" max="14" width="13.6640625" style="130" customWidth="1"/>
    <col min="15" max="15" width="32.33203125" style="130" customWidth="1"/>
    <col min="16" max="17" width="13.6640625" style="130" customWidth="1"/>
    <col min="18" max="18" width="13.6640625" style="135" customWidth="1"/>
    <col min="19" max="23" width="13.6640625" style="130" customWidth="1"/>
    <col min="24" max="24" width="16.83203125" style="130" bestFit="1" customWidth="1"/>
    <col min="25" max="28" width="13.6640625" style="130" customWidth="1"/>
    <col min="29" max="29" width="32.33203125" style="130" customWidth="1"/>
    <col min="30" max="31" width="13.6640625" style="130" customWidth="1"/>
    <col min="32" max="32" width="13.6640625" style="135" customWidth="1"/>
    <col min="33" max="37" width="13.6640625" style="130" customWidth="1"/>
    <col min="38" max="38" width="16.83203125" style="130" bestFit="1" customWidth="1"/>
    <col min="39" max="42" width="13.6640625" style="130" customWidth="1"/>
    <col min="43" max="43" width="32.33203125" style="130" customWidth="1"/>
    <col min="44" max="45" width="13.6640625" style="130" customWidth="1"/>
    <col min="46" max="46" width="13.6640625" style="135" customWidth="1"/>
    <col min="47" max="51" width="13.6640625" style="130" customWidth="1"/>
    <col min="52" max="52" width="14.83203125" style="130" bestFit="1" customWidth="1"/>
    <col min="53" max="53" width="13.6640625" style="130" customWidth="1"/>
    <col min="54" max="16384" width="13.6640625" style="130"/>
  </cols>
  <sheetData>
    <row r="1" spans="1:55" ht="42.5" customHeight="1" x14ac:dyDescent="0.3">
      <c r="A1" s="242" t="s">
        <v>256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7"/>
      <c r="N1" s="142"/>
      <c r="O1" s="242" t="s">
        <v>257</v>
      </c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7"/>
      <c r="AB1" s="142"/>
      <c r="AC1" s="242" t="s">
        <v>258</v>
      </c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7"/>
      <c r="AP1" s="142"/>
      <c r="AQ1" s="242" t="s">
        <v>259</v>
      </c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7"/>
    </row>
    <row r="2" spans="1:55" ht="81.5" customHeight="1" x14ac:dyDescent="0.3">
      <c r="A2" s="143" t="s">
        <v>260</v>
      </c>
      <c r="B2" s="143" t="s">
        <v>261</v>
      </c>
      <c r="C2" s="143" t="s">
        <v>262</v>
      </c>
      <c r="D2" s="144" t="s">
        <v>263</v>
      </c>
      <c r="E2" s="143" t="s">
        <v>264</v>
      </c>
      <c r="F2" s="143" t="s">
        <v>265</v>
      </c>
      <c r="G2" s="143" t="s">
        <v>266</v>
      </c>
      <c r="H2" s="143" t="s">
        <v>267</v>
      </c>
      <c r="I2" s="143" t="s">
        <v>268</v>
      </c>
      <c r="J2" s="143" t="s">
        <v>269</v>
      </c>
      <c r="K2" s="143" t="s">
        <v>270</v>
      </c>
      <c r="L2" s="143" t="s">
        <v>271</v>
      </c>
      <c r="M2" s="143" t="s">
        <v>272</v>
      </c>
      <c r="N2" s="142"/>
      <c r="O2" s="143" t="s">
        <v>260</v>
      </c>
      <c r="P2" s="143" t="s">
        <v>261</v>
      </c>
      <c r="Q2" s="143" t="s">
        <v>262</v>
      </c>
      <c r="R2" s="144" t="s">
        <v>263</v>
      </c>
      <c r="S2" s="143" t="s">
        <v>264</v>
      </c>
      <c r="T2" s="143" t="s">
        <v>265</v>
      </c>
      <c r="U2" s="143" t="s">
        <v>266</v>
      </c>
      <c r="V2" s="143" t="s">
        <v>267</v>
      </c>
      <c r="W2" s="143" t="s">
        <v>268</v>
      </c>
      <c r="X2" s="143" t="s">
        <v>269</v>
      </c>
      <c r="Y2" s="143" t="s">
        <v>270</v>
      </c>
      <c r="Z2" s="143" t="s">
        <v>271</v>
      </c>
      <c r="AA2" s="143" t="s">
        <v>272</v>
      </c>
      <c r="AB2" s="142"/>
      <c r="AC2" s="143" t="s">
        <v>260</v>
      </c>
      <c r="AD2" s="143" t="s">
        <v>261</v>
      </c>
      <c r="AE2" s="143" t="s">
        <v>262</v>
      </c>
      <c r="AF2" s="144" t="s">
        <v>263</v>
      </c>
      <c r="AG2" s="143" t="s">
        <v>264</v>
      </c>
      <c r="AH2" s="143" t="s">
        <v>265</v>
      </c>
      <c r="AI2" s="143" t="s">
        <v>266</v>
      </c>
      <c r="AJ2" s="143" t="s">
        <v>267</v>
      </c>
      <c r="AK2" s="143" t="s">
        <v>268</v>
      </c>
      <c r="AL2" s="143" t="s">
        <v>269</v>
      </c>
      <c r="AM2" s="143" t="s">
        <v>270</v>
      </c>
      <c r="AN2" s="143" t="s">
        <v>271</v>
      </c>
      <c r="AO2" s="143" t="s">
        <v>272</v>
      </c>
      <c r="AP2" s="142"/>
      <c r="AQ2" s="143" t="s">
        <v>260</v>
      </c>
      <c r="AR2" s="143" t="s">
        <v>261</v>
      </c>
      <c r="AS2" s="143" t="s">
        <v>262</v>
      </c>
      <c r="AT2" s="144" t="s">
        <v>263</v>
      </c>
      <c r="AU2" s="143" t="s">
        <v>264</v>
      </c>
      <c r="AV2" s="143" t="s">
        <v>265</v>
      </c>
      <c r="AW2" s="143" t="s">
        <v>266</v>
      </c>
      <c r="AX2" s="143" t="s">
        <v>267</v>
      </c>
      <c r="AY2" s="143" t="s">
        <v>268</v>
      </c>
      <c r="AZ2" s="143" t="s">
        <v>269</v>
      </c>
      <c r="BA2" s="143" t="s">
        <v>270</v>
      </c>
      <c r="BB2" s="143" t="s">
        <v>271</v>
      </c>
      <c r="BC2" s="143" t="s">
        <v>272</v>
      </c>
    </row>
    <row r="3" spans="1:55" ht="42.5" customHeight="1" x14ac:dyDescent="0.3">
      <c r="A3" s="131"/>
      <c r="B3" s="131"/>
      <c r="C3" s="145" t="s">
        <v>34</v>
      </c>
      <c r="D3" s="132"/>
      <c r="E3" s="151" t="s">
        <v>273</v>
      </c>
      <c r="F3" s="131"/>
      <c r="G3" s="131"/>
      <c r="H3" s="131"/>
      <c r="I3" s="131"/>
      <c r="J3" s="131"/>
      <c r="K3" s="131"/>
      <c r="L3" s="133"/>
      <c r="M3" s="131"/>
      <c r="O3" s="131"/>
      <c r="P3" s="131"/>
      <c r="Q3" s="145" t="s">
        <v>34</v>
      </c>
      <c r="R3" s="132"/>
      <c r="S3" s="151" t="s">
        <v>273</v>
      </c>
      <c r="T3" s="131"/>
      <c r="U3" s="131"/>
      <c r="V3" s="131"/>
      <c r="W3" s="131"/>
      <c r="X3" s="131"/>
      <c r="Y3" s="131"/>
      <c r="Z3" s="133"/>
      <c r="AA3" s="131"/>
      <c r="AC3" s="131"/>
      <c r="AD3" s="131"/>
      <c r="AE3" s="145" t="s">
        <v>34</v>
      </c>
      <c r="AF3" s="132"/>
      <c r="AG3" s="151" t="s">
        <v>273</v>
      </c>
      <c r="AH3" s="131"/>
      <c r="AI3" s="131"/>
      <c r="AJ3" s="131"/>
      <c r="AK3" s="131"/>
      <c r="AL3" s="131"/>
      <c r="AM3" s="131"/>
      <c r="AN3" s="133"/>
      <c r="AO3" s="131"/>
      <c r="AQ3" s="131"/>
      <c r="AR3" s="131"/>
      <c r="AS3" s="145" t="s">
        <v>34</v>
      </c>
      <c r="AT3" s="132"/>
      <c r="AU3" s="151" t="s">
        <v>273</v>
      </c>
      <c r="AV3" s="131"/>
      <c r="AW3" s="131"/>
      <c r="AX3" s="131"/>
      <c r="AY3" s="131"/>
      <c r="AZ3" s="131"/>
      <c r="BA3" s="131"/>
      <c r="BB3" s="133"/>
      <c r="BC3" s="131"/>
    </row>
    <row r="4" spans="1:55" ht="42.5" customHeight="1" x14ac:dyDescent="0.3">
      <c r="A4" s="131"/>
      <c r="B4" s="131"/>
      <c r="C4" s="146"/>
      <c r="D4" s="132"/>
      <c r="E4" s="151" t="s">
        <v>274</v>
      </c>
      <c r="F4" s="131"/>
      <c r="G4" s="131"/>
      <c r="H4" s="131"/>
      <c r="I4" s="131"/>
      <c r="J4" s="131"/>
      <c r="K4" s="131"/>
      <c r="L4" s="133"/>
      <c r="M4" s="131"/>
      <c r="O4" s="131"/>
      <c r="P4" s="131"/>
      <c r="Q4" s="146"/>
      <c r="R4" s="132"/>
      <c r="S4" s="151" t="s">
        <v>274</v>
      </c>
      <c r="T4" s="131"/>
      <c r="U4" s="131"/>
      <c r="V4" s="131"/>
      <c r="W4" s="131"/>
      <c r="X4" s="131"/>
      <c r="Y4" s="131"/>
      <c r="Z4" s="133"/>
      <c r="AA4" s="131"/>
      <c r="AC4" s="131"/>
      <c r="AD4" s="131"/>
      <c r="AE4" s="146"/>
      <c r="AF4" s="132"/>
      <c r="AG4" s="151" t="s">
        <v>274</v>
      </c>
      <c r="AH4" s="131"/>
      <c r="AI4" s="131"/>
      <c r="AJ4" s="131"/>
      <c r="AK4" s="131"/>
      <c r="AL4" s="131"/>
      <c r="AM4" s="131"/>
      <c r="AN4" s="133"/>
      <c r="AO4" s="131"/>
      <c r="AQ4" s="131"/>
      <c r="AR4" s="131"/>
      <c r="AS4" s="146"/>
      <c r="AT4" s="132"/>
      <c r="AU4" s="151" t="s">
        <v>274</v>
      </c>
      <c r="AV4" s="131"/>
      <c r="AW4" s="131"/>
      <c r="AX4" s="131"/>
      <c r="AY4" s="131"/>
      <c r="AZ4" s="131"/>
      <c r="BA4" s="131"/>
      <c r="BB4" s="133"/>
      <c r="BC4" s="131"/>
    </row>
    <row r="5" spans="1:55" ht="42.5" customHeight="1" x14ac:dyDescent="0.3">
      <c r="A5" s="131"/>
      <c r="B5" s="131"/>
      <c r="C5" s="147"/>
      <c r="D5" s="132"/>
      <c r="E5" s="151"/>
      <c r="F5" s="131"/>
      <c r="G5" s="131"/>
      <c r="H5" s="131"/>
      <c r="I5" s="131"/>
      <c r="J5" s="131"/>
      <c r="K5" s="131"/>
      <c r="L5" s="133"/>
      <c r="M5" s="131"/>
      <c r="O5" s="131"/>
      <c r="P5" s="131"/>
      <c r="Q5" s="147"/>
      <c r="R5" s="132"/>
      <c r="S5" s="151"/>
      <c r="T5" s="131"/>
      <c r="U5" s="131"/>
      <c r="V5" s="131"/>
      <c r="W5" s="131"/>
      <c r="X5" s="131"/>
      <c r="Y5" s="131"/>
      <c r="Z5" s="133"/>
      <c r="AA5" s="131"/>
      <c r="AC5" s="131"/>
      <c r="AD5" s="131"/>
      <c r="AE5" s="147"/>
      <c r="AF5" s="132"/>
      <c r="AG5" s="151"/>
      <c r="AH5" s="131"/>
      <c r="AI5" s="131"/>
      <c r="AJ5" s="131"/>
      <c r="AK5" s="131"/>
      <c r="AL5" s="131"/>
      <c r="AM5" s="131"/>
      <c r="AN5" s="133"/>
      <c r="AO5" s="131"/>
      <c r="AQ5" s="131"/>
      <c r="AR5" s="131"/>
      <c r="AS5" s="147"/>
      <c r="AT5" s="132"/>
      <c r="AU5" s="151"/>
      <c r="AV5" s="131"/>
      <c r="AW5" s="131"/>
      <c r="AX5" s="131"/>
      <c r="AY5" s="131"/>
      <c r="AZ5" s="131"/>
      <c r="BA5" s="131"/>
      <c r="BB5" s="133"/>
      <c r="BC5" s="131"/>
    </row>
    <row r="6" spans="1:55" ht="42.5" customHeight="1" x14ac:dyDescent="0.3">
      <c r="A6" s="131"/>
      <c r="B6" s="131"/>
      <c r="C6" s="145" t="s">
        <v>25</v>
      </c>
      <c r="D6" s="132"/>
      <c r="E6" s="151" t="s">
        <v>273</v>
      </c>
      <c r="F6" s="131"/>
      <c r="G6" s="131"/>
      <c r="H6" s="131"/>
      <c r="I6" s="131"/>
      <c r="J6" s="131"/>
      <c r="K6" s="131"/>
      <c r="L6" s="134"/>
      <c r="M6" s="131"/>
      <c r="O6" s="131"/>
      <c r="P6" s="131"/>
      <c r="Q6" s="145" t="s">
        <v>25</v>
      </c>
      <c r="R6" s="132"/>
      <c r="S6" s="151" t="s">
        <v>273</v>
      </c>
      <c r="T6" s="131"/>
      <c r="U6" s="131"/>
      <c r="V6" s="131"/>
      <c r="W6" s="131"/>
      <c r="X6" s="131"/>
      <c r="Y6" s="131"/>
      <c r="Z6" s="134"/>
      <c r="AA6" s="131"/>
      <c r="AC6" s="131"/>
      <c r="AD6" s="131"/>
      <c r="AE6" s="145" t="s">
        <v>25</v>
      </c>
      <c r="AF6" s="132"/>
      <c r="AG6" s="151" t="s">
        <v>273</v>
      </c>
      <c r="AH6" s="131"/>
      <c r="AI6" s="131"/>
      <c r="AJ6" s="131"/>
      <c r="AK6" s="131"/>
      <c r="AL6" s="131"/>
      <c r="AM6" s="131"/>
      <c r="AN6" s="134"/>
      <c r="AO6" s="131"/>
      <c r="AQ6" s="131"/>
      <c r="AR6" s="131"/>
      <c r="AS6" s="145" t="s">
        <v>25</v>
      </c>
      <c r="AT6" s="132"/>
      <c r="AU6" s="151" t="s">
        <v>273</v>
      </c>
      <c r="AV6" s="131"/>
      <c r="AW6" s="131"/>
      <c r="AX6" s="131"/>
      <c r="AY6" s="131"/>
      <c r="AZ6" s="131"/>
      <c r="BA6" s="131"/>
      <c r="BB6" s="134"/>
      <c r="BC6" s="131"/>
    </row>
    <row r="7" spans="1:55" ht="42.5" customHeight="1" x14ac:dyDescent="0.3">
      <c r="A7" s="131"/>
      <c r="B7" s="131"/>
      <c r="C7" s="146"/>
      <c r="D7" s="132"/>
      <c r="E7" s="151" t="s">
        <v>274</v>
      </c>
      <c r="F7" s="131"/>
      <c r="G7" s="131"/>
      <c r="H7" s="131"/>
      <c r="I7" s="131"/>
      <c r="J7" s="131"/>
      <c r="K7" s="131"/>
      <c r="L7" s="134"/>
      <c r="M7" s="131"/>
      <c r="O7" s="131"/>
      <c r="P7" s="131"/>
      <c r="Q7" s="146"/>
      <c r="R7" s="132"/>
      <c r="S7" s="151" t="s">
        <v>274</v>
      </c>
      <c r="T7" s="131"/>
      <c r="U7" s="131"/>
      <c r="V7" s="131"/>
      <c r="W7" s="131"/>
      <c r="X7" s="131"/>
      <c r="Y7" s="131"/>
      <c r="Z7" s="134"/>
      <c r="AA7" s="131"/>
      <c r="AC7" s="131"/>
      <c r="AD7" s="131"/>
      <c r="AE7" s="146"/>
      <c r="AF7" s="132"/>
      <c r="AG7" s="151" t="s">
        <v>274</v>
      </c>
      <c r="AH7" s="131"/>
      <c r="AI7" s="131"/>
      <c r="AJ7" s="131"/>
      <c r="AK7" s="131"/>
      <c r="AL7" s="131"/>
      <c r="AM7" s="131"/>
      <c r="AN7" s="134"/>
      <c r="AO7" s="131"/>
      <c r="AQ7" s="131"/>
      <c r="AR7" s="131"/>
      <c r="AS7" s="146"/>
      <c r="AT7" s="132"/>
      <c r="AU7" s="151" t="s">
        <v>274</v>
      </c>
      <c r="AV7" s="131"/>
      <c r="AW7" s="131"/>
      <c r="AX7" s="131"/>
      <c r="AY7" s="131"/>
      <c r="AZ7" s="131"/>
      <c r="BA7" s="131"/>
      <c r="BB7" s="134"/>
      <c r="BC7" s="131"/>
    </row>
    <row r="8" spans="1:55" ht="42.5" customHeight="1" x14ac:dyDescent="0.3">
      <c r="A8" s="131"/>
      <c r="B8" s="131"/>
      <c r="C8" s="147"/>
      <c r="D8" s="132"/>
      <c r="E8" s="151"/>
      <c r="F8" s="131"/>
      <c r="G8" s="131"/>
      <c r="H8" s="131"/>
      <c r="I8" s="131"/>
      <c r="J8" s="131"/>
      <c r="K8" s="131"/>
      <c r="L8" s="134"/>
      <c r="M8" s="131"/>
      <c r="O8" s="131"/>
      <c r="P8" s="131"/>
      <c r="Q8" s="147"/>
      <c r="R8" s="132"/>
      <c r="S8" s="151"/>
      <c r="T8" s="131"/>
      <c r="U8" s="131"/>
      <c r="V8" s="131"/>
      <c r="W8" s="131"/>
      <c r="X8" s="131"/>
      <c r="Y8" s="131"/>
      <c r="Z8" s="134"/>
      <c r="AA8" s="131"/>
      <c r="AC8" s="131"/>
      <c r="AD8" s="131"/>
      <c r="AE8" s="147"/>
      <c r="AF8" s="132"/>
      <c r="AG8" s="151"/>
      <c r="AH8" s="131"/>
      <c r="AI8" s="131"/>
      <c r="AJ8" s="131"/>
      <c r="AK8" s="131"/>
      <c r="AL8" s="131"/>
      <c r="AM8" s="131"/>
      <c r="AN8" s="134"/>
      <c r="AO8" s="131"/>
      <c r="AQ8" s="131"/>
      <c r="AR8" s="131"/>
      <c r="AS8" s="147"/>
      <c r="AT8" s="132"/>
      <c r="AU8" s="151"/>
      <c r="AV8" s="131"/>
      <c r="AW8" s="131"/>
      <c r="AX8" s="131"/>
      <c r="AY8" s="131"/>
      <c r="AZ8" s="131"/>
      <c r="BA8" s="131"/>
      <c r="BB8" s="134"/>
      <c r="BC8" s="131"/>
    </row>
    <row r="9" spans="1:55" ht="42.5" customHeight="1" x14ac:dyDescent="0.3">
      <c r="A9" s="131"/>
      <c r="B9" s="131"/>
      <c r="C9" s="148" t="s">
        <v>29</v>
      </c>
      <c r="D9" s="132"/>
      <c r="E9" s="151" t="s">
        <v>273</v>
      </c>
      <c r="F9" s="131"/>
      <c r="G9" s="131"/>
      <c r="H9" s="131"/>
      <c r="I9" s="131"/>
      <c r="J9" s="131"/>
      <c r="K9" s="131"/>
      <c r="L9" s="133"/>
      <c r="M9" s="131"/>
      <c r="O9" s="131"/>
      <c r="P9" s="131"/>
      <c r="Q9" s="148" t="s">
        <v>29</v>
      </c>
      <c r="R9" s="132"/>
      <c r="S9" s="151" t="s">
        <v>273</v>
      </c>
      <c r="T9" s="131"/>
      <c r="U9" s="131"/>
      <c r="V9" s="131"/>
      <c r="W9" s="131"/>
      <c r="X9" s="131"/>
      <c r="Y9" s="131"/>
      <c r="Z9" s="133"/>
      <c r="AA9" s="131"/>
      <c r="AC9" s="131"/>
      <c r="AD9" s="131"/>
      <c r="AE9" s="148" t="s">
        <v>29</v>
      </c>
      <c r="AF9" s="132"/>
      <c r="AG9" s="151" t="s">
        <v>273</v>
      </c>
      <c r="AH9" s="131"/>
      <c r="AI9" s="131"/>
      <c r="AJ9" s="131"/>
      <c r="AK9" s="131"/>
      <c r="AL9" s="131"/>
      <c r="AM9" s="131"/>
      <c r="AN9" s="133"/>
      <c r="AO9" s="131"/>
      <c r="AQ9" s="131"/>
      <c r="AR9" s="131"/>
      <c r="AS9" s="148" t="s">
        <v>29</v>
      </c>
      <c r="AT9" s="132"/>
      <c r="AU9" s="151" t="s">
        <v>273</v>
      </c>
      <c r="AV9" s="131"/>
      <c r="AW9" s="131"/>
      <c r="AX9" s="131"/>
      <c r="AY9" s="131"/>
      <c r="AZ9" s="131"/>
      <c r="BA9" s="131"/>
      <c r="BB9" s="133"/>
      <c r="BC9" s="131"/>
    </row>
    <row r="10" spans="1:55" ht="42.5" customHeight="1" x14ac:dyDescent="0.3">
      <c r="A10" s="131"/>
      <c r="B10" s="131"/>
      <c r="C10" s="149"/>
      <c r="D10" s="132"/>
      <c r="E10" s="151" t="s">
        <v>274</v>
      </c>
      <c r="F10" s="131"/>
      <c r="G10" s="131"/>
      <c r="H10" s="131"/>
      <c r="I10" s="131"/>
      <c r="J10" s="131"/>
      <c r="K10" s="131"/>
      <c r="L10" s="133"/>
      <c r="M10" s="131"/>
      <c r="O10" s="131"/>
      <c r="P10" s="131"/>
      <c r="Q10" s="149"/>
      <c r="R10" s="132"/>
      <c r="S10" s="151" t="s">
        <v>274</v>
      </c>
      <c r="T10" s="131"/>
      <c r="U10" s="131"/>
      <c r="V10" s="131"/>
      <c r="W10" s="131"/>
      <c r="X10" s="131"/>
      <c r="Y10" s="131"/>
      <c r="Z10" s="133"/>
      <c r="AA10" s="131"/>
      <c r="AC10" s="131"/>
      <c r="AD10" s="131"/>
      <c r="AE10" s="149"/>
      <c r="AF10" s="132"/>
      <c r="AG10" s="151" t="s">
        <v>274</v>
      </c>
      <c r="AH10" s="131"/>
      <c r="AI10" s="131"/>
      <c r="AJ10" s="131"/>
      <c r="AK10" s="131"/>
      <c r="AL10" s="131"/>
      <c r="AM10" s="131"/>
      <c r="AN10" s="133"/>
      <c r="AO10" s="131"/>
      <c r="AQ10" s="131"/>
      <c r="AR10" s="131"/>
      <c r="AS10" s="149"/>
      <c r="AT10" s="132"/>
      <c r="AU10" s="151" t="s">
        <v>274</v>
      </c>
      <c r="AV10" s="131"/>
      <c r="AW10" s="131"/>
      <c r="AX10" s="131"/>
      <c r="AY10" s="131"/>
      <c r="AZ10" s="131"/>
      <c r="BA10" s="131"/>
      <c r="BB10" s="133"/>
      <c r="BC10" s="131"/>
    </row>
    <row r="11" spans="1:55" ht="42.5" customHeight="1" x14ac:dyDescent="0.3">
      <c r="A11" s="131"/>
      <c r="B11" s="131"/>
      <c r="C11" s="150"/>
      <c r="D11" s="132"/>
      <c r="E11" s="151"/>
      <c r="F11" s="131"/>
      <c r="G11" s="131"/>
      <c r="H11" s="131"/>
      <c r="I11" s="131"/>
      <c r="J11" s="131"/>
      <c r="K11" s="131"/>
      <c r="L11" s="133"/>
      <c r="M11" s="131"/>
      <c r="O11" s="131"/>
      <c r="P11" s="131"/>
      <c r="Q11" s="150"/>
      <c r="R11" s="132"/>
      <c r="S11" s="151"/>
      <c r="T11" s="131"/>
      <c r="U11" s="131"/>
      <c r="V11" s="131"/>
      <c r="W11" s="131"/>
      <c r="X11" s="131"/>
      <c r="Y11" s="131"/>
      <c r="Z11" s="133"/>
      <c r="AA11" s="131"/>
      <c r="AC11" s="131"/>
      <c r="AD11" s="131"/>
      <c r="AE11" s="150"/>
      <c r="AF11" s="132"/>
      <c r="AG11" s="151"/>
      <c r="AH11" s="131"/>
      <c r="AI11" s="131"/>
      <c r="AJ11" s="131"/>
      <c r="AK11" s="131"/>
      <c r="AL11" s="131"/>
      <c r="AM11" s="131"/>
      <c r="AN11" s="133"/>
      <c r="AO11" s="131"/>
      <c r="AQ11" s="131"/>
      <c r="AR11" s="131"/>
      <c r="AS11" s="150"/>
      <c r="AT11" s="132"/>
      <c r="AU11" s="151"/>
      <c r="AV11" s="131"/>
      <c r="AW11" s="131"/>
      <c r="AX11" s="131"/>
      <c r="AY11" s="131"/>
      <c r="AZ11" s="131"/>
      <c r="BA11" s="131"/>
      <c r="BB11" s="133"/>
      <c r="BC11" s="131"/>
    </row>
    <row r="12" spans="1:55" ht="42.5" customHeight="1" x14ac:dyDescent="0.3">
      <c r="A12" s="131"/>
      <c r="B12" s="131"/>
      <c r="C12" s="148" t="s">
        <v>30</v>
      </c>
      <c r="D12" s="132"/>
      <c r="E12" s="151" t="s">
        <v>273</v>
      </c>
      <c r="F12" s="131"/>
      <c r="G12" s="131"/>
      <c r="H12" s="131"/>
      <c r="I12" s="131"/>
      <c r="J12" s="131"/>
      <c r="K12" s="131"/>
      <c r="L12" s="134"/>
      <c r="M12" s="131"/>
      <c r="O12" s="131"/>
      <c r="P12" s="131"/>
      <c r="Q12" s="148" t="s">
        <v>30</v>
      </c>
      <c r="R12" s="132"/>
      <c r="S12" s="151" t="s">
        <v>273</v>
      </c>
      <c r="T12" s="131"/>
      <c r="U12" s="131"/>
      <c r="V12" s="131"/>
      <c r="W12" s="131"/>
      <c r="X12" s="131"/>
      <c r="Y12" s="131"/>
      <c r="Z12" s="134"/>
      <c r="AA12" s="131"/>
      <c r="AC12" s="131"/>
      <c r="AD12" s="131"/>
      <c r="AE12" s="148" t="s">
        <v>30</v>
      </c>
      <c r="AF12" s="132"/>
      <c r="AG12" s="151" t="s">
        <v>273</v>
      </c>
      <c r="AH12" s="131"/>
      <c r="AI12" s="131"/>
      <c r="AJ12" s="131"/>
      <c r="AK12" s="131"/>
      <c r="AL12" s="131"/>
      <c r="AM12" s="131"/>
      <c r="AN12" s="134"/>
      <c r="AO12" s="131"/>
      <c r="AQ12" s="131"/>
      <c r="AR12" s="131"/>
      <c r="AS12" s="148" t="s">
        <v>30</v>
      </c>
      <c r="AT12" s="132"/>
      <c r="AU12" s="151" t="s">
        <v>273</v>
      </c>
      <c r="AV12" s="131"/>
      <c r="AW12" s="131"/>
      <c r="AX12" s="131"/>
      <c r="AY12" s="131"/>
      <c r="AZ12" s="131"/>
      <c r="BA12" s="131"/>
      <c r="BB12" s="134"/>
      <c r="BC12" s="131"/>
    </row>
    <row r="13" spans="1:55" ht="42.5" customHeight="1" x14ac:dyDescent="0.3">
      <c r="A13" s="131"/>
      <c r="B13" s="131"/>
      <c r="C13" s="149"/>
      <c r="D13" s="132"/>
      <c r="E13" s="151" t="s">
        <v>274</v>
      </c>
      <c r="F13" s="131"/>
      <c r="G13" s="131"/>
      <c r="H13" s="131"/>
      <c r="I13" s="131"/>
      <c r="J13" s="131"/>
      <c r="K13" s="131"/>
      <c r="L13" s="134"/>
      <c r="M13" s="131"/>
      <c r="O13" s="131"/>
      <c r="P13" s="131"/>
      <c r="Q13" s="149"/>
      <c r="R13" s="132"/>
      <c r="S13" s="151" t="s">
        <v>274</v>
      </c>
      <c r="T13" s="131"/>
      <c r="U13" s="131"/>
      <c r="V13" s="131"/>
      <c r="W13" s="131"/>
      <c r="X13" s="131"/>
      <c r="Y13" s="131"/>
      <c r="Z13" s="134"/>
      <c r="AA13" s="131"/>
      <c r="AC13" s="131"/>
      <c r="AD13" s="131"/>
      <c r="AE13" s="149"/>
      <c r="AF13" s="132"/>
      <c r="AG13" s="151" t="s">
        <v>274</v>
      </c>
      <c r="AH13" s="131"/>
      <c r="AI13" s="131"/>
      <c r="AJ13" s="131"/>
      <c r="AK13" s="131"/>
      <c r="AL13" s="131"/>
      <c r="AM13" s="131"/>
      <c r="AN13" s="134"/>
      <c r="AO13" s="131"/>
      <c r="AQ13" s="131"/>
      <c r="AR13" s="131"/>
      <c r="AS13" s="149"/>
      <c r="AT13" s="132"/>
      <c r="AU13" s="151" t="s">
        <v>274</v>
      </c>
      <c r="AV13" s="131"/>
      <c r="AW13" s="131"/>
      <c r="AX13" s="131"/>
      <c r="AY13" s="131"/>
      <c r="AZ13" s="131"/>
      <c r="BA13" s="131"/>
      <c r="BB13" s="134"/>
      <c r="BC13" s="131"/>
    </row>
    <row r="14" spans="1:55" ht="42.5" customHeight="1" x14ac:dyDescent="0.3">
      <c r="A14" s="131"/>
      <c r="B14" s="131"/>
      <c r="C14" s="150"/>
      <c r="D14" s="132"/>
      <c r="E14" s="151"/>
      <c r="F14" s="131"/>
      <c r="G14" s="131"/>
      <c r="H14" s="131"/>
      <c r="I14" s="131"/>
      <c r="J14" s="131"/>
      <c r="K14" s="131"/>
      <c r="L14" s="134"/>
      <c r="M14" s="131"/>
      <c r="O14" s="131"/>
      <c r="P14" s="131"/>
      <c r="Q14" s="150"/>
      <c r="R14" s="132"/>
      <c r="S14" s="151"/>
      <c r="T14" s="131"/>
      <c r="U14" s="131"/>
      <c r="V14" s="131"/>
      <c r="W14" s="131"/>
      <c r="X14" s="131"/>
      <c r="Y14" s="131"/>
      <c r="Z14" s="134"/>
      <c r="AA14" s="131"/>
      <c r="AC14" s="131"/>
      <c r="AD14" s="131"/>
      <c r="AE14" s="150"/>
      <c r="AF14" s="132"/>
      <c r="AG14" s="151"/>
      <c r="AH14" s="131"/>
      <c r="AI14" s="131"/>
      <c r="AJ14" s="131"/>
      <c r="AK14" s="131"/>
      <c r="AL14" s="131"/>
      <c r="AM14" s="131"/>
      <c r="AN14" s="134"/>
      <c r="AO14" s="131"/>
      <c r="AQ14" s="131"/>
      <c r="AR14" s="131"/>
      <c r="AS14" s="150"/>
      <c r="AT14" s="132"/>
      <c r="AU14" s="151"/>
      <c r="AV14" s="131"/>
      <c r="AW14" s="131"/>
      <c r="AX14" s="131"/>
      <c r="AY14" s="131"/>
      <c r="AZ14" s="131"/>
      <c r="BA14" s="131"/>
      <c r="BB14" s="134"/>
      <c r="BC14" s="131"/>
    </row>
    <row r="15" spans="1:55" ht="42.5" customHeight="1" x14ac:dyDescent="0.3">
      <c r="A15" s="131"/>
      <c r="B15" s="131"/>
      <c r="C15" s="148" t="s">
        <v>31</v>
      </c>
      <c r="D15" s="132"/>
      <c r="E15" s="151" t="s">
        <v>273</v>
      </c>
      <c r="F15" s="131"/>
      <c r="G15" s="131"/>
      <c r="H15" s="131"/>
      <c r="I15" s="131"/>
      <c r="J15" s="131"/>
      <c r="K15" s="131"/>
      <c r="L15" s="133"/>
      <c r="M15" s="131"/>
      <c r="O15" s="131"/>
      <c r="P15" s="131"/>
      <c r="Q15" s="148" t="s">
        <v>31</v>
      </c>
      <c r="R15" s="132"/>
      <c r="S15" s="151" t="s">
        <v>273</v>
      </c>
      <c r="T15" s="131"/>
      <c r="U15" s="131"/>
      <c r="V15" s="131"/>
      <c r="W15" s="131"/>
      <c r="X15" s="131"/>
      <c r="Y15" s="131"/>
      <c r="Z15" s="133"/>
      <c r="AA15" s="131"/>
      <c r="AC15" s="131"/>
      <c r="AD15" s="131"/>
      <c r="AE15" s="148" t="s">
        <v>31</v>
      </c>
      <c r="AF15" s="132"/>
      <c r="AG15" s="151" t="s">
        <v>273</v>
      </c>
      <c r="AH15" s="131"/>
      <c r="AI15" s="131"/>
      <c r="AJ15" s="131"/>
      <c r="AK15" s="131"/>
      <c r="AL15" s="131"/>
      <c r="AM15" s="131"/>
      <c r="AN15" s="133"/>
      <c r="AO15" s="131"/>
      <c r="AQ15" s="131"/>
      <c r="AR15" s="131"/>
      <c r="AS15" s="148" t="s">
        <v>31</v>
      </c>
      <c r="AT15" s="132"/>
      <c r="AU15" s="151" t="s">
        <v>273</v>
      </c>
      <c r="AV15" s="131"/>
      <c r="AW15" s="131"/>
      <c r="AX15" s="131"/>
      <c r="AY15" s="131"/>
      <c r="AZ15" s="131"/>
      <c r="BA15" s="131"/>
      <c r="BB15" s="133"/>
      <c r="BC15" s="131"/>
    </row>
    <row r="16" spans="1:55" ht="42.5" customHeight="1" x14ac:dyDescent="0.3">
      <c r="A16" s="131"/>
      <c r="B16" s="131"/>
      <c r="C16" s="149"/>
      <c r="D16" s="132"/>
      <c r="E16" s="151" t="s">
        <v>274</v>
      </c>
      <c r="F16" s="131"/>
      <c r="G16" s="131"/>
      <c r="H16" s="131"/>
      <c r="I16" s="131"/>
      <c r="J16" s="131"/>
      <c r="K16" s="131"/>
      <c r="L16" s="133"/>
      <c r="M16" s="131"/>
      <c r="O16" s="131"/>
      <c r="P16" s="131"/>
      <c r="Q16" s="149"/>
      <c r="R16" s="132"/>
      <c r="S16" s="151" t="s">
        <v>274</v>
      </c>
      <c r="T16" s="131"/>
      <c r="U16" s="131"/>
      <c r="V16" s="131"/>
      <c r="W16" s="131"/>
      <c r="X16" s="131"/>
      <c r="Y16" s="131"/>
      <c r="Z16" s="133"/>
      <c r="AA16" s="131"/>
      <c r="AC16" s="131"/>
      <c r="AD16" s="131"/>
      <c r="AE16" s="149"/>
      <c r="AF16" s="132"/>
      <c r="AG16" s="151" t="s">
        <v>274</v>
      </c>
      <c r="AH16" s="131"/>
      <c r="AI16" s="131"/>
      <c r="AJ16" s="131"/>
      <c r="AK16" s="131"/>
      <c r="AL16" s="131"/>
      <c r="AM16" s="131"/>
      <c r="AN16" s="133"/>
      <c r="AO16" s="131"/>
      <c r="AQ16" s="131"/>
      <c r="AR16" s="131"/>
      <c r="AS16" s="149"/>
      <c r="AT16" s="132"/>
      <c r="AU16" s="151" t="s">
        <v>274</v>
      </c>
      <c r="AV16" s="131"/>
      <c r="AW16" s="131"/>
      <c r="AX16" s="131"/>
      <c r="AY16" s="131"/>
      <c r="AZ16" s="131"/>
      <c r="BA16" s="131"/>
      <c r="BB16" s="133"/>
      <c r="BC16" s="131"/>
    </row>
    <row r="17" spans="1:55" ht="42.5" customHeight="1" x14ac:dyDescent="0.3">
      <c r="A17" s="131"/>
      <c r="B17" s="131"/>
      <c r="C17" s="150"/>
      <c r="D17" s="132"/>
      <c r="E17" s="151"/>
      <c r="F17" s="131"/>
      <c r="G17" s="131"/>
      <c r="H17" s="131"/>
      <c r="I17" s="131"/>
      <c r="J17" s="131"/>
      <c r="K17" s="131"/>
      <c r="L17" s="133"/>
      <c r="M17" s="131"/>
      <c r="O17" s="131"/>
      <c r="P17" s="131"/>
      <c r="Q17" s="150"/>
      <c r="R17" s="132"/>
      <c r="S17" s="151"/>
      <c r="T17" s="131"/>
      <c r="U17" s="131"/>
      <c r="V17" s="131"/>
      <c r="W17" s="131"/>
      <c r="X17" s="131"/>
      <c r="Y17" s="131"/>
      <c r="Z17" s="133"/>
      <c r="AA17" s="131"/>
      <c r="AC17" s="131"/>
      <c r="AD17" s="131"/>
      <c r="AE17" s="150"/>
      <c r="AF17" s="132"/>
      <c r="AG17" s="151"/>
      <c r="AH17" s="131"/>
      <c r="AI17" s="131"/>
      <c r="AJ17" s="131"/>
      <c r="AK17" s="131"/>
      <c r="AL17" s="131"/>
      <c r="AM17" s="131"/>
      <c r="AN17" s="133"/>
      <c r="AO17" s="131"/>
      <c r="AQ17" s="131"/>
      <c r="AR17" s="131"/>
      <c r="AS17" s="150"/>
      <c r="AT17" s="132"/>
      <c r="AU17" s="151"/>
      <c r="AV17" s="131"/>
      <c r="AW17" s="131"/>
      <c r="AX17" s="131"/>
      <c r="AY17" s="131"/>
      <c r="AZ17" s="131"/>
      <c r="BA17" s="131"/>
      <c r="BB17" s="133"/>
      <c r="BC17" s="131"/>
    </row>
    <row r="18" spans="1:55" ht="42.5" customHeight="1" x14ac:dyDescent="0.3">
      <c r="A18" s="131"/>
      <c r="B18" s="131"/>
      <c r="C18" s="148" t="s">
        <v>275</v>
      </c>
      <c r="D18" s="132"/>
      <c r="E18" s="151" t="s">
        <v>273</v>
      </c>
      <c r="F18" s="131"/>
      <c r="G18" s="131"/>
      <c r="H18" s="131"/>
      <c r="I18" s="131"/>
      <c r="J18" s="131"/>
      <c r="K18" s="131"/>
      <c r="L18" s="134"/>
      <c r="M18" s="131"/>
      <c r="O18" s="131"/>
      <c r="P18" s="131"/>
      <c r="Q18" s="148" t="s">
        <v>275</v>
      </c>
      <c r="R18" s="132"/>
      <c r="S18" s="151" t="s">
        <v>273</v>
      </c>
      <c r="T18" s="131"/>
      <c r="U18" s="131"/>
      <c r="V18" s="131"/>
      <c r="W18" s="131"/>
      <c r="X18" s="131"/>
      <c r="Y18" s="131"/>
      <c r="Z18" s="134"/>
      <c r="AA18" s="131"/>
      <c r="AC18" s="131"/>
      <c r="AD18" s="131"/>
      <c r="AE18" s="148" t="s">
        <v>275</v>
      </c>
      <c r="AF18" s="132"/>
      <c r="AG18" s="151" t="s">
        <v>273</v>
      </c>
      <c r="AH18" s="131"/>
      <c r="AI18" s="131"/>
      <c r="AJ18" s="131"/>
      <c r="AK18" s="131"/>
      <c r="AL18" s="131"/>
      <c r="AM18" s="131"/>
      <c r="AN18" s="134"/>
      <c r="AO18" s="131"/>
      <c r="AQ18" s="131"/>
      <c r="AR18" s="131"/>
      <c r="AS18" s="148" t="s">
        <v>275</v>
      </c>
      <c r="AT18" s="132"/>
      <c r="AU18" s="151" t="s">
        <v>273</v>
      </c>
      <c r="AV18" s="131"/>
      <c r="AW18" s="131"/>
      <c r="AX18" s="131"/>
      <c r="AY18" s="131"/>
      <c r="AZ18" s="131"/>
      <c r="BA18" s="131"/>
      <c r="BB18" s="134"/>
      <c r="BC18" s="131"/>
    </row>
    <row r="19" spans="1:55" ht="42.5" customHeight="1" x14ac:dyDescent="0.3">
      <c r="A19" s="131"/>
      <c r="B19" s="131"/>
      <c r="C19" s="149"/>
      <c r="D19" s="132"/>
      <c r="E19" s="151" t="s">
        <v>274</v>
      </c>
      <c r="F19" s="131"/>
      <c r="G19" s="131"/>
      <c r="H19" s="131"/>
      <c r="I19" s="131"/>
      <c r="J19" s="131"/>
      <c r="K19" s="131"/>
      <c r="L19" s="134"/>
      <c r="M19" s="131"/>
      <c r="O19" s="131"/>
      <c r="P19" s="131"/>
      <c r="Q19" s="149"/>
      <c r="R19" s="132"/>
      <c r="S19" s="151" t="s">
        <v>274</v>
      </c>
      <c r="T19" s="131"/>
      <c r="U19" s="131"/>
      <c r="V19" s="131"/>
      <c r="W19" s="131"/>
      <c r="X19" s="131"/>
      <c r="Y19" s="131"/>
      <c r="Z19" s="134"/>
      <c r="AA19" s="131"/>
      <c r="AC19" s="131"/>
      <c r="AD19" s="131"/>
      <c r="AE19" s="149"/>
      <c r="AF19" s="132"/>
      <c r="AG19" s="151" t="s">
        <v>274</v>
      </c>
      <c r="AH19" s="131"/>
      <c r="AI19" s="131"/>
      <c r="AJ19" s="131"/>
      <c r="AK19" s="131"/>
      <c r="AL19" s="131"/>
      <c r="AM19" s="131"/>
      <c r="AN19" s="134"/>
      <c r="AO19" s="131"/>
      <c r="AQ19" s="131"/>
      <c r="AR19" s="131"/>
      <c r="AS19" s="149"/>
      <c r="AT19" s="132"/>
      <c r="AU19" s="151" t="s">
        <v>274</v>
      </c>
      <c r="AV19" s="131"/>
      <c r="AW19" s="131"/>
      <c r="AX19" s="131"/>
      <c r="AY19" s="131"/>
      <c r="AZ19" s="131"/>
      <c r="BA19" s="131"/>
      <c r="BB19" s="134"/>
      <c r="BC19" s="131"/>
    </row>
    <row r="20" spans="1:55" ht="42.5" customHeight="1" x14ac:dyDescent="0.3">
      <c r="A20" s="131"/>
      <c r="B20" s="131"/>
      <c r="C20" s="150"/>
      <c r="D20" s="132"/>
      <c r="E20" s="151"/>
      <c r="F20" s="131"/>
      <c r="G20" s="131"/>
      <c r="H20" s="131"/>
      <c r="I20" s="131"/>
      <c r="J20" s="131"/>
      <c r="K20" s="131"/>
      <c r="L20" s="134"/>
      <c r="M20" s="131"/>
      <c r="O20" s="131"/>
      <c r="P20" s="131"/>
      <c r="Q20" s="150"/>
      <c r="R20" s="132"/>
      <c r="S20" s="151"/>
      <c r="T20" s="131"/>
      <c r="U20" s="131"/>
      <c r="V20" s="131"/>
      <c r="W20" s="131"/>
      <c r="X20" s="131"/>
      <c r="Y20" s="131"/>
      <c r="Z20" s="134"/>
      <c r="AA20" s="131"/>
      <c r="AC20" s="131"/>
      <c r="AD20" s="131"/>
      <c r="AE20" s="150"/>
      <c r="AF20" s="132"/>
      <c r="AG20" s="151"/>
      <c r="AH20" s="131"/>
      <c r="AI20" s="131"/>
      <c r="AJ20" s="131"/>
      <c r="AK20" s="131"/>
      <c r="AL20" s="131"/>
      <c r="AM20" s="131"/>
      <c r="AN20" s="134"/>
      <c r="AO20" s="131"/>
      <c r="AQ20" s="131"/>
      <c r="AR20" s="131"/>
      <c r="AS20" s="150"/>
      <c r="AT20" s="132"/>
      <c r="AU20" s="151"/>
      <c r="AV20" s="131"/>
      <c r="AW20" s="131"/>
      <c r="AX20" s="131"/>
      <c r="AY20" s="131"/>
      <c r="AZ20" s="131"/>
      <c r="BA20" s="131"/>
      <c r="BB20" s="134"/>
      <c r="BC20" s="131"/>
    </row>
    <row r="21" spans="1:55" ht="42.5" customHeight="1" x14ac:dyDescent="0.3">
      <c r="A21" s="131"/>
      <c r="B21" s="131"/>
      <c r="C21" s="148" t="s">
        <v>33</v>
      </c>
      <c r="D21" s="132"/>
      <c r="E21" s="151" t="s">
        <v>273</v>
      </c>
      <c r="F21" s="131"/>
      <c r="G21" s="131"/>
      <c r="H21" s="131"/>
      <c r="I21" s="131"/>
      <c r="J21" s="131"/>
      <c r="K21" s="131"/>
      <c r="L21" s="131"/>
      <c r="M21" s="131"/>
      <c r="O21" s="131"/>
      <c r="P21" s="131"/>
      <c r="Q21" s="148" t="s">
        <v>33</v>
      </c>
      <c r="R21" s="132"/>
      <c r="S21" s="151" t="s">
        <v>273</v>
      </c>
      <c r="T21" s="131"/>
      <c r="U21" s="131"/>
      <c r="V21" s="131"/>
      <c r="W21" s="131"/>
      <c r="X21" s="131"/>
      <c r="Y21" s="131"/>
      <c r="Z21" s="131"/>
      <c r="AA21" s="131"/>
      <c r="AC21" s="131"/>
      <c r="AD21" s="131"/>
      <c r="AE21" s="148" t="s">
        <v>33</v>
      </c>
      <c r="AF21" s="132"/>
      <c r="AG21" s="151" t="s">
        <v>273</v>
      </c>
      <c r="AH21" s="131"/>
      <c r="AI21" s="131"/>
      <c r="AJ21" s="131"/>
      <c r="AK21" s="131"/>
      <c r="AL21" s="131"/>
      <c r="AM21" s="131"/>
      <c r="AN21" s="131"/>
      <c r="AO21" s="131"/>
      <c r="AQ21" s="131"/>
      <c r="AR21" s="131"/>
      <c r="AS21" s="148" t="s">
        <v>33</v>
      </c>
      <c r="AT21" s="132"/>
      <c r="AU21" s="151" t="s">
        <v>273</v>
      </c>
      <c r="AV21" s="131"/>
      <c r="AW21" s="131"/>
      <c r="AX21" s="131"/>
      <c r="AY21" s="131"/>
      <c r="AZ21" s="131"/>
      <c r="BA21" s="131"/>
      <c r="BB21" s="131"/>
      <c r="BC21" s="131"/>
    </row>
    <row r="22" spans="1:55" ht="42.5" customHeight="1" x14ac:dyDescent="0.3">
      <c r="A22" s="131"/>
      <c r="B22" s="131"/>
      <c r="C22" s="149"/>
      <c r="D22" s="132"/>
      <c r="E22" s="151" t="s">
        <v>274</v>
      </c>
      <c r="F22" s="131"/>
      <c r="G22" s="131"/>
      <c r="H22" s="131"/>
      <c r="I22" s="131"/>
      <c r="J22" s="131"/>
      <c r="K22" s="131"/>
      <c r="L22" s="131"/>
      <c r="M22" s="131"/>
      <c r="O22" s="131"/>
      <c r="P22" s="131"/>
      <c r="Q22" s="149"/>
      <c r="R22" s="132"/>
      <c r="S22" s="151" t="s">
        <v>274</v>
      </c>
      <c r="T22" s="131"/>
      <c r="U22" s="131"/>
      <c r="V22" s="131"/>
      <c r="W22" s="131"/>
      <c r="X22" s="131"/>
      <c r="Y22" s="131"/>
      <c r="Z22" s="131"/>
      <c r="AA22" s="131"/>
      <c r="AC22" s="131"/>
      <c r="AD22" s="131"/>
      <c r="AE22" s="149"/>
      <c r="AF22" s="132"/>
      <c r="AG22" s="151" t="s">
        <v>274</v>
      </c>
      <c r="AH22" s="131"/>
      <c r="AI22" s="131"/>
      <c r="AJ22" s="131"/>
      <c r="AK22" s="131"/>
      <c r="AL22" s="131"/>
      <c r="AM22" s="131"/>
      <c r="AN22" s="131"/>
      <c r="AO22" s="131"/>
      <c r="AQ22" s="131"/>
      <c r="AR22" s="131"/>
      <c r="AS22" s="149"/>
      <c r="AT22" s="132"/>
      <c r="AU22" s="151" t="s">
        <v>274</v>
      </c>
      <c r="AV22" s="131"/>
      <c r="AW22" s="131"/>
      <c r="AX22" s="131"/>
      <c r="AY22" s="131"/>
      <c r="AZ22" s="131"/>
      <c r="BA22" s="131"/>
      <c r="BB22" s="131"/>
      <c r="BC22" s="131"/>
    </row>
    <row r="23" spans="1:55" ht="42.5" customHeight="1" x14ac:dyDescent="0.3">
      <c r="A23" s="131"/>
      <c r="B23" s="131"/>
      <c r="C23" s="150"/>
      <c r="D23" s="132"/>
      <c r="E23" s="151"/>
      <c r="F23" s="131"/>
      <c r="G23" s="131"/>
      <c r="H23" s="131"/>
      <c r="I23" s="131"/>
      <c r="J23" s="131"/>
      <c r="K23" s="131"/>
      <c r="L23" s="131"/>
      <c r="M23" s="131"/>
      <c r="O23" s="131"/>
      <c r="P23" s="131"/>
      <c r="Q23" s="150"/>
      <c r="R23" s="132"/>
      <c r="S23" s="151"/>
      <c r="T23" s="131"/>
      <c r="U23" s="131"/>
      <c r="V23" s="131"/>
      <c r="W23" s="131"/>
      <c r="X23" s="131"/>
      <c r="Y23" s="131"/>
      <c r="Z23" s="131"/>
      <c r="AA23" s="131"/>
      <c r="AC23" s="131"/>
      <c r="AD23" s="131"/>
      <c r="AE23" s="150"/>
      <c r="AF23" s="132"/>
      <c r="AG23" s="151"/>
      <c r="AH23" s="131"/>
      <c r="AI23" s="131"/>
      <c r="AJ23" s="131"/>
      <c r="AK23" s="131"/>
      <c r="AL23" s="131"/>
      <c r="AM23" s="131"/>
      <c r="AN23" s="131"/>
      <c r="AO23" s="131"/>
      <c r="AQ23" s="131"/>
      <c r="AR23" s="131"/>
      <c r="AS23" s="150"/>
      <c r="AT23" s="132"/>
      <c r="AU23" s="151"/>
      <c r="AV23" s="131"/>
      <c r="AW23" s="131"/>
      <c r="AX23" s="131"/>
      <c r="AY23" s="131"/>
      <c r="AZ23" s="131"/>
      <c r="BA23" s="131"/>
      <c r="BB23" s="131"/>
      <c r="BC23" s="131"/>
    </row>
    <row r="24" spans="1:55" ht="42.5" customHeight="1" x14ac:dyDescent="0.3">
      <c r="AC24" s="136"/>
      <c r="AD24" s="136"/>
      <c r="AE24" s="136"/>
      <c r="AF24" s="137"/>
      <c r="AG24" s="136"/>
      <c r="AH24" s="136"/>
      <c r="AI24" s="136"/>
      <c r="AJ24" s="136"/>
      <c r="AK24" s="136"/>
      <c r="AL24" s="136"/>
      <c r="AM24" s="136"/>
      <c r="AN24" s="136"/>
      <c r="AO24" s="136"/>
    </row>
    <row r="25" spans="1:55" ht="42.5" customHeight="1" x14ac:dyDescent="0.3">
      <c r="A25" s="242" t="s">
        <v>276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7"/>
      <c r="L25" s="142"/>
      <c r="M25" s="142"/>
      <c r="N25" s="142"/>
      <c r="O25" s="243" t="s">
        <v>277</v>
      </c>
      <c r="P25" s="233"/>
      <c r="Q25" s="233"/>
      <c r="R25" s="233"/>
      <c r="S25" s="233"/>
      <c r="T25" s="233"/>
      <c r="U25" s="233"/>
      <c r="V25" s="233"/>
      <c r="W25" s="233"/>
      <c r="X25" s="142"/>
      <c r="Y25" s="142"/>
      <c r="Z25" s="142"/>
      <c r="AA25" s="142"/>
      <c r="AB25" s="142"/>
      <c r="AC25" s="242" t="s">
        <v>278</v>
      </c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7"/>
      <c r="AP25" s="142"/>
      <c r="AQ25" s="242" t="s">
        <v>279</v>
      </c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7"/>
    </row>
    <row r="26" spans="1:55" ht="82.5" customHeight="1" x14ac:dyDescent="0.3">
      <c r="A26" s="143" t="s">
        <v>260</v>
      </c>
      <c r="B26" s="143" t="s">
        <v>261</v>
      </c>
      <c r="C26" s="143" t="s">
        <v>262</v>
      </c>
      <c r="D26" s="144" t="s">
        <v>263</v>
      </c>
      <c r="E26" s="143" t="s">
        <v>264</v>
      </c>
      <c r="F26" s="143" t="s">
        <v>267</v>
      </c>
      <c r="G26" s="143" t="s">
        <v>268</v>
      </c>
      <c r="H26" s="143" t="s">
        <v>265</v>
      </c>
      <c r="I26" s="143" t="s">
        <v>270</v>
      </c>
      <c r="J26" s="143" t="s">
        <v>271</v>
      </c>
      <c r="K26" s="143" t="s">
        <v>272</v>
      </c>
      <c r="L26" s="142"/>
      <c r="M26" s="142"/>
      <c r="N26" s="142"/>
      <c r="O26" s="143" t="s">
        <v>260</v>
      </c>
      <c r="P26" s="143" t="s">
        <v>261</v>
      </c>
      <c r="Q26" s="143" t="s">
        <v>262</v>
      </c>
      <c r="R26" s="144" t="s">
        <v>263</v>
      </c>
      <c r="S26" s="143" t="s">
        <v>264</v>
      </c>
      <c r="T26" s="143" t="s">
        <v>267</v>
      </c>
      <c r="U26" s="143" t="s">
        <v>270</v>
      </c>
      <c r="V26" s="143" t="s">
        <v>271</v>
      </c>
      <c r="W26" s="143" t="s">
        <v>272</v>
      </c>
      <c r="X26" s="142"/>
      <c r="Y26" s="142"/>
      <c r="Z26" s="142"/>
      <c r="AA26" s="142"/>
      <c r="AB26" s="142"/>
      <c r="AC26" s="143" t="s">
        <v>260</v>
      </c>
      <c r="AD26" s="143" t="s">
        <v>261</v>
      </c>
      <c r="AE26" s="143" t="s">
        <v>262</v>
      </c>
      <c r="AF26" s="144" t="s">
        <v>263</v>
      </c>
      <c r="AG26" s="143" t="s">
        <v>264</v>
      </c>
      <c r="AH26" s="143" t="s">
        <v>265</v>
      </c>
      <c r="AI26" s="143" t="s">
        <v>266</v>
      </c>
      <c r="AJ26" s="143" t="s">
        <v>267</v>
      </c>
      <c r="AK26" s="143" t="s">
        <v>280</v>
      </c>
      <c r="AL26" s="143" t="s">
        <v>281</v>
      </c>
      <c r="AM26" s="143" t="s">
        <v>270</v>
      </c>
      <c r="AN26" s="143" t="s">
        <v>271</v>
      </c>
      <c r="AO26" s="143" t="s">
        <v>272</v>
      </c>
      <c r="AP26" s="142"/>
      <c r="AQ26" s="143" t="s">
        <v>260</v>
      </c>
      <c r="AR26" s="143" t="s">
        <v>261</v>
      </c>
      <c r="AS26" s="143" t="s">
        <v>262</v>
      </c>
      <c r="AT26" s="144" t="s">
        <v>263</v>
      </c>
      <c r="AU26" s="143" t="s">
        <v>264</v>
      </c>
      <c r="AV26" s="143" t="s">
        <v>265</v>
      </c>
      <c r="AW26" s="143" t="s">
        <v>266</v>
      </c>
      <c r="AX26" s="143" t="s">
        <v>267</v>
      </c>
      <c r="AY26" s="143" t="s">
        <v>280</v>
      </c>
      <c r="AZ26" s="143" t="s">
        <v>282</v>
      </c>
      <c r="BA26" s="143" t="s">
        <v>270</v>
      </c>
      <c r="BB26" s="143" t="s">
        <v>271</v>
      </c>
      <c r="BC26" s="143" t="s">
        <v>272</v>
      </c>
    </row>
    <row r="27" spans="1:55" ht="42.5" customHeight="1" x14ac:dyDescent="0.3">
      <c r="A27" s="131"/>
      <c r="B27" s="131"/>
      <c r="C27" s="145" t="s">
        <v>34</v>
      </c>
      <c r="D27" s="132"/>
      <c r="E27" s="151" t="s">
        <v>273</v>
      </c>
      <c r="F27" s="131"/>
      <c r="G27" s="131"/>
      <c r="H27" s="131"/>
      <c r="I27" s="131"/>
      <c r="J27" s="133"/>
      <c r="K27" s="131"/>
      <c r="O27" s="131"/>
      <c r="P27" s="131"/>
      <c r="Q27" s="145" t="s">
        <v>34</v>
      </c>
      <c r="R27" s="132"/>
      <c r="S27" s="131" t="s">
        <v>273</v>
      </c>
      <c r="T27" s="131"/>
      <c r="U27" s="131"/>
      <c r="V27" s="133"/>
      <c r="W27" s="131"/>
      <c r="AC27" s="131"/>
      <c r="AD27" s="131"/>
      <c r="AE27" s="145" t="s">
        <v>34</v>
      </c>
      <c r="AF27" s="132"/>
      <c r="AG27" s="131" t="s">
        <v>273</v>
      </c>
      <c r="AH27" s="131"/>
      <c r="AI27" s="131"/>
      <c r="AJ27" s="131"/>
      <c r="AK27" s="131"/>
      <c r="AL27" s="131"/>
      <c r="AM27" s="131"/>
      <c r="AN27" s="133"/>
      <c r="AO27" s="131"/>
      <c r="AQ27" s="131"/>
      <c r="AR27" s="131"/>
      <c r="AS27" s="145" t="s">
        <v>34</v>
      </c>
      <c r="AT27" s="132"/>
      <c r="AU27" s="131" t="s">
        <v>273</v>
      </c>
      <c r="AV27" s="131"/>
      <c r="AW27" s="131"/>
      <c r="AX27" s="131"/>
      <c r="AY27" s="131"/>
      <c r="AZ27" s="131"/>
      <c r="BA27" s="131"/>
      <c r="BB27" s="133"/>
      <c r="BC27" s="131"/>
    </row>
    <row r="28" spans="1:55" ht="42.5" customHeight="1" x14ac:dyDescent="0.3">
      <c r="A28" s="131"/>
      <c r="B28" s="131"/>
      <c r="C28" s="146"/>
      <c r="D28" s="132"/>
      <c r="E28" s="151" t="s">
        <v>274</v>
      </c>
      <c r="F28" s="131"/>
      <c r="G28" s="131"/>
      <c r="H28" s="131"/>
      <c r="I28" s="131"/>
      <c r="J28" s="133"/>
      <c r="K28" s="131"/>
      <c r="O28" s="131"/>
      <c r="P28" s="131"/>
      <c r="Q28" s="146"/>
      <c r="R28" s="132"/>
      <c r="S28" s="131" t="s">
        <v>274</v>
      </c>
      <c r="T28" s="131"/>
      <c r="U28" s="131"/>
      <c r="V28" s="133"/>
      <c r="W28" s="131"/>
      <c r="AC28" s="131"/>
      <c r="AD28" s="131"/>
      <c r="AE28" s="146"/>
      <c r="AF28" s="132"/>
      <c r="AG28" s="131" t="s">
        <v>274</v>
      </c>
      <c r="AH28" s="131"/>
      <c r="AI28" s="131"/>
      <c r="AJ28" s="131"/>
      <c r="AK28" s="131"/>
      <c r="AL28" s="131"/>
      <c r="AM28" s="131"/>
      <c r="AN28" s="133"/>
      <c r="AO28" s="131"/>
      <c r="AQ28" s="131"/>
      <c r="AR28" s="131"/>
      <c r="AS28" s="146"/>
      <c r="AT28" s="132"/>
      <c r="AU28" s="131" t="s">
        <v>274</v>
      </c>
      <c r="AV28" s="131"/>
      <c r="AW28" s="131"/>
      <c r="AX28" s="131"/>
      <c r="AY28" s="131"/>
      <c r="AZ28" s="131"/>
      <c r="BA28" s="131"/>
      <c r="BB28" s="133"/>
      <c r="BC28" s="131"/>
    </row>
    <row r="29" spans="1:55" ht="42.5" customHeight="1" x14ac:dyDescent="0.3">
      <c r="A29" s="131"/>
      <c r="B29" s="131"/>
      <c r="C29" s="147"/>
      <c r="D29" s="132"/>
      <c r="E29" s="151"/>
      <c r="F29" s="131"/>
      <c r="G29" s="131"/>
      <c r="H29" s="131"/>
      <c r="I29" s="131"/>
      <c r="J29" s="133"/>
      <c r="K29" s="131"/>
      <c r="O29" s="131"/>
      <c r="P29" s="131"/>
      <c r="Q29" s="147"/>
      <c r="R29" s="132"/>
      <c r="S29" s="131"/>
      <c r="T29" s="131"/>
      <c r="U29" s="131"/>
      <c r="V29" s="133"/>
      <c r="W29" s="131"/>
      <c r="AC29" s="131"/>
      <c r="AD29" s="131"/>
      <c r="AE29" s="147"/>
      <c r="AF29" s="132"/>
      <c r="AG29" s="131"/>
      <c r="AH29" s="131"/>
      <c r="AI29" s="131"/>
      <c r="AJ29" s="131"/>
      <c r="AK29" s="131"/>
      <c r="AL29" s="131"/>
      <c r="AM29" s="131"/>
      <c r="AN29" s="133"/>
      <c r="AO29" s="131"/>
      <c r="AQ29" s="131"/>
      <c r="AR29" s="131"/>
      <c r="AS29" s="147"/>
      <c r="AT29" s="132"/>
      <c r="AU29" s="131"/>
      <c r="AV29" s="131"/>
      <c r="AW29" s="131"/>
      <c r="AX29" s="131"/>
      <c r="AY29" s="131"/>
      <c r="AZ29" s="131"/>
      <c r="BA29" s="131"/>
      <c r="BB29" s="133"/>
      <c r="BC29" s="131"/>
    </row>
    <row r="30" spans="1:55" ht="42.5" customHeight="1" x14ac:dyDescent="0.3">
      <c r="A30" s="131"/>
      <c r="B30" s="131"/>
      <c r="C30" s="145" t="s">
        <v>25</v>
      </c>
      <c r="D30" s="132"/>
      <c r="E30" s="151" t="s">
        <v>273</v>
      </c>
      <c r="F30" s="131"/>
      <c r="G30" s="131"/>
      <c r="H30" s="131"/>
      <c r="I30" s="131"/>
      <c r="J30" s="134"/>
      <c r="K30" s="131"/>
      <c r="O30" s="131"/>
      <c r="P30" s="131"/>
      <c r="Q30" s="145" t="s">
        <v>25</v>
      </c>
      <c r="R30" s="132"/>
      <c r="S30" s="131" t="s">
        <v>273</v>
      </c>
      <c r="T30" s="131"/>
      <c r="U30" s="131"/>
      <c r="V30" s="134"/>
      <c r="W30" s="131"/>
      <c r="AC30" s="131"/>
      <c r="AD30" s="131"/>
      <c r="AE30" s="145" t="s">
        <v>25</v>
      </c>
      <c r="AF30" s="132"/>
      <c r="AG30" s="131" t="s">
        <v>273</v>
      </c>
      <c r="AH30" s="131"/>
      <c r="AI30" s="131"/>
      <c r="AJ30" s="131"/>
      <c r="AK30" s="131"/>
      <c r="AL30" s="131"/>
      <c r="AM30" s="131"/>
      <c r="AN30" s="134"/>
      <c r="AO30" s="131"/>
      <c r="AQ30" s="131"/>
      <c r="AR30" s="131"/>
      <c r="AS30" s="145" t="s">
        <v>25</v>
      </c>
      <c r="AT30" s="132"/>
      <c r="AU30" s="131" t="s">
        <v>273</v>
      </c>
      <c r="AV30" s="131"/>
      <c r="AW30" s="131"/>
      <c r="AX30" s="131"/>
      <c r="AY30" s="131"/>
      <c r="AZ30" s="131"/>
      <c r="BA30" s="131"/>
      <c r="BB30" s="134"/>
      <c r="BC30" s="131"/>
    </row>
    <row r="31" spans="1:55" ht="42.5" customHeight="1" x14ac:dyDescent="0.3">
      <c r="A31" s="131"/>
      <c r="B31" s="131"/>
      <c r="C31" s="146"/>
      <c r="D31" s="132"/>
      <c r="E31" s="151" t="s">
        <v>274</v>
      </c>
      <c r="F31" s="131"/>
      <c r="G31" s="131"/>
      <c r="H31" s="131"/>
      <c r="I31" s="131"/>
      <c r="J31" s="134"/>
      <c r="K31" s="131"/>
      <c r="O31" s="131"/>
      <c r="P31" s="131"/>
      <c r="Q31" s="146"/>
      <c r="R31" s="132"/>
      <c r="S31" s="131" t="s">
        <v>274</v>
      </c>
      <c r="T31" s="131"/>
      <c r="U31" s="131"/>
      <c r="V31" s="134"/>
      <c r="W31" s="131"/>
      <c r="AC31" s="131"/>
      <c r="AD31" s="131"/>
      <c r="AE31" s="146"/>
      <c r="AF31" s="132"/>
      <c r="AG31" s="131" t="s">
        <v>274</v>
      </c>
      <c r="AH31" s="131"/>
      <c r="AI31" s="131"/>
      <c r="AJ31" s="131"/>
      <c r="AK31" s="131"/>
      <c r="AL31" s="131"/>
      <c r="AM31" s="131"/>
      <c r="AN31" s="134"/>
      <c r="AO31" s="131"/>
      <c r="AQ31" s="131"/>
      <c r="AR31" s="131"/>
      <c r="AS31" s="146"/>
      <c r="AT31" s="132"/>
      <c r="AU31" s="131" t="s">
        <v>274</v>
      </c>
      <c r="AV31" s="131"/>
      <c r="AW31" s="131"/>
      <c r="AX31" s="131"/>
      <c r="AY31" s="131"/>
      <c r="AZ31" s="131"/>
      <c r="BA31" s="131"/>
      <c r="BB31" s="134"/>
      <c r="BC31" s="131"/>
    </row>
    <row r="32" spans="1:55" ht="42.5" customHeight="1" x14ac:dyDescent="0.3">
      <c r="A32" s="131"/>
      <c r="B32" s="131"/>
      <c r="C32" s="147"/>
      <c r="D32" s="132"/>
      <c r="E32" s="151"/>
      <c r="F32" s="131"/>
      <c r="G32" s="131"/>
      <c r="H32" s="131"/>
      <c r="I32" s="131"/>
      <c r="J32" s="134"/>
      <c r="K32" s="131"/>
      <c r="O32" s="131"/>
      <c r="P32" s="131"/>
      <c r="Q32" s="147"/>
      <c r="R32" s="132"/>
      <c r="S32" s="131"/>
      <c r="T32" s="131"/>
      <c r="U32" s="131"/>
      <c r="V32" s="134"/>
      <c r="W32" s="131"/>
      <c r="AC32" s="131"/>
      <c r="AD32" s="131"/>
      <c r="AE32" s="147"/>
      <c r="AF32" s="132"/>
      <c r="AG32" s="131"/>
      <c r="AH32" s="131"/>
      <c r="AI32" s="131"/>
      <c r="AJ32" s="131"/>
      <c r="AK32" s="131"/>
      <c r="AL32" s="131"/>
      <c r="AM32" s="131"/>
      <c r="AN32" s="134"/>
      <c r="AO32" s="131"/>
      <c r="AQ32" s="131"/>
      <c r="AR32" s="131"/>
      <c r="AS32" s="147"/>
      <c r="AT32" s="132"/>
      <c r="AU32" s="131"/>
      <c r="AV32" s="131"/>
      <c r="AW32" s="131"/>
      <c r="AX32" s="131"/>
      <c r="AY32" s="131"/>
      <c r="AZ32" s="131"/>
      <c r="BA32" s="131"/>
      <c r="BB32" s="134"/>
      <c r="BC32" s="131"/>
    </row>
    <row r="33" spans="1:55" ht="42.5" customHeight="1" x14ac:dyDescent="0.3">
      <c r="A33" s="131"/>
      <c r="B33" s="131"/>
      <c r="C33" s="148" t="s">
        <v>29</v>
      </c>
      <c r="D33" s="132"/>
      <c r="E33" s="151" t="s">
        <v>273</v>
      </c>
      <c r="F33" s="131"/>
      <c r="G33" s="131"/>
      <c r="H33" s="131"/>
      <c r="I33" s="131"/>
      <c r="J33" s="133"/>
      <c r="K33" s="131"/>
      <c r="O33" s="131"/>
      <c r="P33" s="131"/>
      <c r="Q33" s="148" t="s">
        <v>29</v>
      </c>
      <c r="R33" s="132"/>
      <c r="S33" s="131" t="s">
        <v>273</v>
      </c>
      <c r="T33" s="131"/>
      <c r="U33" s="131"/>
      <c r="V33" s="133"/>
      <c r="W33" s="131"/>
      <c r="AC33" s="131"/>
      <c r="AD33" s="131"/>
      <c r="AE33" s="148" t="s">
        <v>29</v>
      </c>
      <c r="AF33" s="132"/>
      <c r="AG33" s="131" t="s">
        <v>273</v>
      </c>
      <c r="AH33" s="131"/>
      <c r="AI33" s="131"/>
      <c r="AJ33" s="131"/>
      <c r="AK33" s="131"/>
      <c r="AL33" s="131"/>
      <c r="AM33" s="131"/>
      <c r="AN33" s="133"/>
      <c r="AO33" s="131"/>
      <c r="AQ33" s="131"/>
      <c r="AR33" s="131"/>
      <c r="AS33" s="148" t="s">
        <v>29</v>
      </c>
      <c r="AT33" s="132"/>
      <c r="AU33" s="131" t="s">
        <v>273</v>
      </c>
      <c r="AV33" s="131"/>
      <c r="AW33" s="131"/>
      <c r="AX33" s="131"/>
      <c r="AY33" s="131"/>
      <c r="AZ33" s="131"/>
      <c r="BA33" s="131"/>
      <c r="BB33" s="133"/>
      <c r="BC33" s="131"/>
    </row>
    <row r="34" spans="1:55" ht="42.5" customHeight="1" x14ac:dyDescent="0.3">
      <c r="A34" s="131"/>
      <c r="B34" s="131"/>
      <c r="C34" s="149"/>
      <c r="D34" s="132"/>
      <c r="E34" s="151" t="s">
        <v>274</v>
      </c>
      <c r="F34" s="131"/>
      <c r="G34" s="131"/>
      <c r="H34" s="131"/>
      <c r="I34" s="131"/>
      <c r="J34" s="133"/>
      <c r="K34" s="131"/>
      <c r="L34" s="136"/>
      <c r="M34" s="136"/>
      <c r="O34" s="131"/>
      <c r="P34" s="131"/>
      <c r="Q34" s="149"/>
      <c r="R34" s="132"/>
      <c r="S34" s="131" t="s">
        <v>274</v>
      </c>
      <c r="T34" s="131"/>
      <c r="U34" s="131"/>
      <c r="V34" s="133"/>
      <c r="W34" s="131"/>
      <c r="AC34" s="131"/>
      <c r="AD34" s="131"/>
      <c r="AE34" s="149"/>
      <c r="AF34" s="132"/>
      <c r="AG34" s="131" t="s">
        <v>274</v>
      </c>
      <c r="AH34" s="131"/>
      <c r="AI34" s="131"/>
      <c r="AJ34" s="131"/>
      <c r="AK34" s="131"/>
      <c r="AL34" s="131"/>
      <c r="AM34" s="131"/>
      <c r="AN34" s="133"/>
      <c r="AO34" s="131"/>
      <c r="AQ34" s="131"/>
      <c r="AR34" s="131"/>
      <c r="AS34" s="149"/>
      <c r="AT34" s="132"/>
      <c r="AU34" s="131" t="s">
        <v>274</v>
      </c>
      <c r="AV34" s="131"/>
      <c r="AW34" s="131"/>
      <c r="AX34" s="131"/>
      <c r="AY34" s="131"/>
      <c r="AZ34" s="131"/>
      <c r="BA34" s="131"/>
      <c r="BB34" s="133"/>
      <c r="BC34" s="131"/>
    </row>
    <row r="35" spans="1:55" ht="42.5" customHeight="1" x14ac:dyDescent="0.3">
      <c r="A35" s="131"/>
      <c r="B35" s="131"/>
      <c r="C35" s="150"/>
      <c r="D35" s="132"/>
      <c r="E35" s="151"/>
      <c r="F35" s="131"/>
      <c r="G35" s="131"/>
      <c r="H35" s="131"/>
      <c r="I35" s="131"/>
      <c r="J35" s="133"/>
      <c r="K35" s="131"/>
      <c r="L35" s="136"/>
      <c r="M35" s="136"/>
      <c r="O35" s="131"/>
      <c r="P35" s="131"/>
      <c r="Q35" s="150"/>
      <c r="R35" s="132"/>
      <c r="S35" s="131"/>
      <c r="T35" s="131"/>
      <c r="U35" s="131"/>
      <c r="V35" s="133"/>
      <c r="W35" s="131"/>
      <c r="AC35" s="131"/>
      <c r="AD35" s="131"/>
      <c r="AE35" s="150"/>
      <c r="AF35" s="132"/>
      <c r="AG35" s="131"/>
      <c r="AH35" s="131"/>
      <c r="AI35" s="131"/>
      <c r="AJ35" s="131"/>
      <c r="AK35" s="131"/>
      <c r="AL35" s="131"/>
      <c r="AM35" s="131"/>
      <c r="AN35" s="133"/>
      <c r="AO35" s="131"/>
      <c r="AQ35" s="131"/>
      <c r="AR35" s="131"/>
      <c r="AS35" s="150"/>
      <c r="AT35" s="132"/>
      <c r="AU35" s="131"/>
      <c r="AV35" s="131"/>
      <c r="AW35" s="131"/>
      <c r="AX35" s="131"/>
      <c r="AY35" s="131"/>
      <c r="AZ35" s="131"/>
      <c r="BA35" s="131"/>
      <c r="BB35" s="133"/>
      <c r="BC35" s="131"/>
    </row>
    <row r="36" spans="1:55" ht="42.5" customHeight="1" x14ac:dyDescent="0.3">
      <c r="A36" s="131"/>
      <c r="B36" s="131"/>
      <c r="C36" s="148" t="s">
        <v>30</v>
      </c>
      <c r="D36" s="132"/>
      <c r="E36" s="151" t="s">
        <v>273</v>
      </c>
      <c r="F36" s="131"/>
      <c r="G36" s="131"/>
      <c r="H36" s="131"/>
      <c r="I36" s="131"/>
      <c r="J36" s="134"/>
      <c r="K36" s="138"/>
      <c r="O36" s="131"/>
      <c r="P36" s="131"/>
      <c r="Q36" s="148" t="s">
        <v>30</v>
      </c>
      <c r="R36" s="132"/>
      <c r="S36" s="131" t="s">
        <v>273</v>
      </c>
      <c r="T36" s="131"/>
      <c r="U36" s="131"/>
      <c r="V36" s="134"/>
      <c r="W36" s="131"/>
      <c r="AC36" s="131"/>
      <c r="AD36" s="131"/>
      <c r="AE36" s="148" t="s">
        <v>30</v>
      </c>
      <c r="AF36" s="132"/>
      <c r="AG36" s="131" t="s">
        <v>273</v>
      </c>
      <c r="AH36" s="131"/>
      <c r="AI36" s="131"/>
      <c r="AJ36" s="131"/>
      <c r="AK36" s="131"/>
      <c r="AL36" s="131"/>
      <c r="AM36" s="131"/>
      <c r="AN36" s="134"/>
      <c r="AO36" s="131"/>
      <c r="AQ36" s="131"/>
      <c r="AR36" s="131"/>
      <c r="AS36" s="148" t="s">
        <v>30</v>
      </c>
      <c r="AT36" s="132"/>
      <c r="AU36" s="131" t="s">
        <v>273</v>
      </c>
      <c r="AV36" s="131"/>
      <c r="AW36" s="131"/>
      <c r="AX36" s="131"/>
      <c r="AY36" s="131"/>
      <c r="AZ36" s="131"/>
      <c r="BA36" s="131"/>
      <c r="BB36" s="134"/>
      <c r="BC36" s="131"/>
    </row>
    <row r="37" spans="1:55" ht="42.5" customHeight="1" x14ac:dyDescent="0.3">
      <c r="A37" s="131"/>
      <c r="B37" s="131"/>
      <c r="C37" s="149"/>
      <c r="D37" s="132"/>
      <c r="E37" s="151" t="s">
        <v>274</v>
      </c>
      <c r="F37" s="131"/>
      <c r="G37" s="131"/>
      <c r="H37" s="131"/>
      <c r="I37" s="131"/>
      <c r="J37" s="134"/>
      <c r="K37" s="131"/>
      <c r="L37" s="136"/>
      <c r="M37" s="136"/>
      <c r="O37" s="131"/>
      <c r="P37" s="131"/>
      <c r="Q37" s="149"/>
      <c r="R37" s="132"/>
      <c r="S37" s="131" t="s">
        <v>274</v>
      </c>
      <c r="T37" s="131"/>
      <c r="U37" s="131"/>
      <c r="V37" s="134"/>
      <c r="W37" s="131"/>
      <c r="AC37" s="131"/>
      <c r="AD37" s="131"/>
      <c r="AE37" s="149"/>
      <c r="AF37" s="132"/>
      <c r="AG37" s="131" t="s">
        <v>274</v>
      </c>
      <c r="AH37" s="131"/>
      <c r="AI37" s="131"/>
      <c r="AJ37" s="131"/>
      <c r="AK37" s="131"/>
      <c r="AL37" s="131"/>
      <c r="AM37" s="131"/>
      <c r="AN37" s="134"/>
      <c r="AO37" s="131"/>
      <c r="AQ37" s="131"/>
      <c r="AR37" s="131"/>
      <c r="AS37" s="149"/>
      <c r="AT37" s="132"/>
      <c r="AU37" s="131" t="s">
        <v>274</v>
      </c>
      <c r="AV37" s="131"/>
      <c r="AW37" s="131"/>
      <c r="AX37" s="131"/>
      <c r="AY37" s="131"/>
      <c r="AZ37" s="131"/>
      <c r="BA37" s="131"/>
      <c r="BB37" s="134"/>
      <c r="BC37" s="131"/>
    </row>
    <row r="38" spans="1:55" ht="42.5" customHeight="1" x14ac:dyDescent="0.3">
      <c r="A38" s="131"/>
      <c r="B38" s="131"/>
      <c r="C38" s="150"/>
      <c r="D38" s="132"/>
      <c r="E38" s="151"/>
      <c r="F38" s="131"/>
      <c r="G38" s="131"/>
      <c r="H38" s="131"/>
      <c r="I38" s="131"/>
      <c r="J38" s="134"/>
      <c r="K38" s="131"/>
      <c r="L38" s="136"/>
      <c r="M38" s="136"/>
      <c r="O38" s="131"/>
      <c r="P38" s="131"/>
      <c r="Q38" s="150"/>
      <c r="R38" s="132"/>
      <c r="S38" s="131"/>
      <c r="T38" s="131"/>
      <c r="U38" s="131"/>
      <c r="V38" s="134"/>
      <c r="W38" s="131"/>
      <c r="AC38" s="131"/>
      <c r="AD38" s="131"/>
      <c r="AE38" s="150"/>
      <c r="AF38" s="132"/>
      <c r="AG38" s="131"/>
      <c r="AH38" s="131"/>
      <c r="AI38" s="131"/>
      <c r="AJ38" s="131"/>
      <c r="AK38" s="131"/>
      <c r="AL38" s="131"/>
      <c r="AM38" s="131"/>
      <c r="AN38" s="134"/>
      <c r="AO38" s="131"/>
      <c r="AQ38" s="131"/>
      <c r="AR38" s="131"/>
      <c r="AS38" s="150"/>
      <c r="AT38" s="132"/>
      <c r="AU38" s="131"/>
      <c r="AV38" s="131"/>
      <c r="AW38" s="131"/>
      <c r="AX38" s="131"/>
      <c r="AY38" s="131"/>
      <c r="AZ38" s="131"/>
      <c r="BA38" s="131"/>
      <c r="BB38" s="134"/>
      <c r="BC38" s="131"/>
    </row>
    <row r="39" spans="1:55" ht="42.5" customHeight="1" x14ac:dyDescent="0.3">
      <c r="A39" s="131"/>
      <c r="B39" s="131"/>
      <c r="C39" s="148" t="s">
        <v>31</v>
      </c>
      <c r="D39" s="132"/>
      <c r="E39" s="151" t="s">
        <v>273</v>
      </c>
      <c r="F39" s="131"/>
      <c r="G39" s="131"/>
      <c r="H39" s="131"/>
      <c r="I39" s="131"/>
      <c r="J39" s="133"/>
      <c r="K39" s="131"/>
      <c r="L39" s="136"/>
      <c r="M39" s="136"/>
      <c r="O39" s="131"/>
      <c r="P39" s="131"/>
      <c r="Q39" s="148" t="s">
        <v>31</v>
      </c>
      <c r="R39" s="132"/>
      <c r="S39" s="131" t="s">
        <v>273</v>
      </c>
      <c r="T39" s="131"/>
      <c r="U39" s="131"/>
      <c r="V39" s="133"/>
      <c r="W39" s="131"/>
      <c r="AC39" s="131"/>
      <c r="AD39" s="131"/>
      <c r="AE39" s="148" t="s">
        <v>31</v>
      </c>
      <c r="AF39" s="132"/>
      <c r="AG39" s="131" t="s">
        <v>273</v>
      </c>
      <c r="AH39" s="131"/>
      <c r="AI39" s="131"/>
      <c r="AJ39" s="131"/>
      <c r="AK39" s="131"/>
      <c r="AL39" s="131"/>
      <c r="AM39" s="131"/>
      <c r="AN39" s="133"/>
      <c r="AO39" s="131"/>
      <c r="AQ39" s="131"/>
      <c r="AR39" s="131"/>
      <c r="AS39" s="148" t="s">
        <v>31</v>
      </c>
      <c r="AT39" s="132"/>
      <c r="AU39" s="131" t="s">
        <v>273</v>
      </c>
      <c r="AV39" s="131"/>
      <c r="AW39" s="131"/>
      <c r="AX39" s="131"/>
      <c r="AY39" s="131"/>
      <c r="AZ39" s="131"/>
      <c r="BA39" s="131"/>
      <c r="BB39" s="133"/>
      <c r="BC39" s="131"/>
    </row>
    <row r="40" spans="1:55" ht="42.5" customHeight="1" x14ac:dyDescent="0.3">
      <c r="A40" s="131"/>
      <c r="B40" s="131"/>
      <c r="C40" s="149"/>
      <c r="D40" s="132"/>
      <c r="E40" s="151" t="s">
        <v>274</v>
      </c>
      <c r="F40" s="131"/>
      <c r="G40" s="131"/>
      <c r="H40" s="131"/>
      <c r="I40" s="131"/>
      <c r="J40" s="133"/>
      <c r="K40" s="131"/>
      <c r="L40" s="136"/>
      <c r="M40" s="136"/>
      <c r="O40" s="131"/>
      <c r="P40" s="131"/>
      <c r="Q40" s="149"/>
      <c r="R40" s="132"/>
      <c r="S40" s="131" t="s">
        <v>274</v>
      </c>
      <c r="T40" s="131"/>
      <c r="U40" s="131"/>
      <c r="V40" s="133"/>
      <c r="W40" s="131"/>
      <c r="AC40" s="131"/>
      <c r="AD40" s="131"/>
      <c r="AE40" s="149"/>
      <c r="AF40" s="132"/>
      <c r="AG40" s="131" t="s">
        <v>274</v>
      </c>
      <c r="AH40" s="131"/>
      <c r="AI40" s="131"/>
      <c r="AJ40" s="131"/>
      <c r="AK40" s="131"/>
      <c r="AL40" s="131"/>
      <c r="AM40" s="131"/>
      <c r="AN40" s="133"/>
      <c r="AO40" s="131"/>
      <c r="AQ40" s="131"/>
      <c r="AR40" s="131"/>
      <c r="AS40" s="149"/>
      <c r="AT40" s="132"/>
      <c r="AU40" s="131" t="s">
        <v>274</v>
      </c>
      <c r="AV40" s="131"/>
      <c r="AW40" s="131"/>
      <c r="AX40" s="131"/>
      <c r="AY40" s="131"/>
      <c r="AZ40" s="131"/>
      <c r="BA40" s="131"/>
      <c r="BB40" s="133"/>
      <c r="BC40" s="131"/>
    </row>
    <row r="41" spans="1:55" ht="42.5" customHeight="1" x14ac:dyDescent="0.3">
      <c r="A41" s="131"/>
      <c r="B41" s="131"/>
      <c r="C41" s="150"/>
      <c r="D41" s="132"/>
      <c r="E41" s="151"/>
      <c r="F41" s="131"/>
      <c r="G41" s="131"/>
      <c r="H41" s="131"/>
      <c r="I41" s="131"/>
      <c r="J41" s="133"/>
      <c r="K41" s="131"/>
      <c r="L41" s="136"/>
      <c r="M41" s="136"/>
      <c r="O41" s="131"/>
      <c r="P41" s="131"/>
      <c r="Q41" s="150"/>
      <c r="R41" s="132"/>
      <c r="S41" s="131"/>
      <c r="T41" s="131"/>
      <c r="U41" s="131"/>
      <c r="V41" s="133"/>
      <c r="W41" s="131"/>
      <c r="AC41" s="131"/>
      <c r="AD41" s="131"/>
      <c r="AE41" s="150"/>
      <c r="AF41" s="132"/>
      <c r="AG41" s="131"/>
      <c r="AH41" s="131"/>
      <c r="AI41" s="131"/>
      <c r="AJ41" s="131"/>
      <c r="AK41" s="131"/>
      <c r="AL41" s="131"/>
      <c r="AM41" s="131"/>
      <c r="AN41" s="133"/>
      <c r="AO41" s="131"/>
      <c r="AQ41" s="131"/>
      <c r="AR41" s="131"/>
      <c r="AS41" s="150"/>
      <c r="AT41" s="132"/>
      <c r="AU41" s="131"/>
      <c r="AV41" s="131"/>
      <c r="AW41" s="131"/>
      <c r="AX41" s="131"/>
      <c r="AY41" s="131"/>
      <c r="AZ41" s="131"/>
      <c r="BA41" s="131"/>
      <c r="BB41" s="133"/>
      <c r="BC41" s="131"/>
    </row>
    <row r="42" spans="1:55" ht="42.5" customHeight="1" x14ac:dyDescent="0.3">
      <c r="A42" s="131"/>
      <c r="B42" s="131"/>
      <c r="C42" s="148" t="s">
        <v>275</v>
      </c>
      <c r="D42" s="132"/>
      <c r="E42" s="151" t="s">
        <v>273</v>
      </c>
      <c r="F42" s="131"/>
      <c r="G42" s="131"/>
      <c r="H42" s="131"/>
      <c r="I42" s="131"/>
      <c r="J42" s="134"/>
      <c r="K42" s="131"/>
      <c r="L42" s="136"/>
      <c r="M42" s="136"/>
      <c r="O42" s="131"/>
      <c r="P42" s="131"/>
      <c r="Q42" s="148" t="s">
        <v>275</v>
      </c>
      <c r="R42" s="132"/>
      <c r="S42" s="131" t="s">
        <v>273</v>
      </c>
      <c r="T42" s="131"/>
      <c r="U42" s="131"/>
      <c r="V42" s="134"/>
      <c r="W42" s="131"/>
      <c r="AC42" s="131"/>
      <c r="AD42" s="131"/>
      <c r="AE42" s="148" t="s">
        <v>275</v>
      </c>
      <c r="AF42" s="132"/>
      <c r="AG42" s="131" t="s">
        <v>273</v>
      </c>
      <c r="AH42" s="131"/>
      <c r="AI42" s="131"/>
      <c r="AJ42" s="131"/>
      <c r="AK42" s="131"/>
      <c r="AL42" s="131"/>
      <c r="AM42" s="131"/>
      <c r="AN42" s="134"/>
      <c r="AO42" s="131"/>
      <c r="AQ42" s="131"/>
      <c r="AR42" s="131"/>
      <c r="AS42" s="148" t="s">
        <v>275</v>
      </c>
      <c r="AT42" s="132"/>
      <c r="AU42" s="131" t="s">
        <v>273</v>
      </c>
      <c r="AV42" s="131"/>
      <c r="AW42" s="131"/>
      <c r="AX42" s="131"/>
      <c r="AY42" s="131"/>
      <c r="AZ42" s="131"/>
      <c r="BA42" s="131"/>
      <c r="BB42" s="134"/>
      <c r="BC42" s="131"/>
    </row>
    <row r="43" spans="1:55" ht="42.5" customHeight="1" x14ac:dyDescent="0.3">
      <c r="A43" s="131"/>
      <c r="B43" s="131"/>
      <c r="C43" s="149"/>
      <c r="D43" s="132"/>
      <c r="E43" s="151" t="s">
        <v>274</v>
      </c>
      <c r="F43" s="131"/>
      <c r="G43" s="131"/>
      <c r="H43" s="131"/>
      <c r="I43" s="131"/>
      <c r="J43" s="134"/>
      <c r="K43" s="131"/>
      <c r="L43" s="136"/>
      <c r="M43" s="136"/>
      <c r="O43" s="131"/>
      <c r="P43" s="131"/>
      <c r="Q43" s="149"/>
      <c r="R43" s="132"/>
      <c r="S43" s="131" t="s">
        <v>274</v>
      </c>
      <c r="T43" s="131"/>
      <c r="U43" s="131"/>
      <c r="V43" s="134"/>
      <c r="W43" s="131"/>
      <c r="AC43" s="131"/>
      <c r="AD43" s="131"/>
      <c r="AE43" s="149"/>
      <c r="AF43" s="132"/>
      <c r="AG43" s="131" t="s">
        <v>274</v>
      </c>
      <c r="AH43" s="131"/>
      <c r="AI43" s="131"/>
      <c r="AJ43" s="131"/>
      <c r="AK43" s="131"/>
      <c r="AL43" s="131"/>
      <c r="AM43" s="131"/>
      <c r="AN43" s="134"/>
      <c r="AO43" s="131"/>
      <c r="AQ43" s="131"/>
      <c r="AR43" s="131"/>
      <c r="AS43" s="149"/>
      <c r="AT43" s="132"/>
      <c r="AU43" s="131" t="s">
        <v>274</v>
      </c>
      <c r="AV43" s="131"/>
      <c r="AW43" s="131"/>
      <c r="AX43" s="131"/>
      <c r="AY43" s="131"/>
      <c r="AZ43" s="131"/>
      <c r="BA43" s="131"/>
      <c r="BB43" s="134"/>
      <c r="BC43" s="131"/>
    </row>
    <row r="44" spans="1:55" ht="42.5" customHeight="1" x14ac:dyDescent="0.3">
      <c r="A44" s="131"/>
      <c r="B44" s="131"/>
      <c r="C44" s="150"/>
      <c r="D44" s="132"/>
      <c r="E44" s="151"/>
      <c r="F44" s="131"/>
      <c r="G44" s="131"/>
      <c r="H44" s="131"/>
      <c r="I44" s="131"/>
      <c r="J44" s="134"/>
      <c r="K44" s="131"/>
      <c r="L44" s="136"/>
      <c r="M44" s="136"/>
      <c r="O44" s="131"/>
      <c r="P44" s="131"/>
      <c r="Q44" s="150"/>
      <c r="R44" s="132"/>
      <c r="S44" s="131"/>
      <c r="T44" s="131"/>
      <c r="U44" s="131"/>
      <c r="V44" s="134"/>
      <c r="W44" s="131"/>
      <c r="AC44" s="131"/>
      <c r="AD44" s="131"/>
      <c r="AE44" s="150"/>
      <c r="AF44" s="132"/>
      <c r="AG44" s="131"/>
      <c r="AH44" s="131"/>
      <c r="AI44" s="131"/>
      <c r="AJ44" s="131"/>
      <c r="AK44" s="131"/>
      <c r="AL44" s="131"/>
      <c r="AM44" s="131"/>
      <c r="AN44" s="134"/>
      <c r="AO44" s="131"/>
      <c r="AQ44" s="131"/>
      <c r="AR44" s="131"/>
      <c r="AS44" s="150"/>
      <c r="AT44" s="132"/>
      <c r="AU44" s="131"/>
      <c r="AV44" s="131"/>
      <c r="AW44" s="131"/>
      <c r="AX44" s="131"/>
      <c r="AY44" s="131"/>
      <c r="AZ44" s="131"/>
      <c r="BA44" s="131"/>
      <c r="BB44" s="134"/>
      <c r="BC44" s="131"/>
    </row>
    <row r="45" spans="1:55" ht="42.5" customHeight="1" x14ac:dyDescent="0.3">
      <c r="A45" s="131"/>
      <c r="B45" s="131"/>
      <c r="C45" s="148" t="s">
        <v>33</v>
      </c>
      <c r="D45" s="132"/>
      <c r="E45" s="151" t="s">
        <v>273</v>
      </c>
      <c r="F45" s="131"/>
      <c r="G45" s="131"/>
      <c r="H45" s="131"/>
      <c r="I45" s="131"/>
      <c r="J45" s="131"/>
      <c r="K45" s="131"/>
      <c r="L45" s="136"/>
      <c r="M45" s="136"/>
      <c r="O45" s="131"/>
      <c r="P45" s="131"/>
      <c r="Q45" s="148" t="s">
        <v>33</v>
      </c>
      <c r="R45" s="132"/>
      <c r="S45" s="131" t="s">
        <v>273</v>
      </c>
      <c r="T45" s="131"/>
      <c r="U45" s="131"/>
      <c r="V45" s="131"/>
      <c r="W45" s="131"/>
      <c r="AC45" s="131"/>
      <c r="AD45" s="131"/>
      <c r="AE45" s="148" t="s">
        <v>33</v>
      </c>
      <c r="AF45" s="132"/>
      <c r="AG45" s="131" t="s">
        <v>273</v>
      </c>
      <c r="AH45" s="131"/>
      <c r="AI45" s="131"/>
      <c r="AJ45" s="131"/>
      <c r="AK45" s="131"/>
      <c r="AL45" s="131"/>
      <c r="AM45" s="131"/>
      <c r="AN45" s="131"/>
      <c r="AO45" s="131"/>
      <c r="AQ45" s="131"/>
      <c r="AR45" s="131"/>
      <c r="AS45" s="148" t="s">
        <v>33</v>
      </c>
      <c r="AT45" s="132"/>
      <c r="AU45" s="131" t="s">
        <v>273</v>
      </c>
      <c r="AV45" s="131"/>
      <c r="AW45" s="131"/>
      <c r="AX45" s="131"/>
      <c r="AY45" s="131"/>
      <c r="AZ45" s="131"/>
      <c r="BA45" s="131"/>
      <c r="BB45" s="131"/>
      <c r="BC45" s="131"/>
    </row>
    <row r="46" spans="1:55" ht="42.5" customHeight="1" x14ac:dyDescent="0.3">
      <c r="A46" s="131"/>
      <c r="B46" s="131"/>
      <c r="C46" s="149"/>
      <c r="D46" s="132"/>
      <c r="E46" s="151" t="s">
        <v>274</v>
      </c>
      <c r="F46" s="131"/>
      <c r="G46" s="131"/>
      <c r="H46" s="131"/>
      <c r="I46" s="131"/>
      <c r="J46" s="131"/>
      <c r="K46" s="131"/>
      <c r="L46" s="136"/>
      <c r="M46" s="136"/>
      <c r="O46" s="131"/>
      <c r="P46" s="131"/>
      <c r="Q46" s="149"/>
      <c r="R46" s="132"/>
      <c r="S46" s="131" t="s">
        <v>274</v>
      </c>
      <c r="T46" s="131"/>
      <c r="U46" s="131"/>
      <c r="V46" s="131"/>
      <c r="W46" s="131"/>
      <c r="AC46" s="131"/>
      <c r="AD46" s="131"/>
      <c r="AE46" s="149"/>
      <c r="AF46" s="132"/>
      <c r="AG46" s="131" t="s">
        <v>274</v>
      </c>
      <c r="AH46" s="131"/>
      <c r="AI46" s="131"/>
      <c r="AJ46" s="131"/>
      <c r="AK46" s="131"/>
      <c r="AL46" s="131"/>
      <c r="AM46" s="131"/>
      <c r="AN46" s="131"/>
      <c r="AO46" s="131"/>
      <c r="AQ46" s="131"/>
      <c r="AR46" s="131"/>
      <c r="AS46" s="149"/>
      <c r="AT46" s="132"/>
      <c r="AU46" s="131" t="s">
        <v>274</v>
      </c>
      <c r="AV46" s="131"/>
      <c r="AW46" s="131"/>
      <c r="AX46" s="131"/>
      <c r="AY46" s="131"/>
      <c r="AZ46" s="131"/>
      <c r="BA46" s="131"/>
      <c r="BB46" s="131"/>
      <c r="BC46" s="131"/>
    </row>
    <row r="47" spans="1:55" ht="42.5" customHeight="1" x14ac:dyDescent="0.3">
      <c r="A47" s="131"/>
      <c r="B47" s="131"/>
      <c r="C47" s="150"/>
      <c r="D47" s="132"/>
      <c r="E47" s="151"/>
      <c r="F47" s="131"/>
      <c r="G47" s="131"/>
      <c r="H47" s="131"/>
      <c r="I47" s="131"/>
      <c r="J47" s="131"/>
      <c r="K47" s="131"/>
      <c r="L47" s="136"/>
      <c r="M47" s="136"/>
      <c r="O47" s="131"/>
      <c r="P47" s="131"/>
      <c r="Q47" s="150"/>
      <c r="R47" s="132"/>
      <c r="S47" s="131"/>
      <c r="T47" s="131"/>
      <c r="U47" s="131"/>
      <c r="V47" s="131"/>
      <c r="W47" s="131"/>
      <c r="AC47" s="131"/>
      <c r="AD47" s="131"/>
      <c r="AE47" s="150"/>
      <c r="AF47" s="132"/>
      <c r="AG47" s="131"/>
      <c r="AH47" s="131"/>
      <c r="AI47" s="131"/>
      <c r="AJ47" s="131"/>
      <c r="AK47" s="131"/>
      <c r="AL47" s="131"/>
      <c r="AM47" s="131"/>
      <c r="AN47" s="131"/>
      <c r="AO47" s="131"/>
      <c r="AQ47" s="131"/>
      <c r="AR47" s="131"/>
      <c r="AS47" s="150"/>
      <c r="AT47" s="132"/>
      <c r="AU47" s="131"/>
      <c r="AV47" s="131"/>
      <c r="AW47" s="131"/>
      <c r="AX47" s="131"/>
      <c r="AY47" s="131"/>
      <c r="AZ47" s="131"/>
      <c r="BA47" s="131"/>
      <c r="BB47" s="131"/>
      <c r="BC47" s="131"/>
    </row>
    <row r="48" spans="1:55" ht="42.5" customHeight="1" x14ac:dyDescent="0.3">
      <c r="L48" s="136"/>
      <c r="M48" s="136"/>
    </row>
    <row r="49" spans="1:51" ht="42.5" customHeight="1" x14ac:dyDescent="0.3">
      <c r="A49" s="243" t="s">
        <v>283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52"/>
      <c r="M49" s="152"/>
      <c r="N49" s="142"/>
      <c r="O49" s="243" t="s">
        <v>284</v>
      </c>
      <c r="P49" s="233"/>
      <c r="Q49" s="233"/>
      <c r="R49" s="233"/>
      <c r="S49" s="233"/>
      <c r="T49" s="233"/>
      <c r="U49" s="233"/>
      <c r="V49" s="233"/>
      <c r="W49" s="233"/>
      <c r="X49" s="233"/>
      <c r="Y49" s="142"/>
      <c r="Z49" s="142"/>
      <c r="AA49" s="142"/>
      <c r="AB49" s="142"/>
      <c r="AC49" s="243" t="s">
        <v>285</v>
      </c>
      <c r="AD49" s="233"/>
      <c r="AE49" s="233"/>
      <c r="AF49" s="233"/>
      <c r="AG49" s="233"/>
      <c r="AH49" s="233"/>
      <c r="AI49" s="233"/>
      <c r="AJ49" s="233"/>
      <c r="AK49" s="233"/>
      <c r="AL49" s="233"/>
      <c r="AM49" s="142"/>
      <c r="AN49" s="142"/>
      <c r="AO49" s="142"/>
      <c r="AP49" s="142"/>
      <c r="AQ49" s="243" t="s">
        <v>286</v>
      </c>
      <c r="AR49" s="233"/>
      <c r="AS49" s="233"/>
      <c r="AT49" s="233"/>
      <c r="AU49" s="233"/>
      <c r="AV49" s="233"/>
      <c r="AW49" s="233"/>
      <c r="AX49" s="233"/>
      <c r="AY49" s="233"/>
    </row>
    <row r="50" spans="1:51" ht="84" customHeight="1" x14ac:dyDescent="0.3">
      <c r="A50" s="143" t="s">
        <v>260</v>
      </c>
      <c r="B50" s="143" t="s">
        <v>261</v>
      </c>
      <c r="C50" s="143" t="s">
        <v>262</v>
      </c>
      <c r="D50" s="144" t="s">
        <v>263</v>
      </c>
      <c r="E50" s="143" t="s">
        <v>264</v>
      </c>
      <c r="F50" s="143" t="s">
        <v>267</v>
      </c>
      <c r="G50" s="143" t="s">
        <v>268</v>
      </c>
      <c r="H50" s="143" t="s">
        <v>265</v>
      </c>
      <c r="I50" s="143" t="s">
        <v>270</v>
      </c>
      <c r="J50" s="143" t="s">
        <v>271</v>
      </c>
      <c r="K50" s="143" t="s">
        <v>272</v>
      </c>
      <c r="L50" s="152"/>
      <c r="M50" s="152"/>
      <c r="N50" s="142"/>
      <c r="O50" s="143" t="s">
        <v>260</v>
      </c>
      <c r="P50" s="143" t="s">
        <v>261</v>
      </c>
      <c r="Q50" s="143" t="s">
        <v>262</v>
      </c>
      <c r="R50" s="144" t="s">
        <v>263</v>
      </c>
      <c r="S50" s="143" t="s">
        <v>264</v>
      </c>
      <c r="T50" s="143" t="s">
        <v>267</v>
      </c>
      <c r="U50" s="143" t="s">
        <v>268</v>
      </c>
      <c r="V50" s="143" t="s">
        <v>270</v>
      </c>
      <c r="W50" s="143" t="s">
        <v>271</v>
      </c>
      <c r="X50" s="143" t="s">
        <v>272</v>
      </c>
      <c r="Y50" s="142"/>
      <c r="Z50" s="142"/>
      <c r="AA50" s="142"/>
      <c r="AB50" s="142"/>
      <c r="AC50" s="143" t="s">
        <v>260</v>
      </c>
      <c r="AD50" s="143" t="s">
        <v>261</v>
      </c>
      <c r="AE50" s="143" t="s">
        <v>262</v>
      </c>
      <c r="AF50" s="144" t="s">
        <v>263</v>
      </c>
      <c r="AG50" s="143" t="s">
        <v>264</v>
      </c>
      <c r="AH50" s="143" t="s">
        <v>267</v>
      </c>
      <c r="AI50" s="143" t="s">
        <v>268</v>
      </c>
      <c r="AJ50" s="143" t="s">
        <v>270</v>
      </c>
      <c r="AK50" s="143" t="s">
        <v>271</v>
      </c>
      <c r="AL50" s="143" t="s">
        <v>272</v>
      </c>
      <c r="AM50" s="142"/>
      <c r="AN50" s="142"/>
      <c r="AO50" s="142"/>
      <c r="AP50" s="142"/>
      <c r="AQ50" s="143" t="s">
        <v>260</v>
      </c>
      <c r="AR50" s="143" t="s">
        <v>261</v>
      </c>
      <c r="AS50" s="143" t="s">
        <v>262</v>
      </c>
      <c r="AT50" s="144" t="s">
        <v>263</v>
      </c>
      <c r="AU50" s="143" t="s">
        <v>264</v>
      </c>
      <c r="AV50" s="143" t="s">
        <v>267</v>
      </c>
      <c r="AW50" s="143" t="s">
        <v>270</v>
      </c>
      <c r="AX50" s="143" t="s">
        <v>271</v>
      </c>
      <c r="AY50" s="143" t="s">
        <v>272</v>
      </c>
    </row>
    <row r="51" spans="1:51" ht="42.5" customHeight="1" x14ac:dyDescent="0.3">
      <c r="A51" s="131"/>
      <c r="B51" s="131"/>
      <c r="C51" s="145" t="s">
        <v>34</v>
      </c>
      <c r="D51" s="132"/>
      <c r="E51" s="151" t="s">
        <v>273</v>
      </c>
      <c r="F51" s="131"/>
      <c r="G51" s="131"/>
      <c r="H51" s="131"/>
      <c r="I51" s="131"/>
      <c r="J51" s="133"/>
      <c r="K51" s="131"/>
      <c r="L51" s="136"/>
      <c r="M51" s="136"/>
      <c r="O51" s="131"/>
      <c r="P51" s="131"/>
      <c r="Q51" s="145" t="s">
        <v>34</v>
      </c>
      <c r="R51" s="132"/>
      <c r="S51" s="151" t="s">
        <v>273</v>
      </c>
      <c r="T51" s="131"/>
      <c r="U51" s="131"/>
      <c r="V51" s="131"/>
      <c r="W51" s="133"/>
      <c r="X51" s="131"/>
      <c r="AC51" s="131"/>
      <c r="AD51" s="131"/>
      <c r="AE51" s="145" t="s">
        <v>34</v>
      </c>
      <c r="AF51" s="132"/>
      <c r="AG51" s="151" t="s">
        <v>273</v>
      </c>
      <c r="AH51" s="131"/>
      <c r="AI51" s="131"/>
      <c r="AJ51" s="131"/>
      <c r="AK51" s="133"/>
      <c r="AL51" s="131"/>
      <c r="AQ51" s="131"/>
      <c r="AR51" s="131"/>
      <c r="AS51" s="145" t="s">
        <v>34</v>
      </c>
      <c r="AT51" s="132"/>
      <c r="AU51" s="151" t="s">
        <v>273</v>
      </c>
      <c r="AV51" s="131"/>
      <c r="AW51" s="131"/>
      <c r="AX51" s="133"/>
      <c r="AY51" s="131"/>
    </row>
    <row r="52" spans="1:51" ht="42.5" customHeight="1" x14ac:dyDescent="0.3">
      <c r="A52" s="131"/>
      <c r="B52" s="131"/>
      <c r="C52" s="146"/>
      <c r="D52" s="132"/>
      <c r="E52" s="151" t="s">
        <v>274</v>
      </c>
      <c r="F52" s="131"/>
      <c r="G52" s="131"/>
      <c r="H52" s="131"/>
      <c r="I52" s="131"/>
      <c r="J52" s="133"/>
      <c r="K52" s="131"/>
      <c r="L52" s="136"/>
      <c r="M52" s="136"/>
      <c r="O52" s="131"/>
      <c r="P52" s="131"/>
      <c r="Q52" s="146"/>
      <c r="R52" s="132"/>
      <c r="S52" s="151" t="s">
        <v>274</v>
      </c>
      <c r="T52" s="131"/>
      <c r="U52" s="131"/>
      <c r="V52" s="131"/>
      <c r="W52" s="133"/>
      <c r="X52" s="131"/>
      <c r="AC52" s="131"/>
      <c r="AD52" s="131"/>
      <c r="AE52" s="146"/>
      <c r="AF52" s="132"/>
      <c r="AG52" s="151" t="s">
        <v>274</v>
      </c>
      <c r="AH52" s="131"/>
      <c r="AI52" s="131"/>
      <c r="AJ52" s="131"/>
      <c r="AK52" s="133"/>
      <c r="AL52" s="131"/>
      <c r="AQ52" s="131"/>
      <c r="AR52" s="131"/>
      <c r="AS52" s="146"/>
      <c r="AT52" s="132"/>
      <c r="AU52" s="151" t="s">
        <v>274</v>
      </c>
      <c r="AV52" s="131"/>
      <c r="AW52" s="131"/>
      <c r="AX52" s="133"/>
      <c r="AY52" s="131"/>
    </row>
    <row r="53" spans="1:51" ht="42.5" customHeight="1" x14ac:dyDescent="0.3">
      <c r="A53" s="131"/>
      <c r="B53" s="131"/>
      <c r="C53" s="147"/>
      <c r="D53" s="132"/>
      <c r="E53" s="151"/>
      <c r="F53" s="131"/>
      <c r="G53" s="131"/>
      <c r="H53" s="131"/>
      <c r="I53" s="131"/>
      <c r="J53" s="133"/>
      <c r="K53" s="131"/>
      <c r="L53" s="136"/>
      <c r="M53" s="136"/>
      <c r="O53" s="131"/>
      <c r="P53" s="131"/>
      <c r="Q53" s="147"/>
      <c r="R53" s="132"/>
      <c r="S53" s="151"/>
      <c r="T53" s="131"/>
      <c r="U53" s="131"/>
      <c r="V53" s="131"/>
      <c r="W53" s="133"/>
      <c r="X53" s="131"/>
      <c r="AC53" s="131"/>
      <c r="AD53" s="131"/>
      <c r="AE53" s="147"/>
      <c r="AF53" s="132"/>
      <c r="AG53" s="151"/>
      <c r="AH53" s="131"/>
      <c r="AI53" s="131"/>
      <c r="AJ53" s="131"/>
      <c r="AK53" s="133"/>
      <c r="AL53" s="131"/>
      <c r="AQ53" s="131"/>
      <c r="AR53" s="131"/>
      <c r="AS53" s="147"/>
      <c r="AT53" s="132"/>
      <c r="AU53" s="151"/>
      <c r="AV53" s="131"/>
      <c r="AW53" s="131"/>
      <c r="AX53" s="133"/>
      <c r="AY53" s="131"/>
    </row>
    <row r="54" spans="1:51" ht="42.5" customHeight="1" x14ac:dyDescent="0.3">
      <c r="A54" s="131"/>
      <c r="B54" s="131"/>
      <c r="C54" s="145" t="s">
        <v>25</v>
      </c>
      <c r="D54" s="132"/>
      <c r="E54" s="151" t="s">
        <v>273</v>
      </c>
      <c r="F54" s="131"/>
      <c r="G54" s="131"/>
      <c r="H54" s="131"/>
      <c r="I54" s="131"/>
      <c r="J54" s="134"/>
      <c r="K54" s="131"/>
      <c r="L54" s="136"/>
      <c r="M54" s="136"/>
      <c r="O54" s="131"/>
      <c r="P54" s="131"/>
      <c r="Q54" s="145" t="s">
        <v>25</v>
      </c>
      <c r="R54" s="132"/>
      <c r="S54" s="151" t="s">
        <v>273</v>
      </c>
      <c r="T54" s="131"/>
      <c r="U54" s="131"/>
      <c r="V54" s="131"/>
      <c r="W54" s="134"/>
      <c r="X54" s="131"/>
      <c r="AC54" s="131"/>
      <c r="AD54" s="131"/>
      <c r="AE54" s="145" t="s">
        <v>25</v>
      </c>
      <c r="AF54" s="132"/>
      <c r="AG54" s="151" t="s">
        <v>273</v>
      </c>
      <c r="AH54" s="131"/>
      <c r="AI54" s="131"/>
      <c r="AJ54" s="131"/>
      <c r="AK54" s="134"/>
      <c r="AL54" s="131"/>
      <c r="AQ54" s="131"/>
      <c r="AR54" s="131"/>
      <c r="AS54" s="145" t="s">
        <v>25</v>
      </c>
      <c r="AT54" s="132"/>
      <c r="AU54" s="151" t="s">
        <v>273</v>
      </c>
      <c r="AV54" s="131"/>
      <c r="AW54" s="131"/>
      <c r="AX54" s="134"/>
      <c r="AY54" s="131"/>
    </row>
    <row r="55" spans="1:51" ht="42.5" customHeight="1" x14ac:dyDescent="0.3">
      <c r="A55" s="131"/>
      <c r="B55" s="131"/>
      <c r="C55" s="146"/>
      <c r="D55" s="132"/>
      <c r="E55" s="151" t="s">
        <v>274</v>
      </c>
      <c r="F55" s="131"/>
      <c r="G55" s="131"/>
      <c r="H55" s="131"/>
      <c r="I55" s="131"/>
      <c r="J55" s="134"/>
      <c r="K55" s="131"/>
      <c r="L55" s="136"/>
      <c r="M55" s="136"/>
      <c r="O55" s="131"/>
      <c r="P55" s="131"/>
      <c r="Q55" s="146"/>
      <c r="R55" s="132"/>
      <c r="S55" s="151" t="s">
        <v>274</v>
      </c>
      <c r="T55" s="131"/>
      <c r="U55" s="131"/>
      <c r="V55" s="131"/>
      <c r="W55" s="134"/>
      <c r="X55" s="131"/>
      <c r="AC55" s="131"/>
      <c r="AD55" s="131"/>
      <c r="AE55" s="146"/>
      <c r="AF55" s="132"/>
      <c r="AG55" s="151" t="s">
        <v>274</v>
      </c>
      <c r="AH55" s="131"/>
      <c r="AI55" s="131"/>
      <c r="AJ55" s="131"/>
      <c r="AK55" s="134"/>
      <c r="AL55" s="131"/>
      <c r="AQ55" s="131"/>
      <c r="AR55" s="131"/>
      <c r="AS55" s="146"/>
      <c r="AT55" s="132"/>
      <c r="AU55" s="151" t="s">
        <v>274</v>
      </c>
      <c r="AV55" s="131"/>
      <c r="AW55" s="131"/>
      <c r="AX55" s="134"/>
      <c r="AY55" s="131"/>
    </row>
    <row r="56" spans="1:51" ht="42.5" customHeight="1" x14ac:dyDescent="0.3">
      <c r="A56" s="131"/>
      <c r="B56" s="131"/>
      <c r="C56" s="147"/>
      <c r="D56" s="132"/>
      <c r="E56" s="151"/>
      <c r="F56" s="131"/>
      <c r="G56" s="131"/>
      <c r="H56" s="131"/>
      <c r="I56" s="131"/>
      <c r="J56" s="134"/>
      <c r="K56" s="131"/>
      <c r="L56" s="136"/>
      <c r="M56" s="136"/>
      <c r="O56" s="131"/>
      <c r="P56" s="131"/>
      <c r="Q56" s="147"/>
      <c r="R56" s="132"/>
      <c r="S56" s="151"/>
      <c r="T56" s="131"/>
      <c r="U56" s="131"/>
      <c r="V56" s="131"/>
      <c r="W56" s="134"/>
      <c r="X56" s="131"/>
      <c r="AC56" s="131"/>
      <c r="AD56" s="131"/>
      <c r="AE56" s="147"/>
      <c r="AF56" s="132"/>
      <c r="AG56" s="151"/>
      <c r="AH56" s="131"/>
      <c r="AI56" s="131"/>
      <c r="AJ56" s="131"/>
      <c r="AK56" s="134"/>
      <c r="AL56" s="131"/>
      <c r="AQ56" s="131"/>
      <c r="AR56" s="131"/>
      <c r="AS56" s="147"/>
      <c r="AT56" s="132"/>
      <c r="AU56" s="151"/>
      <c r="AV56" s="131"/>
      <c r="AW56" s="131"/>
      <c r="AX56" s="134"/>
      <c r="AY56" s="131"/>
    </row>
    <row r="57" spans="1:51" ht="42.5" customHeight="1" x14ac:dyDescent="0.3">
      <c r="A57" s="131"/>
      <c r="B57" s="131"/>
      <c r="C57" s="148" t="s">
        <v>29</v>
      </c>
      <c r="D57" s="132"/>
      <c r="E57" s="151" t="s">
        <v>273</v>
      </c>
      <c r="F57" s="131"/>
      <c r="G57" s="131"/>
      <c r="H57" s="131"/>
      <c r="I57" s="131"/>
      <c r="J57" s="133"/>
      <c r="K57" s="131"/>
      <c r="L57" s="136"/>
      <c r="M57" s="136"/>
      <c r="O57" s="131"/>
      <c r="P57" s="131"/>
      <c r="Q57" s="148" t="s">
        <v>29</v>
      </c>
      <c r="R57" s="132"/>
      <c r="S57" s="151" t="s">
        <v>273</v>
      </c>
      <c r="T57" s="131"/>
      <c r="U57" s="131"/>
      <c r="V57" s="131"/>
      <c r="W57" s="133"/>
      <c r="X57" s="131"/>
      <c r="AC57" s="131"/>
      <c r="AD57" s="131"/>
      <c r="AE57" s="148" t="s">
        <v>29</v>
      </c>
      <c r="AF57" s="132"/>
      <c r="AG57" s="151" t="s">
        <v>273</v>
      </c>
      <c r="AH57" s="131"/>
      <c r="AI57" s="131"/>
      <c r="AJ57" s="131"/>
      <c r="AK57" s="133"/>
      <c r="AL57" s="131"/>
      <c r="AQ57" s="131"/>
      <c r="AR57" s="131"/>
      <c r="AS57" s="148" t="s">
        <v>29</v>
      </c>
      <c r="AT57" s="132"/>
      <c r="AU57" s="151" t="s">
        <v>273</v>
      </c>
      <c r="AV57" s="131"/>
      <c r="AW57" s="131"/>
      <c r="AX57" s="133"/>
      <c r="AY57" s="131"/>
    </row>
    <row r="58" spans="1:51" ht="42.5" customHeight="1" x14ac:dyDescent="0.3">
      <c r="A58" s="131"/>
      <c r="B58" s="131"/>
      <c r="C58" s="149"/>
      <c r="D58" s="132"/>
      <c r="E58" s="151" t="s">
        <v>274</v>
      </c>
      <c r="F58" s="131"/>
      <c r="G58" s="131"/>
      <c r="H58" s="131"/>
      <c r="I58" s="131"/>
      <c r="J58" s="133"/>
      <c r="K58" s="131"/>
      <c r="L58" s="136"/>
      <c r="M58" s="136"/>
      <c r="O58" s="131"/>
      <c r="P58" s="131"/>
      <c r="Q58" s="149"/>
      <c r="R58" s="132"/>
      <c r="S58" s="151" t="s">
        <v>274</v>
      </c>
      <c r="T58" s="131"/>
      <c r="U58" s="131"/>
      <c r="V58" s="131"/>
      <c r="W58" s="133"/>
      <c r="X58" s="131"/>
      <c r="AC58" s="131"/>
      <c r="AD58" s="131"/>
      <c r="AE58" s="149"/>
      <c r="AF58" s="132"/>
      <c r="AG58" s="151" t="s">
        <v>274</v>
      </c>
      <c r="AH58" s="131"/>
      <c r="AI58" s="131"/>
      <c r="AJ58" s="131"/>
      <c r="AK58" s="133"/>
      <c r="AL58" s="131"/>
      <c r="AQ58" s="131"/>
      <c r="AR58" s="131"/>
      <c r="AS58" s="149"/>
      <c r="AT58" s="132"/>
      <c r="AU58" s="151" t="s">
        <v>274</v>
      </c>
      <c r="AV58" s="131"/>
      <c r="AW58" s="131"/>
      <c r="AX58" s="133"/>
      <c r="AY58" s="131"/>
    </row>
    <row r="59" spans="1:51" ht="42.5" customHeight="1" x14ac:dyDescent="0.3">
      <c r="A59" s="131"/>
      <c r="B59" s="131"/>
      <c r="C59" s="150"/>
      <c r="D59" s="132"/>
      <c r="E59" s="151"/>
      <c r="F59" s="131"/>
      <c r="G59" s="131"/>
      <c r="H59" s="131"/>
      <c r="I59" s="131"/>
      <c r="J59" s="133"/>
      <c r="K59" s="131"/>
      <c r="L59" s="136"/>
      <c r="M59" s="136"/>
      <c r="O59" s="131"/>
      <c r="P59" s="131"/>
      <c r="Q59" s="150"/>
      <c r="R59" s="132"/>
      <c r="S59" s="151"/>
      <c r="T59" s="131"/>
      <c r="U59" s="131"/>
      <c r="V59" s="131"/>
      <c r="W59" s="133"/>
      <c r="X59" s="131"/>
      <c r="AC59" s="131"/>
      <c r="AD59" s="131"/>
      <c r="AE59" s="150"/>
      <c r="AF59" s="132"/>
      <c r="AG59" s="151"/>
      <c r="AH59" s="131"/>
      <c r="AI59" s="131"/>
      <c r="AJ59" s="131"/>
      <c r="AK59" s="133"/>
      <c r="AL59" s="131"/>
      <c r="AQ59" s="131"/>
      <c r="AR59" s="131"/>
      <c r="AS59" s="150"/>
      <c r="AT59" s="132"/>
      <c r="AU59" s="151"/>
      <c r="AV59" s="131"/>
      <c r="AW59" s="131"/>
      <c r="AX59" s="133"/>
      <c r="AY59" s="131"/>
    </row>
    <row r="60" spans="1:51" ht="42.5" customHeight="1" x14ac:dyDescent="0.3">
      <c r="A60" s="131"/>
      <c r="B60" s="131"/>
      <c r="C60" s="148" t="s">
        <v>30</v>
      </c>
      <c r="D60" s="132"/>
      <c r="E60" s="151" t="s">
        <v>273</v>
      </c>
      <c r="F60" s="131"/>
      <c r="G60" s="131"/>
      <c r="H60" s="131"/>
      <c r="I60" s="131"/>
      <c r="J60" s="134"/>
      <c r="K60" s="131"/>
      <c r="L60" s="136"/>
      <c r="M60" s="136"/>
      <c r="O60" s="131"/>
      <c r="P60" s="131"/>
      <c r="Q60" s="148" t="s">
        <v>30</v>
      </c>
      <c r="R60" s="132"/>
      <c r="S60" s="151" t="s">
        <v>273</v>
      </c>
      <c r="T60" s="131"/>
      <c r="U60" s="131"/>
      <c r="V60" s="131"/>
      <c r="W60" s="134"/>
      <c r="X60" s="131"/>
      <c r="AC60" s="131"/>
      <c r="AD60" s="131"/>
      <c r="AE60" s="148" t="s">
        <v>30</v>
      </c>
      <c r="AF60" s="132"/>
      <c r="AG60" s="151" t="s">
        <v>273</v>
      </c>
      <c r="AH60" s="131"/>
      <c r="AI60" s="131"/>
      <c r="AJ60" s="131"/>
      <c r="AK60" s="134"/>
      <c r="AL60" s="131"/>
      <c r="AQ60" s="131"/>
      <c r="AR60" s="131"/>
      <c r="AS60" s="148" t="s">
        <v>30</v>
      </c>
      <c r="AT60" s="132"/>
      <c r="AU60" s="151" t="s">
        <v>273</v>
      </c>
      <c r="AV60" s="131"/>
      <c r="AW60" s="131"/>
      <c r="AX60" s="134"/>
      <c r="AY60" s="131"/>
    </row>
    <row r="61" spans="1:51" ht="42.5" customHeight="1" x14ac:dyDescent="0.3">
      <c r="A61" s="131"/>
      <c r="B61" s="131"/>
      <c r="C61" s="149"/>
      <c r="D61" s="132"/>
      <c r="E61" s="151" t="s">
        <v>274</v>
      </c>
      <c r="F61" s="131"/>
      <c r="G61" s="131"/>
      <c r="H61" s="131"/>
      <c r="I61" s="131"/>
      <c r="J61" s="134"/>
      <c r="K61" s="131"/>
      <c r="L61" s="136"/>
      <c r="M61" s="136"/>
      <c r="O61" s="131"/>
      <c r="P61" s="131"/>
      <c r="Q61" s="149"/>
      <c r="R61" s="132"/>
      <c r="S61" s="151" t="s">
        <v>274</v>
      </c>
      <c r="T61" s="131"/>
      <c r="U61" s="131"/>
      <c r="V61" s="131"/>
      <c r="W61" s="134"/>
      <c r="X61" s="131"/>
      <c r="AC61" s="131"/>
      <c r="AD61" s="131"/>
      <c r="AE61" s="149"/>
      <c r="AF61" s="132"/>
      <c r="AG61" s="151" t="s">
        <v>274</v>
      </c>
      <c r="AH61" s="131"/>
      <c r="AI61" s="131"/>
      <c r="AJ61" s="131"/>
      <c r="AK61" s="134"/>
      <c r="AL61" s="131"/>
      <c r="AQ61" s="131"/>
      <c r="AR61" s="131"/>
      <c r="AS61" s="149"/>
      <c r="AT61" s="132"/>
      <c r="AU61" s="151" t="s">
        <v>274</v>
      </c>
      <c r="AV61" s="131"/>
      <c r="AW61" s="131"/>
      <c r="AX61" s="134"/>
      <c r="AY61" s="131"/>
    </row>
    <row r="62" spans="1:51" ht="42.5" customHeight="1" x14ac:dyDescent="0.3">
      <c r="A62" s="131"/>
      <c r="B62" s="131"/>
      <c r="C62" s="150"/>
      <c r="D62" s="132"/>
      <c r="E62" s="151"/>
      <c r="F62" s="131"/>
      <c r="G62" s="131"/>
      <c r="H62" s="131"/>
      <c r="I62" s="131"/>
      <c r="J62" s="134"/>
      <c r="K62" s="131"/>
      <c r="L62" s="136"/>
      <c r="M62" s="136"/>
      <c r="O62" s="131"/>
      <c r="P62" s="131"/>
      <c r="Q62" s="150"/>
      <c r="R62" s="132"/>
      <c r="S62" s="151"/>
      <c r="T62" s="131"/>
      <c r="U62" s="131"/>
      <c r="V62" s="131"/>
      <c r="W62" s="134"/>
      <c r="X62" s="131"/>
      <c r="AC62" s="131"/>
      <c r="AD62" s="131"/>
      <c r="AE62" s="150"/>
      <c r="AF62" s="132"/>
      <c r="AG62" s="151"/>
      <c r="AH62" s="131"/>
      <c r="AI62" s="131"/>
      <c r="AJ62" s="131"/>
      <c r="AK62" s="134"/>
      <c r="AL62" s="131"/>
      <c r="AQ62" s="131"/>
      <c r="AR62" s="131"/>
      <c r="AS62" s="150"/>
      <c r="AT62" s="132"/>
      <c r="AU62" s="151"/>
      <c r="AV62" s="131"/>
      <c r="AW62" s="131"/>
      <c r="AX62" s="134"/>
      <c r="AY62" s="131"/>
    </row>
    <row r="63" spans="1:51" ht="42.5" customHeight="1" x14ac:dyDescent="0.3">
      <c r="A63" s="131"/>
      <c r="B63" s="131"/>
      <c r="C63" s="148" t="s">
        <v>31</v>
      </c>
      <c r="D63" s="132"/>
      <c r="E63" s="151" t="s">
        <v>273</v>
      </c>
      <c r="F63" s="131"/>
      <c r="G63" s="131"/>
      <c r="H63" s="131"/>
      <c r="I63" s="131"/>
      <c r="J63" s="133"/>
      <c r="K63" s="131"/>
      <c r="L63" s="136"/>
      <c r="M63" s="136"/>
      <c r="O63" s="131"/>
      <c r="P63" s="131"/>
      <c r="Q63" s="148" t="s">
        <v>31</v>
      </c>
      <c r="R63" s="132"/>
      <c r="S63" s="151" t="s">
        <v>273</v>
      </c>
      <c r="T63" s="131"/>
      <c r="U63" s="131"/>
      <c r="V63" s="131"/>
      <c r="W63" s="133"/>
      <c r="X63" s="131"/>
      <c r="AC63" s="131"/>
      <c r="AD63" s="131"/>
      <c r="AE63" s="148" t="s">
        <v>31</v>
      </c>
      <c r="AF63" s="132"/>
      <c r="AG63" s="151" t="s">
        <v>273</v>
      </c>
      <c r="AH63" s="131"/>
      <c r="AI63" s="131"/>
      <c r="AJ63" s="131"/>
      <c r="AK63" s="133"/>
      <c r="AL63" s="131"/>
      <c r="AQ63" s="131"/>
      <c r="AR63" s="131"/>
      <c r="AS63" s="148" t="s">
        <v>31</v>
      </c>
      <c r="AT63" s="132"/>
      <c r="AU63" s="151" t="s">
        <v>273</v>
      </c>
      <c r="AV63" s="131"/>
      <c r="AW63" s="131"/>
      <c r="AX63" s="133"/>
      <c r="AY63" s="131"/>
    </row>
    <row r="64" spans="1:51" ht="42.5" customHeight="1" x14ac:dyDescent="0.3">
      <c r="A64" s="131"/>
      <c r="B64" s="131"/>
      <c r="C64" s="149"/>
      <c r="D64" s="132"/>
      <c r="E64" s="151" t="s">
        <v>274</v>
      </c>
      <c r="F64" s="131"/>
      <c r="G64" s="131"/>
      <c r="H64" s="131"/>
      <c r="I64" s="131"/>
      <c r="J64" s="133"/>
      <c r="K64" s="131"/>
      <c r="L64" s="136"/>
      <c r="M64" s="136"/>
      <c r="O64" s="131"/>
      <c r="P64" s="131"/>
      <c r="Q64" s="149"/>
      <c r="R64" s="132"/>
      <c r="S64" s="151" t="s">
        <v>274</v>
      </c>
      <c r="T64" s="131"/>
      <c r="U64" s="131"/>
      <c r="V64" s="131"/>
      <c r="W64" s="133"/>
      <c r="X64" s="131"/>
      <c r="AC64" s="131"/>
      <c r="AD64" s="131"/>
      <c r="AE64" s="149"/>
      <c r="AF64" s="132"/>
      <c r="AG64" s="151" t="s">
        <v>274</v>
      </c>
      <c r="AH64" s="131"/>
      <c r="AI64" s="131"/>
      <c r="AJ64" s="131"/>
      <c r="AK64" s="133"/>
      <c r="AL64" s="131"/>
      <c r="AQ64" s="131"/>
      <c r="AR64" s="131"/>
      <c r="AS64" s="149"/>
      <c r="AT64" s="132"/>
      <c r="AU64" s="151" t="s">
        <v>274</v>
      </c>
      <c r="AV64" s="131"/>
      <c r="AW64" s="131"/>
      <c r="AX64" s="133"/>
      <c r="AY64" s="131"/>
    </row>
    <row r="65" spans="1:51" ht="42.5" customHeight="1" x14ac:dyDescent="0.3">
      <c r="A65" s="131"/>
      <c r="B65" s="131"/>
      <c r="C65" s="150"/>
      <c r="D65" s="132"/>
      <c r="E65" s="151"/>
      <c r="F65" s="131"/>
      <c r="G65" s="131"/>
      <c r="H65" s="131"/>
      <c r="I65" s="131"/>
      <c r="J65" s="133"/>
      <c r="K65" s="131"/>
      <c r="L65" s="136"/>
      <c r="M65" s="136"/>
      <c r="O65" s="131"/>
      <c r="P65" s="131"/>
      <c r="Q65" s="150"/>
      <c r="R65" s="132"/>
      <c r="S65" s="151"/>
      <c r="T65" s="131"/>
      <c r="U65" s="131"/>
      <c r="V65" s="131"/>
      <c r="W65" s="133"/>
      <c r="X65" s="131"/>
      <c r="AC65" s="131"/>
      <c r="AD65" s="131"/>
      <c r="AE65" s="150"/>
      <c r="AF65" s="132"/>
      <c r="AG65" s="151"/>
      <c r="AH65" s="131"/>
      <c r="AI65" s="131"/>
      <c r="AJ65" s="131"/>
      <c r="AK65" s="133"/>
      <c r="AL65" s="131"/>
      <c r="AQ65" s="131"/>
      <c r="AR65" s="131"/>
      <c r="AS65" s="150"/>
      <c r="AT65" s="132"/>
      <c r="AU65" s="151"/>
      <c r="AV65" s="131"/>
      <c r="AW65" s="131"/>
      <c r="AX65" s="133"/>
      <c r="AY65" s="131"/>
    </row>
    <row r="66" spans="1:51" ht="42.5" customHeight="1" x14ac:dyDescent="0.3">
      <c r="A66" s="131"/>
      <c r="B66" s="131"/>
      <c r="C66" s="148" t="s">
        <v>275</v>
      </c>
      <c r="D66" s="132"/>
      <c r="E66" s="151" t="s">
        <v>273</v>
      </c>
      <c r="F66" s="131"/>
      <c r="G66" s="131"/>
      <c r="H66" s="131"/>
      <c r="I66" s="131"/>
      <c r="J66" s="134"/>
      <c r="K66" s="131"/>
      <c r="L66" s="136"/>
      <c r="M66" s="136"/>
      <c r="O66" s="131"/>
      <c r="P66" s="131"/>
      <c r="Q66" s="148" t="s">
        <v>275</v>
      </c>
      <c r="R66" s="132"/>
      <c r="S66" s="151" t="s">
        <v>273</v>
      </c>
      <c r="T66" s="131"/>
      <c r="U66" s="131"/>
      <c r="V66" s="131"/>
      <c r="W66" s="134"/>
      <c r="X66" s="131"/>
      <c r="AC66" s="131"/>
      <c r="AD66" s="131"/>
      <c r="AE66" s="148" t="s">
        <v>275</v>
      </c>
      <c r="AF66" s="132"/>
      <c r="AG66" s="151" t="s">
        <v>273</v>
      </c>
      <c r="AH66" s="131"/>
      <c r="AI66" s="131"/>
      <c r="AJ66" s="131"/>
      <c r="AK66" s="134"/>
      <c r="AL66" s="131"/>
      <c r="AQ66" s="131"/>
      <c r="AR66" s="131"/>
      <c r="AS66" s="148" t="s">
        <v>275</v>
      </c>
      <c r="AT66" s="132"/>
      <c r="AU66" s="151" t="s">
        <v>273</v>
      </c>
      <c r="AV66" s="131"/>
      <c r="AW66" s="131"/>
      <c r="AX66" s="134"/>
      <c r="AY66" s="131"/>
    </row>
    <row r="67" spans="1:51" ht="42.5" customHeight="1" x14ac:dyDescent="0.3">
      <c r="A67" s="131"/>
      <c r="B67" s="131"/>
      <c r="C67" s="149"/>
      <c r="D67" s="132"/>
      <c r="E67" s="151" t="s">
        <v>274</v>
      </c>
      <c r="F67" s="131"/>
      <c r="G67" s="131"/>
      <c r="H67" s="131"/>
      <c r="I67" s="131"/>
      <c r="J67" s="134"/>
      <c r="K67" s="131"/>
      <c r="L67" s="136"/>
      <c r="M67" s="136"/>
      <c r="O67" s="131"/>
      <c r="P67" s="131"/>
      <c r="Q67" s="149"/>
      <c r="R67" s="132"/>
      <c r="S67" s="151" t="s">
        <v>274</v>
      </c>
      <c r="T67" s="131"/>
      <c r="U67" s="131"/>
      <c r="V67" s="131"/>
      <c r="W67" s="134"/>
      <c r="X67" s="131"/>
      <c r="AC67" s="131"/>
      <c r="AD67" s="131"/>
      <c r="AE67" s="149"/>
      <c r="AF67" s="132"/>
      <c r="AG67" s="151" t="s">
        <v>274</v>
      </c>
      <c r="AH67" s="131"/>
      <c r="AI67" s="131"/>
      <c r="AJ67" s="131"/>
      <c r="AK67" s="134"/>
      <c r="AL67" s="131"/>
      <c r="AQ67" s="131"/>
      <c r="AR67" s="131"/>
      <c r="AS67" s="149"/>
      <c r="AT67" s="132"/>
      <c r="AU67" s="151" t="s">
        <v>274</v>
      </c>
      <c r="AV67" s="131"/>
      <c r="AW67" s="131"/>
      <c r="AX67" s="134"/>
      <c r="AY67" s="131"/>
    </row>
    <row r="68" spans="1:51" ht="42.5" customHeight="1" x14ac:dyDescent="0.3">
      <c r="A68" s="131"/>
      <c r="B68" s="131"/>
      <c r="C68" s="150"/>
      <c r="D68" s="132"/>
      <c r="E68" s="151"/>
      <c r="F68" s="131"/>
      <c r="G68" s="131"/>
      <c r="H68" s="131"/>
      <c r="I68" s="131"/>
      <c r="J68" s="134"/>
      <c r="K68" s="131"/>
      <c r="L68" s="136"/>
      <c r="M68" s="136"/>
      <c r="O68" s="131"/>
      <c r="P68" s="131"/>
      <c r="Q68" s="150"/>
      <c r="R68" s="132"/>
      <c r="S68" s="151"/>
      <c r="T68" s="131"/>
      <c r="U68" s="131"/>
      <c r="V68" s="131"/>
      <c r="W68" s="134"/>
      <c r="X68" s="131"/>
      <c r="AC68" s="131"/>
      <c r="AD68" s="131"/>
      <c r="AE68" s="150"/>
      <c r="AF68" s="132"/>
      <c r="AG68" s="151"/>
      <c r="AH68" s="131"/>
      <c r="AI68" s="131"/>
      <c r="AJ68" s="131"/>
      <c r="AK68" s="134"/>
      <c r="AL68" s="131"/>
      <c r="AQ68" s="131"/>
      <c r="AR68" s="131"/>
      <c r="AS68" s="150"/>
      <c r="AT68" s="132"/>
      <c r="AU68" s="151"/>
      <c r="AV68" s="131"/>
      <c r="AW68" s="131"/>
      <c r="AX68" s="134"/>
      <c r="AY68" s="131"/>
    </row>
    <row r="69" spans="1:51" ht="42.5" customHeight="1" x14ac:dyDescent="0.3">
      <c r="A69" s="131"/>
      <c r="B69" s="131"/>
      <c r="C69" s="148" t="s">
        <v>33</v>
      </c>
      <c r="D69" s="132"/>
      <c r="E69" s="151" t="s">
        <v>273</v>
      </c>
      <c r="F69" s="131"/>
      <c r="G69" s="131"/>
      <c r="H69" s="131"/>
      <c r="I69" s="131"/>
      <c r="J69" s="131"/>
      <c r="K69" s="131"/>
      <c r="L69" s="136"/>
      <c r="M69" s="136"/>
      <c r="O69" s="131"/>
      <c r="P69" s="131"/>
      <c r="Q69" s="148" t="s">
        <v>33</v>
      </c>
      <c r="R69" s="132"/>
      <c r="S69" s="151" t="s">
        <v>273</v>
      </c>
      <c r="T69" s="131"/>
      <c r="U69" s="131"/>
      <c r="V69" s="131"/>
      <c r="W69" s="131"/>
      <c r="X69" s="131"/>
      <c r="AC69" s="131"/>
      <c r="AD69" s="131"/>
      <c r="AE69" s="148" t="s">
        <v>33</v>
      </c>
      <c r="AF69" s="132"/>
      <c r="AG69" s="151" t="s">
        <v>273</v>
      </c>
      <c r="AH69" s="131"/>
      <c r="AI69" s="131"/>
      <c r="AJ69" s="131"/>
      <c r="AK69" s="131"/>
      <c r="AL69" s="131"/>
      <c r="AQ69" s="131"/>
      <c r="AR69" s="131"/>
      <c r="AS69" s="148" t="s">
        <v>33</v>
      </c>
      <c r="AT69" s="132"/>
      <c r="AU69" s="151" t="s">
        <v>273</v>
      </c>
      <c r="AV69" s="131"/>
      <c r="AW69" s="131"/>
      <c r="AX69" s="131"/>
      <c r="AY69" s="131"/>
    </row>
    <row r="70" spans="1:51" ht="42.5" customHeight="1" x14ac:dyDescent="0.3">
      <c r="A70" s="131"/>
      <c r="B70" s="131"/>
      <c r="C70" s="149"/>
      <c r="D70" s="132"/>
      <c r="E70" s="151" t="s">
        <v>274</v>
      </c>
      <c r="F70" s="131"/>
      <c r="G70" s="131"/>
      <c r="H70" s="131"/>
      <c r="I70" s="131"/>
      <c r="J70" s="131"/>
      <c r="K70" s="131"/>
      <c r="L70" s="136"/>
      <c r="M70" s="136"/>
      <c r="O70" s="131"/>
      <c r="P70" s="131"/>
      <c r="Q70" s="149"/>
      <c r="R70" s="132"/>
      <c r="S70" s="151" t="s">
        <v>274</v>
      </c>
      <c r="T70" s="131"/>
      <c r="U70" s="131"/>
      <c r="V70" s="131"/>
      <c r="W70" s="131"/>
      <c r="X70" s="131"/>
      <c r="AC70" s="131"/>
      <c r="AD70" s="131"/>
      <c r="AE70" s="149"/>
      <c r="AF70" s="132"/>
      <c r="AG70" s="151" t="s">
        <v>274</v>
      </c>
      <c r="AH70" s="131"/>
      <c r="AI70" s="131"/>
      <c r="AJ70" s="131"/>
      <c r="AK70" s="131"/>
      <c r="AL70" s="131"/>
      <c r="AQ70" s="131"/>
      <c r="AR70" s="131"/>
      <c r="AS70" s="149"/>
      <c r="AT70" s="132"/>
      <c r="AU70" s="151" t="s">
        <v>274</v>
      </c>
      <c r="AV70" s="131"/>
      <c r="AW70" s="131"/>
      <c r="AX70" s="131"/>
      <c r="AY70" s="131"/>
    </row>
    <row r="71" spans="1:51" ht="42.5" customHeight="1" x14ac:dyDescent="0.3">
      <c r="A71" s="131"/>
      <c r="B71" s="131"/>
      <c r="C71" s="150"/>
      <c r="D71" s="132"/>
      <c r="E71" s="151"/>
      <c r="F71" s="131"/>
      <c r="G71" s="131"/>
      <c r="H71" s="131"/>
      <c r="I71" s="131"/>
      <c r="J71" s="131"/>
      <c r="K71" s="131"/>
      <c r="L71" s="136"/>
      <c r="M71" s="136"/>
      <c r="O71" s="131"/>
      <c r="P71" s="131"/>
      <c r="Q71" s="150"/>
      <c r="R71" s="132"/>
      <c r="S71" s="151"/>
      <c r="T71" s="131"/>
      <c r="U71" s="131"/>
      <c r="V71" s="131"/>
      <c r="W71" s="131"/>
      <c r="X71" s="131"/>
      <c r="AC71" s="131"/>
      <c r="AD71" s="131"/>
      <c r="AE71" s="150"/>
      <c r="AF71" s="132"/>
      <c r="AG71" s="151"/>
      <c r="AH71" s="131"/>
      <c r="AI71" s="131"/>
      <c r="AJ71" s="131"/>
      <c r="AK71" s="131"/>
      <c r="AL71" s="131"/>
      <c r="AQ71" s="131"/>
      <c r="AR71" s="131"/>
      <c r="AS71" s="150"/>
      <c r="AT71" s="132"/>
      <c r="AU71" s="151"/>
      <c r="AV71" s="131"/>
      <c r="AW71" s="131"/>
      <c r="AX71" s="131"/>
      <c r="AY71" s="131"/>
    </row>
    <row r="72" spans="1:51" ht="42.5" customHeight="1" x14ac:dyDescent="0.3">
      <c r="L72" s="136"/>
      <c r="M72" s="136"/>
    </row>
    <row r="73" spans="1:51" ht="42.5" customHeight="1" x14ac:dyDescent="0.3">
      <c r="A73" s="244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136"/>
      <c r="M73" s="136"/>
    </row>
    <row r="74" spans="1:51" ht="84" customHeight="1" x14ac:dyDescent="0.3">
      <c r="A74" s="139"/>
      <c r="B74" s="139"/>
      <c r="C74" s="139"/>
      <c r="E74" s="139"/>
      <c r="F74" s="139"/>
      <c r="G74" s="139"/>
      <c r="H74" s="139"/>
      <c r="I74" s="139"/>
      <c r="J74" s="139"/>
      <c r="K74" s="139"/>
      <c r="L74" s="136"/>
      <c r="M74" s="136"/>
    </row>
    <row r="75" spans="1:51" ht="42.5" customHeight="1" x14ac:dyDescent="0.3">
      <c r="A75" s="139"/>
      <c r="C75" s="141"/>
      <c r="E75" s="139"/>
      <c r="F75" s="139"/>
      <c r="G75" s="139"/>
      <c r="H75" s="139"/>
      <c r="I75" s="139"/>
      <c r="J75" s="139"/>
      <c r="K75" s="139"/>
      <c r="L75" s="136"/>
      <c r="M75" s="136"/>
    </row>
    <row r="76" spans="1:51" ht="42.5" customHeight="1" x14ac:dyDescent="0.3">
      <c r="A76" s="139"/>
      <c r="C76" s="141"/>
      <c r="E76" s="139"/>
      <c r="F76" s="139"/>
      <c r="G76" s="139"/>
      <c r="H76" s="139"/>
      <c r="I76" s="139"/>
      <c r="J76" s="139"/>
      <c r="K76" s="139"/>
      <c r="L76" s="136"/>
      <c r="M76" s="136"/>
    </row>
    <row r="77" spans="1:51" ht="42.5" customHeight="1" x14ac:dyDescent="0.3">
      <c r="A77" s="139"/>
      <c r="C77" s="141"/>
      <c r="E77" s="139"/>
      <c r="F77" s="139"/>
      <c r="G77" s="139"/>
      <c r="H77" s="139"/>
      <c r="I77" s="139"/>
      <c r="J77" s="139"/>
      <c r="K77" s="139"/>
      <c r="L77" s="136"/>
      <c r="M77" s="136"/>
    </row>
    <row r="78" spans="1:51" ht="42.5" customHeight="1" x14ac:dyDescent="0.3">
      <c r="A78" s="139"/>
      <c r="C78" s="141"/>
      <c r="E78" s="139"/>
      <c r="F78" s="139"/>
      <c r="G78" s="139"/>
      <c r="H78" s="139"/>
      <c r="I78" s="139"/>
      <c r="J78" s="139"/>
      <c r="K78" s="139"/>
      <c r="L78" s="136"/>
      <c r="M78" s="136"/>
    </row>
    <row r="79" spans="1:51" ht="42.5" customHeight="1" x14ac:dyDescent="0.3">
      <c r="A79" s="139"/>
      <c r="C79" s="141"/>
      <c r="E79" s="139"/>
      <c r="F79" s="139"/>
      <c r="G79" s="139"/>
      <c r="H79" s="139"/>
      <c r="I79" s="139"/>
      <c r="J79" s="139"/>
      <c r="K79" s="139"/>
      <c r="L79" s="136"/>
      <c r="M79" s="136"/>
    </row>
    <row r="80" spans="1:51" ht="42.5" customHeight="1" x14ac:dyDescent="0.3">
      <c r="A80" s="139"/>
      <c r="C80" s="141"/>
      <c r="E80" s="139"/>
      <c r="F80" s="139"/>
      <c r="G80" s="139"/>
      <c r="H80" s="139"/>
      <c r="I80" s="139"/>
      <c r="J80" s="139"/>
      <c r="K80" s="139"/>
      <c r="L80" s="136"/>
      <c r="M80" s="136"/>
    </row>
    <row r="81" spans="1:13" ht="42.5" customHeight="1" x14ac:dyDescent="0.3">
      <c r="A81" s="139"/>
      <c r="B81" s="139"/>
      <c r="C81" s="139"/>
      <c r="E81" s="139"/>
      <c r="F81" s="139"/>
      <c r="G81" s="139"/>
      <c r="H81" s="139"/>
      <c r="I81" s="139"/>
      <c r="J81" s="139"/>
      <c r="K81" s="139"/>
      <c r="L81" s="136"/>
      <c r="M81" s="136"/>
    </row>
    <row r="82" spans="1:13" ht="42.5" customHeight="1" x14ac:dyDescent="0.3">
      <c r="A82" s="139"/>
      <c r="B82" s="139"/>
      <c r="C82" s="139"/>
      <c r="E82" s="139"/>
      <c r="F82" s="139"/>
      <c r="G82" s="139"/>
      <c r="H82" s="139"/>
      <c r="I82" s="139"/>
      <c r="J82" s="139"/>
      <c r="K82" s="139"/>
      <c r="L82" s="136"/>
      <c r="M82" s="136"/>
    </row>
    <row r="83" spans="1:13" ht="42.5" customHeight="1" x14ac:dyDescent="0.3">
      <c r="A83" s="139"/>
      <c r="B83" s="139"/>
      <c r="C83" s="139"/>
      <c r="D83" s="140"/>
      <c r="E83" s="139"/>
      <c r="F83" s="139"/>
      <c r="G83" s="139"/>
      <c r="H83" s="139"/>
      <c r="I83" s="139"/>
      <c r="J83" s="139"/>
      <c r="K83" s="139"/>
      <c r="L83" s="136"/>
      <c r="M83" s="136"/>
    </row>
    <row r="84" spans="1:13" ht="42.5" customHeight="1" x14ac:dyDescent="0.3">
      <c r="A84" s="139"/>
      <c r="B84" s="139"/>
      <c r="C84" s="139"/>
      <c r="D84" s="140"/>
      <c r="E84" s="139"/>
      <c r="F84" s="139"/>
      <c r="G84" s="139"/>
      <c r="H84" s="139"/>
      <c r="I84" s="139"/>
      <c r="J84" s="139"/>
      <c r="K84" s="139"/>
      <c r="L84" s="136"/>
      <c r="M84" s="136"/>
    </row>
    <row r="85" spans="1:13" ht="42.5" customHeight="1" x14ac:dyDescent="0.3">
      <c r="A85" s="139"/>
      <c r="B85" s="139"/>
      <c r="C85" s="139"/>
      <c r="D85" s="140"/>
      <c r="E85" s="139"/>
      <c r="F85" s="139"/>
      <c r="G85" s="139"/>
      <c r="H85" s="139"/>
      <c r="I85" s="139"/>
      <c r="J85" s="139"/>
      <c r="K85" s="139"/>
      <c r="L85" s="136"/>
      <c r="M85" s="136"/>
    </row>
    <row r="86" spans="1:13" ht="42.5" customHeight="1" x14ac:dyDescent="0.3">
      <c r="A86" s="139"/>
      <c r="B86" s="139"/>
      <c r="C86" s="139"/>
      <c r="D86" s="140"/>
      <c r="E86" s="139"/>
      <c r="F86" s="139"/>
      <c r="G86" s="139"/>
      <c r="H86" s="139"/>
      <c r="I86" s="139"/>
      <c r="J86" s="139"/>
      <c r="K86" s="139"/>
      <c r="L86" s="136"/>
      <c r="M86" s="136"/>
    </row>
    <row r="87" spans="1:13" ht="42.5" customHeight="1" x14ac:dyDescent="0.3">
      <c r="A87" s="139"/>
      <c r="B87" s="139"/>
      <c r="C87" s="139"/>
      <c r="D87" s="140"/>
      <c r="E87" s="139"/>
      <c r="F87" s="139"/>
      <c r="G87" s="139"/>
      <c r="H87" s="139"/>
      <c r="I87" s="139"/>
      <c r="J87" s="139"/>
      <c r="K87" s="139"/>
      <c r="L87" s="136"/>
      <c r="M87" s="136"/>
    </row>
    <row r="88" spans="1:13" ht="42.5" customHeight="1" x14ac:dyDescent="0.3">
      <c r="A88" s="139"/>
      <c r="B88" s="139"/>
      <c r="C88" s="139"/>
      <c r="D88" s="140"/>
      <c r="E88" s="139"/>
      <c r="F88" s="139"/>
      <c r="G88" s="139"/>
      <c r="H88" s="139"/>
      <c r="I88" s="139"/>
      <c r="J88" s="139"/>
      <c r="K88" s="139"/>
      <c r="L88" s="136"/>
      <c r="M88" s="136"/>
    </row>
    <row r="89" spans="1:13" ht="42.5" customHeight="1" x14ac:dyDescent="0.3">
      <c r="A89" s="139"/>
      <c r="B89" s="139"/>
      <c r="C89" s="139"/>
      <c r="D89" s="140"/>
      <c r="E89" s="139"/>
      <c r="F89" s="139"/>
      <c r="G89" s="139"/>
      <c r="H89" s="139"/>
      <c r="I89" s="139"/>
      <c r="J89" s="139"/>
      <c r="K89" s="139"/>
      <c r="L89" s="136"/>
      <c r="M89" s="136"/>
    </row>
    <row r="90" spans="1:13" ht="42.5" customHeight="1" x14ac:dyDescent="0.3">
      <c r="A90" s="139"/>
      <c r="B90" s="139"/>
      <c r="C90" s="139"/>
      <c r="D90" s="140"/>
      <c r="E90" s="139"/>
      <c r="F90" s="139"/>
      <c r="G90" s="139"/>
      <c r="H90" s="139"/>
      <c r="I90" s="139"/>
      <c r="J90" s="139"/>
      <c r="K90" s="139"/>
      <c r="L90" s="136"/>
      <c r="M90" s="136"/>
    </row>
    <row r="91" spans="1:13" ht="42.5" customHeight="1" x14ac:dyDescent="0.3">
      <c r="A91" s="139"/>
      <c r="B91" s="139"/>
      <c r="C91" s="139"/>
      <c r="D91" s="140"/>
      <c r="E91" s="139"/>
      <c r="F91" s="139"/>
      <c r="G91" s="139"/>
      <c r="H91" s="139"/>
      <c r="I91" s="139"/>
      <c r="J91" s="139"/>
      <c r="K91" s="139"/>
      <c r="L91" s="136"/>
      <c r="M91" s="136"/>
    </row>
    <row r="92" spans="1:13" ht="42.5" customHeight="1" x14ac:dyDescent="0.3">
      <c r="A92" s="139"/>
      <c r="B92" s="139"/>
      <c r="C92" s="139"/>
      <c r="D92" s="140"/>
      <c r="E92" s="139"/>
      <c r="F92" s="139"/>
      <c r="G92" s="139"/>
      <c r="H92" s="139"/>
      <c r="I92" s="139"/>
      <c r="J92" s="139"/>
      <c r="K92" s="139"/>
      <c r="L92" s="136"/>
      <c r="M92" s="136"/>
    </row>
    <row r="93" spans="1:13" ht="42.5" customHeight="1" x14ac:dyDescent="0.3">
      <c r="A93" s="139"/>
      <c r="B93" s="139"/>
      <c r="C93" s="139"/>
      <c r="D93" s="140"/>
      <c r="E93" s="139"/>
      <c r="F93" s="139"/>
      <c r="G93" s="139"/>
      <c r="H93" s="139"/>
      <c r="I93" s="139"/>
      <c r="J93" s="139"/>
      <c r="K93" s="139"/>
      <c r="L93" s="136"/>
      <c r="M93" s="136"/>
    </row>
    <row r="94" spans="1:13" ht="42.5" customHeight="1" x14ac:dyDescent="0.3">
      <c r="A94" s="139"/>
      <c r="B94" s="139"/>
      <c r="C94" s="139"/>
      <c r="D94" s="140"/>
      <c r="E94" s="139"/>
      <c r="F94" s="139"/>
      <c r="G94" s="139"/>
      <c r="H94" s="139"/>
      <c r="I94" s="139"/>
      <c r="J94" s="139"/>
      <c r="K94" s="139"/>
      <c r="L94" s="136"/>
      <c r="M94" s="136"/>
    </row>
    <row r="95" spans="1:13" ht="42.5" customHeight="1" x14ac:dyDescent="0.3">
      <c r="A95" s="139"/>
      <c r="B95" s="139"/>
      <c r="C95" s="139"/>
      <c r="D95" s="140"/>
      <c r="E95" s="139"/>
      <c r="F95" s="139"/>
      <c r="G95" s="139"/>
      <c r="H95" s="139"/>
      <c r="I95" s="139"/>
      <c r="J95" s="139"/>
      <c r="K95" s="139"/>
      <c r="L95" s="136"/>
      <c r="M95" s="136"/>
    </row>
    <row r="96" spans="1:13" x14ac:dyDescent="0.3">
      <c r="D96" s="140"/>
      <c r="K96" s="136"/>
      <c r="L96" s="136"/>
      <c r="M96" s="136"/>
    </row>
    <row r="97" spans="1:13" x14ac:dyDescent="0.3">
      <c r="D97" s="140"/>
      <c r="K97" s="136"/>
      <c r="L97" s="136"/>
      <c r="M97" s="136"/>
    </row>
    <row r="98" spans="1:13" x14ac:dyDescent="0.3">
      <c r="K98" s="136"/>
      <c r="L98" s="136"/>
      <c r="M98" s="136"/>
    </row>
    <row r="99" spans="1:13" x14ac:dyDescent="0.3">
      <c r="K99" s="136"/>
      <c r="L99" s="136"/>
      <c r="M99" s="136"/>
    </row>
    <row r="100" spans="1:13" x14ac:dyDescent="0.3">
      <c r="A100" s="136"/>
      <c r="B100" s="136"/>
      <c r="C100" s="136"/>
      <c r="E100" s="136"/>
      <c r="F100" s="136"/>
      <c r="G100" s="136"/>
      <c r="H100" s="136"/>
      <c r="I100" s="136"/>
      <c r="J100" s="136"/>
      <c r="K100" s="136"/>
      <c r="L100" s="136"/>
      <c r="M100" s="136"/>
    </row>
    <row r="101" spans="1:13" x14ac:dyDescent="0.3">
      <c r="A101" s="136"/>
      <c r="B101" s="136"/>
      <c r="C101" s="136"/>
      <c r="E101" s="136"/>
      <c r="F101" s="136"/>
      <c r="G101" s="136"/>
      <c r="H101" s="136"/>
      <c r="I101" s="136"/>
      <c r="J101" s="136"/>
      <c r="K101" s="136"/>
      <c r="L101" s="136"/>
      <c r="M101" s="136"/>
    </row>
    <row r="102" spans="1:13" x14ac:dyDescent="0.3">
      <c r="D102" s="137"/>
      <c r="J102" s="136"/>
      <c r="K102" s="136"/>
      <c r="L102" s="136"/>
      <c r="M102" s="136"/>
    </row>
    <row r="103" spans="1:13" x14ac:dyDescent="0.3">
      <c r="D103" s="137"/>
      <c r="J103" s="136"/>
      <c r="K103" s="136"/>
      <c r="L103" s="136"/>
      <c r="M103" s="136"/>
    </row>
    <row r="104" spans="1:13" x14ac:dyDescent="0.3">
      <c r="J104" s="136"/>
      <c r="K104" s="136"/>
      <c r="L104" s="136"/>
      <c r="M104" s="136"/>
    </row>
    <row r="105" spans="1:13" x14ac:dyDescent="0.3">
      <c r="J105" s="136"/>
      <c r="K105" s="136"/>
      <c r="L105" s="136"/>
      <c r="M105" s="136"/>
    </row>
    <row r="106" spans="1:13" x14ac:dyDescent="0.3">
      <c r="J106" s="136"/>
      <c r="K106" s="136"/>
      <c r="L106" s="136"/>
      <c r="M106" s="136"/>
    </row>
    <row r="107" spans="1:13" x14ac:dyDescent="0.3">
      <c r="J107" s="136"/>
      <c r="K107" s="136"/>
      <c r="L107" s="136"/>
      <c r="M107" s="136"/>
    </row>
    <row r="108" spans="1:13" x14ac:dyDescent="0.3">
      <c r="J108" s="136"/>
      <c r="K108" s="136"/>
      <c r="L108" s="136"/>
      <c r="M108" s="136"/>
    </row>
    <row r="109" spans="1:13" x14ac:dyDescent="0.3">
      <c r="J109" s="136"/>
      <c r="K109" s="136"/>
      <c r="L109" s="136"/>
      <c r="M109" s="136"/>
    </row>
    <row r="110" spans="1:13" x14ac:dyDescent="0.3">
      <c r="J110" s="136"/>
      <c r="K110" s="136"/>
      <c r="L110" s="136"/>
      <c r="M110" s="136"/>
    </row>
    <row r="111" spans="1:13" x14ac:dyDescent="0.3">
      <c r="J111" s="136"/>
      <c r="K111" s="136"/>
      <c r="L111" s="136"/>
      <c r="M111" s="136"/>
    </row>
    <row r="112" spans="1:13" x14ac:dyDescent="0.3">
      <c r="J112" s="136"/>
      <c r="K112" s="136"/>
      <c r="L112" s="136"/>
      <c r="M112" s="136"/>
    </row>
    <row r="113" spans="10:13" x14ac:dyDescent="0.3">
      <c r="J113" s="136"/>
      <c r="K113" s="136"/>
      <c r="L113" s="136"/>
      <c r="M113" s="136"/>
    </row>
    <row r="114" spans="10:13" x14ac:dyDescent="0.3">
      <c r="J114" s="136"/>
      <c r="K114" s="136"/>
      <c r="L114" s="136"/>
      <c r="M114" s="136"/>
    </row>
    <row r="115" spans="10:13" x14ac:dyDescent="0.3">
      <c r="J115" s="136"/>
      <c r="K115" s="136"/>
      <c r="L115" s="136"/>
      <c r="M115" s="136"/>
    </row>
    <row r="116" spans="10:13" x14ac:dyDescent="0.3">
      <c r="J116" s="136"/>
      <c r="K116" s="136"/>
      <c r="L116" s="136"/>
      <c r="M116" s="136"/>
    </row>
    <row r="117" spans="10:13" x14ac:dyDescent="0.3">
      <c r="J117" s="136"/>
      <c r="K117" s="136"/>
      <c r="L117" s="136"/>
      <c r="M117" s="136"/>
    </row>
    <row r="118" spans="10:13" x14ac:dyDescent="0.3">
      <c r="J118" s="136"/>
      <c r="K118" s="136"/>
      <c r="L118" s="136"/>
      <c r="M118" s="136"/>
    </row>
    <row r="119" spans="10:13" x14ac:dyDescent="0.3">
      <c r="J119" s="136"/>
      <c r="K119" s="136"/>
      <c r="L119" s="136"/>
      <c r="M119" s="136"/>
    </row>
    <row r="120" spans="10:13" x14ac:dyDescent="0.3">
      <c r="J120" s="136"/>
      <c r="K120" s="136"/>
      <c r="L120" s="136"/>
      <c r="M120" s="136"/>
    </row>
    <row r="121" spans="10:13" x14ac:dyDescent="0.3">
      <c r="J121" s="136"/>
      <c r="K121" s="136"/>
      <c r="L121" s="136"/>
      <c r="M121" s="136"/>
    </row>
    <row r="122" spans="10:13" x14ac:dyDescent="0.3">
      <c r="J122" s="136"/>
      <c r="K122" s="136"/>
      <c r="L122" s="136"/>
      <c r="M122" s="136"/>
    </row>
    <row r="123" spans="10:13" x14ac:dyDescent="0.3">
      <c r="J123" s="136"/>
      <c r="K123" s="136"/>
      <c r="L123" s="136"/>
      <c r="M123" s="136"/>
    </row>
    <row r="124" spans="10:13" x14ac:dyDescent="0.3">
      <c r="J124" s="136"/>
      <c r="K124" s="136"/>
      <c r="L124" s="136"/>
      <c r="M124" s="136"/>
    </row>
  </sheetData>
  <mergeCells count="13">
    <mergeCell ref="A1:M1"/>
    <mergeCell ref="AQ1:BC1"/>
    <mergeCell ref="A25:K25"/>
    <mergeCell ref="A73:K73"/>
    <mergeCell ref="AQ49:AY49"/>
    <mergeCell ref="A49:K49"/>
    <mergeCell ref="O49:X49"/>
    <mergeCell ref="AC49:AL49"/>
    <mergeCell ref="AC1:AO1"/>
    <mergeCell ref="O25:W25"/>
    <mergeCell ref="O1:AA1"/>
    <mergeCell ref="AQ25:BC25"/>
    <mergeCell ref="AC25:AO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T221"/>
  <sheetViews>
    <sheetView showGridLines="0" zoomScale="33" zoomScaleNormal="40" workbookViewId="0">
      <pane xSplit="2" ySplit="8" topLeftCell="G9" activePane="bottomRight" state="frozen"/>
      <selection pane="topRight" activeCell="C1" sqref="C1"/>
      <selection pane="bottomLeft" activeCell="A10" sqref="A10"/>
      <selection pane="bottomRight" activeCell="M13" sqref="M13"/>
    </sheetView>
  </sheetViews>
  <sheetFormatPr baseColWidth="10" defaultColWidth="9.1640625" defaultRowHeight="40" customHeight="1" x14ac:dyDescent="0.15"/>
  <cols>
    <col min="1" max="1" width="18.33203125" style="38" customWidth="1"/>
    <col min="2" max="2" width="63.6640625" style="38" customWidth="1"/>
    <col min="3" max="98" width="36.33203125" style="38" customWidth="1"/>
    <col min="99" max="99" width="9.1640625" style="38" customWidth="1"/>
    <col min="100" max="16384" width="9.1640625" style="38"/>
  </cols>
  <sheetData>
    <row r="1" spans="1:98" ht="40" customHeight="1" x14ac:dyDescent="0.15">
      <c r="C1" s="251" t="s">
        <v>287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  <c r="CO1" s="231"/>
      <c r="CP1" s="231"/>
      <c r="CQ1" s="231"/>
      <c r="CR1" s="231"/>
      <c r="CS1" s="231"/>
      <c r="CT1" s="231"/>
    </row>
    <row r="2" spans="1:98" ht="40" customHeight="1" x14ac:dyDescent="0.15"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  <c r="CE2" s="231"/>
      <c r="CF2" s="231"/>
      <c r="CG2" s="231"/>
      <c r="CH2" s="231"/>
      <c r="CI2" s="231"/>
      <c r="CJ2" s="231"/>
      <c r="CK2" s="231"/>
      <c r="CL2" s="231"/>
      <c r="CM2" s="231"/>
      <c r="CN2" s="231"/>
      <c r="CO2" s="231"/>
      <c r="CP2" s="231"/>
      <c r="CQ2" s="231"/>
      <c r="CR2" s="231"/>
      <c r="CS2" s="231"/>
      <c r="CT2" s="231"/>
    </row>
    <row r="3" spans="1:98" ht="40" customHeight="1" x14ac:dyDescent="0.15"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BY3" s="231"/>
      <c r="BZ3" s="231"/>
      <c r="CA3" s="231"/>
      <c r="CB3" s="231"/>
      <c r="CC3" s="231"/>
      <c r="CD3" s="231"/>
      <c r="CE3" s="231"/>
      <c r="CF3" s="231"/>
      <c r="CG3" s="231"/>
      <c r="CH3" s="231"/>
      <c r="CI3" s="231"/>
      <c r="CJ3" s="231"/>
      <c r="CK3" s="231"/>
      <c r="CL3" s="231"/>
      <c r="CM3" s="231"/>
      <c r="CN3" s="231"/>
      <c r="CO3" s="231"/>
      <c r="CP3" s="231"/>
      <c r="CQ3" s="231"/>
      <c r="CR3" s="231"/>
      <c r="CS3" s="231"/>
      <c r="CT3" s="231"/>
    </row>
    <row r="4" spans="1:98" ht="40" customHeight="1" x14ac:dyDescent="0.15">
      <c r="B4" s="39" t="s">
        <v>288</v>
      </c>
      <c r="C4" s="248" t="s">
        <v>7</v>
      </c>
      <c r="D4" s="239"/>
      <c r="E4" s="239"/>
      <c r="F4" s="239"/>
      <c r="G4" s="239"/>
      <c r="H4" s="239"/>
      <c r="I4" s="239"/>
      <c r="J4" s="249"/>
      <c r="K4" s="248" t="s">
        <v>8</v>
      </c>
      <c r="L4" s="239"/>
      <c r="M4" s="239"/>
      <c r="N4" s="239"/>
      <c r="O4" s="239"/>
      <c r="P4" s="239"/>
      <c r="Q4" s="249"/>
      <c r="R4" s="40"/>
      <c r="S4" s="248" t="s">
        <v>9</v>
      </c>
      <c r="T4" s="239"/>
      <c r="U4" s="239"/>
      <c r="V4" s="239"/>
      <c r="W4" s="239"/>
      <c r="X4" s="239"/>
      <c r="Y4" s="249"/>
      <c r="Z4" s="40"/>
      <c r="AA4" s="248" t="s">
        <v>10</v>
      </c>
      <c r="AB4" s="239"/>
      <c r="AC4" s="239"/>
      <c r="AD4" s="239"/>
      <c r="AE4" s="239"/>
      <c r="AF4" s="239"/>
      <c r="AG4" s="249"/>
      <c r="AH4" s="40"/>
      <c r="AI4" s="248" t="s">
        <v>11</v>
      </c>
      <c r="AJ4" s="239"/>
      <c r="AK4" s="239"/>
      <c r="AL4" s="239"/>
      <c r="AM4" s="239"/>
      <c r="AN4" s="239"/>
      <c r="AO4" s="249"/>
      <c r="AP4" s="40"/>
      <c r="AQ4" s="248" t="s">
        <v>12</v>
      </c>
      <c r="AR4" s="239"/>
      <c r="AS4" s="239"/>
      <c r="AT4" s="239"/>
      <c r="AU4" s="239"/>
      <c r="AV4" s="239"/>
      <c r="AW4" s="249"/>
      <c r="AX4" s="40"/>
      <c r="AY4" s="248" t="s">
        <v>13</v>
      </c>
      <c r="AZ4" s="239"/>
      <c r="BA4" s="239"/>
      <c r="BB4" s="239"/>
      <c r="BC4" s="239"/>
      <c r="BD4" s="239"/>
      <c r="BE4" s="249"/>
      <c r="BF4" s="40"/>
      <c r="BG4" s="248" t="s">
        <v>14</v>
      </c>
      <c r="BH4" s="239"/>
      <c r="BI4" s="239"/>
      <c r="BJ4" s="239"/>
      <c r="BK4" s="239"/>
      <c r="BL4" s="239"/>
      <c r="BM4" s="249"/>
      <c r="BN4" s="40"/>
      <c r="BO4" s="248" t="s">
        <v>15</v>
      </c>
      <c r="BP4" s="239"/>
      <c r="BQ4" s="239"/>
      <c r="BR4" s="239"/>
      <c r="BS4" s="239"/>
      <c r="BT4" s="239"/>
      <c r="BU4" s="249"/>
      <c r="BV4" s="40"/>
      <c r="BW4" s="248" t="s">
        <v>43</v>
      </c>
      <c r="BX4" s="239"/>
      <c r="BY4" s="239"/>
      <c r="BZ4" s="239"/>
      <c r="CA4" s="239"/>
      <c r="CB4" s="239"/>
      <c r="CC4" s="249"/>
      <c r="CD4" s="41"/>
      <c r="CE4" s="248" t="s">
        <v>289</v>
      </c>
      <c r="CF4" s="239"/>
      <c r="CG4" s="239"/>
      <c r="CH4" s="239"/>
      <c r="CI4" s="239"/>
      <c r="CJ4" s="239"/>
      <c r="CK4" s="249"/>
      <c r="CL4" s="41"/>
      <c r="CM4" s="250" t="s">
        <v>17</v>
      </c>
      <c r="CN4" s="231"/>
      <c r="CO4" s="231"/>
      <c r="CP4" s="231"/>
      <c r="CQ4" s="231"/>
      <c r="CR4" s="231"/>
      <c r="CS4" s="231"/>
      <c r="CT4" s="231"/>
    </row>
    <row r="5" spans="1:98" ht="40" customHeight="1" x14ac:dyDescent="0.15">
      <c r="B5" s="42" t="s">
        <v>260</v>
      </c>
      <c r="C5" s="42"/>
      <c r="D5" s="42"/>
      <c r="E5" s="42"/>
      <c r="F5" s="42"/>
      <c r="G5" s="42"/>
      <c r="H5" s="42"/>
      <c r="I5" s="42"/>
      <c r="J5" s="245" t="s">
        <v>290</v>
      </c>
      <c r="K5" s="42"/>
      <c r="L5" s="42"/>
      <c r="M5" s="42"/>
      <c r="N5" s="42"/>
      <c r="O5" s="42"/>
      <c r="P5" s="42"/>
      <c r="Q5" s="42"/>
      <c r="R5" s="245" t="s">
        <v>290</v>
      </c>
      <c r="S5" s="42"/>
      <c r="T5" s="42"/>
      <c r="U5" s="42"/>
      <c r="V5" s="42"/>
      <c r="W5" s="42"/>
      <c r="X5" s="42"/>
      <c r="Y5" s="42"/>
      <c r="Z5" s="245" t="s">
        <v>290</v>
      </c>
      <c r="AA5" s="42"/>
      <c r="AB5" s="42"/>
      <c r="AC5" s="42"/>
      <c r="AD5" s="42"/>
      <c r="AE5" s="42"/>
      <c r="AF5" s="42"/>
      <c r="AG5" s="42"/>
      <c r="AH5" s="245" t="s">
        <v>290</v>
      </c>
      <c r="AI5" s="42"/>
      <c r="AJ5" s="42"/>
      <c r="AK5" s="42"/>
      <c r="AL5" s="42"/>
      <c r="AM5" s="42"/>
      <c r="AN5" s="42"/>
      <c r="AO5" s="42"/>
      <c r="AP5" s="245" t="s">
        <v>290</v>
      </c>
      <c r="AQ5" s="42"/>
      <c r="AR5" s="42"/>
      <c r="AS5" s="42"/>
      <c r="AT5" s="42"/>
      <c r="AU5" s="42"/>
      <c r="AV5" s="42"/>
      <c r="AW5" s="42"/>
      <c r="AX5" s="245" t="s">
        <v>290</v>
      </c>
      <c r="AY5" s="42"/>
      <c r="AZ5" s="42"/>
      <c r="BA5" s="42"/>
      <c r="BB5" s="42"/>
      <c r="BC5" s="42"/>
      <c r="BD5" s="42"/>
      <c r="BE5" s="42"/>
      <c r="BF5" s="245" t="s">
        <v>290</v>
      </c>
      <c r="BG5" s="42"/>
      <c r="BH5" s="42"/>
      <c r="BI5" s="42"/>
      <c r="BJ5" s="42"/>
      <c r="BK5" s="42"/>
      <c r="BL5" s="42"/>
      <c r="BM5" s="42"/>
      <c r="BN5" s="245" t="s">
        <v>290</v>
      </c>
      <c r="BO5" s="42"/>
      <c r="BP5" s="42"/>
      <c r="BQ5" s="42"/>
      <c r="BR5" s="42"/>
      <c r="BS5" s="42"/>
      <c r="BT5" s="42"/>
      <c r="BU5" s="42"/>
      <c r="BV5" s="245" t="s">
        <v>290</v>
      </c>
      <c r="BW5" s="42"/>
      <c r="BX5" s="42"/>
      <c r="BY5" s="42"/>
      <c r="BZ5" s="42"/>
      <c r="CA5" s="42"/>
      <c r="CB5" s="42"/>
      <c r="CC5" s="42"/>
      <c r="CD5" s="245" t="s">
        <v>290</v>
      </c>
      <c r="CE5" s="42"/>
      <c r="CF5" s="42"/>
      <c r="CG5" s="42"/>
      <c r="CH5" s="42"/>
      <c r="CI5" s="42"/>
      <c r="CJ5" s="42"/>
      <c r="CK5" s="42"/>
      <c r="CL5" s="245" t="s">
        <v>290</v>
      </c>
      <c r="CM5" s="42"/>
      <c r="CN5" s="42"/>
      <c r="CO5" s="42"/>
      <c r="CP5" s="42"/>
      <c r="CQ5" s="42"/>
      <c r="CR5" s="42"/>
      <c r="CS5" s="42"/>
      <c r="CT5" s="245" t="s">
        <v>290</v>
      </c>
    </row>
    <row r="6" spans="1:98" s="35" customFormat="1" ht="41.5" customHeight="1" x14ac:dyDescent="0.15">
      <c r="B6" s="36" t="s">
        <v>263</v>
      </c>
      <c r="C6" s="36"/>
      <c r="D6" s="36"/>
      <c r="E6" s="36"/>
      <c r="F6" s="36"/>
      <c r="G6" s="36"/>
      <c r="H6" s="36"/>
      <c r="I6" s="36"/>
      <c r="J6" s="246"/>
      <c r="K6" s="36"/>
      <c r="L6" s="36"/>
      <c r="M6" s="36"/>
      <c r="N6" s="36"/>
      <c r="O6" s="36"/>
      <c r="P6" s="36"/>
      <c r="Q6" s="36"/>
      <c r="R6" s="246"/>
      <c r="S6" s="36"/>
      <c r="T6" s="36"/>
      <c r="U6" s="36"/>
      <c r="V6" s="36"/>
      <c r="W6" s="36"/>
      <c r="X6" s="36"/>
      <c r="Y6" s="36"/>
      <c r="Z6" s="246"/>
      <c r="AA6" s="36"/>
      <c r="AB6" s="36"/>
      <c r="AC6" s="36"/>
      <c r="AD6" s="36"/>
      <c r="AE6" s="36"/>
      <c r="AF6" s="36"/>
      <c r="AG6" s="36"/>
      <c r="AH6" s="246"/>
      <c r="AI6" s="36"/>
      <c r="AJ6" s="36"/>
      <c r="AK6" s="36"/>
      <c r="AL6" s="36"/>
      <c r="AM6" s="36"/>
      <c r="AN6" s="36"/>
      <c r="AO6" s="36"/>
      <c r="AP6" s="246"/>
      <c r="AQ6" s="36"/>
      <c r="AR6" s="36"/>
      <c r="AS6" s="36"/>
      <c r="AT6" s="36"/>
      <c r="AU6" s="36"/>
      <c r="AV6" s="36"/>
      <c r="AW6" s="36"/>
      <c r="AX6" s="246"/>
      <c r="AY6" s="36"/>
      <c r="AZ6" s="36"/>
      <c r="BA6" s="36"/>
      <c r="BB6" s="36"/>
      <c r="BC6" s="36"/>
      <c r="BD6" s="36"/>
      <c r="BE6" s="36"/>
      <c r="BF6" s="246"/>
      <c r="BG6" s="36"/>
      <c r="BH6" s="36"/>
      <c r="BI6" s="36"/>
      <c r="BJ6" s="36"/>
      <c r="BK6" s="36"/>
      <c r="BL6" s="36"/>
      <c r="BM6" s="36"/>
      <c r="BN6" s="246"/>
      <c r="BO6" s="36"/>
      <c r="BP6" s="36"/>
      <c r="BQ6" s="36"/>
      <c r="BR6" s="36"/>
      <c r="BS6" s="36"/>
      <c r="BT6" s="36"/>
      <c r="BU6" s="36"/>
      <c r="BV6" s="246"/>
      <c r="BW6" s="36"/>
      <c r="BX6" s="36"/>
      <c r="BY6" s="36"/>
      <c r="BZ6" s="36"/>
      <c r="CA6" s="36"/>
      <c r="CB6" s="36"/>
      <c r="CC6" s="36"/>
      <c r="CD6" s="246"/>
      <c r="CE6" s="36"/>
      <c r="CF6" s="36"/>
      <c r="CG6" s="36"/>
      <c r="CH6" s="36"/>
      <c r="CI6" s="36"/>
      <c r="CJ6" s="36"/>
      <c r="CK6" s="36"/>
      <c r="CL6" s="246"/>
      <c r="CM6" s="36"/>
      <c r="CN6" s="36"/>
      <c r="CO6" s="36"/>
      <c r="CP6" s="36"/>
      <c r="CQ6" s="36"/>
      <c r="CR6" s="36"/>
      <c r="CS6" s="36"/>
      <c r="CT6" s="246"/>
    </row>
    <row r="7" spans="1:98" ht="40" customHeight="1" x14ac:dyDescent="0.15">
      <c r="B7" s="42" t="s">
        <v>291</v>
      </c>
      <c r="C7" s="42"/>
      <c r="D7" s="42"/>
      <c r="E7" s="42"/>
      <c r="F7" s="42"/>
      <c r="G7" s="42"/>
      <c r="H7" s="42"/>
      <c r="I7" s="42"/>
      <c r="J7" s="246"/>
      <c r="K7" s="42"/>
      <c r="L7" s="42"/>
      <c r="M7" s="42"/>
      <c r="N7" s="42"/>
      <c r="O7" s="42"/>
      <c r="P7" s="42"/>
      <c r="Q7" s="42"/>
      <c r="R7" s="246"/>
      <c r="S7" s="42"/>
      <c r="T7" s="42"/>
      <c r="U7" s="42"/>
      <c r="V7" s="42"/>
      <c r="W7" s="42"/>
      <c r="X7" s="42"/>
      <c r="Y7" s="42"/>
      <c r="Z7" s="246"/>
      <c r="AA7" s="42"/>
      <c r="AB7" s="42"/>
      <c r="AC7" s="42"/>
      <c r="AD7" s="42"/>
      <c r="AE7" s="42"/>
      <c r="AF7" s="42"/>
      <c r="AG7" s="42"/>
      <c r="AH7" s="246"/>
      <c r="AI7" s="42"/>
      <c r="AJ7" s="42"/>
      <c r="AK7" s="42"/>
      <c r="AL7" s="42"/>
      <c r="AM7" s="42"/>
      <c r="AN7" s="42"/>
      <c r="AO7" s="42"/>
      <c r="AP7" s="246"/>
      <c r="AQ7" s="42"/>
      <c r="AR7" s="42"/>
      <c r="AS7" s="42"/>
      <c r="AT7" s="42"/>
      <c r="AU7" s="42"/>
      <c r="AV7" s="42"/>
      <c r="AW7" s="42"/>
      <c r="AX7" s="246"/>
      <c r="AY7" s="42"/>
      <c r="AZ7" s="42"/>
      <c r="BA7" s="42"/>
      <c r="BB7" s="42"/>
      <c r="BC7" s="42"/>
      <c r="BD7" s="42"/>
      <c r="BE7" s="42"/>
      <c r="BF7" s="246"/>
      <c r="BG7" s="42"/>
      <c r="BH7" s="42"/>
      <c r="BI7" s="42"/>
      <c r="BJ7" s="42"/>
      <c r="BK7" s="42"/>
      <c r="BL7" s="42"/>
      <c r="BM7" s="42"/>
      <c r="BN7" s="246"/>
      <c r="BO7" s="42"/>
      <c r="BP7" s="42"/>
      <c r="BQ7" s="42"/>
      <c r="BR7" s="42"/>
      <c r="BS7" s="42"/>
      <c r="BT7" s="42"/>
      <c r="BU7" s="42"/>
      <c r="BV7" s="246"/>
      <c r="BW7" s="42"/>
      <c r="BX7" s="42"/>
      <c r="BY7" s="42"/>
      <c r="BZ7" s="42"/>
      <c r="CA7" s="42"/>
      <c r="CB7" s="42"/>
      <c r="CC7" s="42"/>
      <c r="CD7" s="246"/>
      <c r="CE7" s="42"/>
      <c r="CF7" s="42"/>
      <c r="CG7" s="42"/>
      <c r="CH7" s="42"/>
      <c r="CI7" s="42"/>
      <c r="CJ7" s="42"/>
      <c r="CK7" s="42"/>
      <c r="CL7" s="246"/>
      <c r="CM7" s="42"/>
      <c r="CN7" s="42"/>
      <c r="CO7" s="42"/>
      <c r="CP7" s="42"/>
      <c r="CQ7" s="42"/>
      <c r="CR7" s="42"/>
      <c r="CS7" s="42"/>
      <c r="CT7" s="246"/>
    </row>
    <row r="8" spans="1:98" ht="40" customHeight="1" x14ac:dyDescent="0.15">
      <c r="A8" s="65" t="s">
        <v>51</v>
      </c>
      <c r="B8" s="66" t="s">
        <v>52</v>
      </c>
      <c r="C8" s="67" t="s">
        <v>25</v>
      </c>
      <c r="D8" s="43" t="s">
        <v>29</v>
      </c>
      <c r="E8" s="43" t="s">
        <v>30</v>
      </c>
      <c r="F8" s="43" t="s">
        <v>31</v>
      </c>
      <c r="G8" s="43" t="s">
        <v>32</v>
      </c>
      <c r="H8" s="43" t="s">
        <v>33</v>
      </c>
      <c r="I8" s="43" t="s">
        <v>34</v>
      </c>
      <c r="J8" s="247"/>
      <c r="K8" s="67" t="s">
        <v>25</v>
      </c>
      <c r="L8" s="43" t="s">
        <v>29</v>
      </c>
      <c r="M8" s="43" t="s">
        <v>30</v>
      </c>
      <c r="N8" s="43" t="s">
        <v>31</v>
      </c>
      <c r="O8" s="43" t="s">
        <v>32</v>
      </c>
      <c r="P8" s="43" t="s">
        <v>33</v>
      </c>
      <c r="Q8" s="43" t="s">
        <v>34</v>
      </c>
      <c r="R8" s="247"/>
      <c r="S8" s="67" t="s">
        <v>25</v>
      </c>
      <c r="T8" s="43" t="s">
        <v>29</v>
      </c>
      <c r="U8" s="43" t="s">
        <v>30</v>
      </c>
      <c r="V8" s="43" t="s">
        <v>31</v>
      </c>
      <c r="W8" s="43" t="s">
        <v>32</v>
      </c>
      <c r="X8" s="43" t="s">
        <v>33</v>
      </c>
      <c r="Y8" s="43" t="s">
        <v>34</v>
      </c>
      <c r="Z8" s="247"/>
      <c r="AA8" s="67" t="s">
        <v>25</v>
      </c>
      <c r="AB8" s="43" t="s">
        <v>29</v>
      </c>
      <c r="AC8" s="43" t="s">
        <v>30</v>
      </c>
      <c r="AD8" s="43" t="s">
        <v>31</v>
      </c>
      <c r="AE8" s="43" t="s">
        <v>32</v>
      </c>
      <c r="AF8" s="43" t="s">
        <v>33</v>
      </c>
      <c r="AG8" s="43" t="s">
        <v>34</v>
      </c>
      <c r="AH8" s="247"/>
      <c r="AI8" s="67" t="s">
        <v>25</v>
      </c>
      <c r="AJ8" s="43" t="s">
        <v>29</v>
      </c>
      <c r="AK8" s="43" t="s">
        <v>30</v>
      </c>
      <c r="AL8" s="43" t="s">
        <v>31</v>
      </c>
      <c r="AM8" s="43" t="s">
        <v>32</v>
      </c>
      <c r="AN8" s="43" t="s">
        <v>33</v>
      </c>
      <c r="AO8" s="43" t="s">
        <v>34</v>
      </c>
      <c r="AP8" s="247"/>
      <c r="AQ8" s="67" t="s">
        <v>25</v>
      </c>
      <c r="AR8" s="43" t="s">
        <v>29</v>
      </c>
      <c r="AS8" s="43" t="s">
        <v>30</v>
      </c>
      <c r="AT8" s="43" t="s">
        <v>31</v>
      </c>
      <c r="AU8" s="43" t="s">
        <v>32</v>
      </c>
      <c r="AV8" s="43" t="s">
        <v>33</v>
      </c>
      <c r="AW8" s="43" t="s">
        <v>34</v>
      </c>
      <c r="AX8" s="247"/>
      <c r="AY8" s="67" t="s">
        <v>25</v>
      </c>
      <c r="AZ8" s="43" t="s">
        <v>29</v>
      </c>
      <c r="BA8" s="43" t="s">
        <v>30</v>
      </c>
      <c r="BB8" s="43" t="s">
        <v>31</v>
      </c>
      <c r="BC8" s="43" t="s">
        <v>32</v>
      </c>
      <c r="BD8" s="43" t="s">
        <v>33</v>
      </c>
      <c r="BE8" s="43" t="s">
        <v>34</v>
      </c>
      <c r="BF8" s="247"/>
      <c r="BG8" s="67" t="s">
        <v>25</v>
      </c>
      <c r="BH8" s="43" t="s">
        <v>29</v>
      </c>
      <c r="BI8" s="43" t="s">
        <v>30</v>
      </c>
      <c r="BJ8" s="43" t="s">
        <v>31</v>
      </c>
      <c r="BK8" s="43" t="s">
        <v>32</v>
      </c>
      <c r="BL8" s="43" t="s">
        <v>33</v>
      </c>
      <c r="BM8" s="43" t="s">
        <v>34</v>
      </c>
      <c r="BN8" s="247"/>
      <c r="BO8" s="67" t="s">
        <v>25</v>
      </c>
      <c r="BP8" s="43" t="s">
        <v>29</v>
      </c>
      <c r="BQ8" s="43" t="s">
        <v>30</v>
      </c>
      <c r="BR8" s="43" t="s">
        <v>31</v>
      </c>
      <c r="BS8" s="43" t="s">
        <v>32</v>
      </c>
      <c r="BT8" s="43" t="s">
        <v>33</v>
      </c>
      <c r="BU8" s="43" t="s">
        <v>34</v>
      </c>
      <c r="BV8" s="247"/>
      <c r="BW8" s="67" t="s">
        <v>25</v>
      </c>
      <c r="BX8" s="43" t="s">
        <v>29</v>
      </c>
      <c r="BY8" s="43" t="s">
        <v>30</v>
      </c>
      <c r="BZ8" s="43" t="s">
        <v>31</v>
      </c>
      <c r="CA8" s="43" t="s">
        <v>32</v>
      </c>
      <c r="CB8" s="43" t="s">
        <v>33</v>
      </c>
      <c r="CC8" s="43" t="s">
        <v>34</v>
      </c>
      <c r="CD8" s="247"/>
      <c r="CE8" s="67" t="s">
        <v>25</v>
      </c>
      <c r="CF8" s="43" t="s">
        <v>29</v>
      </c>
      <c r="CG8" s="43" t="s">
        <v>30</v>
      </c>
      <c r="CH8" s="43" t="s">
        <v>31</v>
      </c>
      <c r="CI8" s="43" t="s">
        <v>32</v>
      </c>
      <c r="CJ8" s="43" t="s">
        <v>33</v>
      </c>
      <c r="CK8" s="43" t="s">
        <v>34</v>
      </c>
      <c r="CL8" s="247"/>
      <c r="CM8" s="67" t="s">
        <v>25</v>
      </c>
      <c r="CN8" s="43" t="s">
        <v>29</v>
      </c>
      <c r="CO8" s="43" t="s">
        <v>30</v>
      </c>
      <c r="CP8" s="43" t="s">
        <v>31</v>
      </c>
      <c r="CQ8" s="43" t="s">
        <v>32</v>
      </c>
      <c r="CR8" s="43" t="s">
        <v>33</v>
      </c>
      <c r="CS8" s="43" t="s">
        <v>34</v>
      </c>
      <c r="CT8" s="247"/>
    </row>
    <row r="9" spans="1:98" ht="40" customHeight="1" x14ac:dyDescent="0.15">
      <c r="A9" s="68" t="s">
        <v>55</v>
      </c>
      <c r="B9" s="122"/>
      <c r="C9" s="70"/>
      <c r="D9" s="44"/>
      <c r="E9" s="44"/>
      <c r="F9" s="44"/>
      <c r="G9" s="44"/>
      <c r="H9" s="44"/>
      <c r="I9" s="44"/>
      <c r="J9" s="45" t="str">
        <f t="shared" ref="J9:J40" si="0">IFERROR((SUM(C9:I9)/SUM($C$7:$I$7))*100,"")</f>
        <v/>
      </c>
      <c r="K9" s="44"/>
      <c r="L9" s="44"/>
      <c r="M9" s="44"/>
      <c r="N9" s="44"/>
      <c r="O9" s="44"/>
      <c r="P9" s="44"/>
      <c r="Q9" s="44"/>
      <c r="R9" s="45" t="str">
        <f t="shared" ref="R9:R40" si="1">IFERROR((SUM(K9:Q9)/SUM($K$7:$Q$7))*100,"")</f>
        <v/>
      </c>
      <c r="S9" s="44"/>
      <c r="T9" s="44"/>
      <c r="U9" s="44"/>
      <c r="V9" s="44"/>
      <c r="W9" s="44"/>
      <c r="X9" s="44"/>
      <c r="Y9" s="44"/>
      <c r="Z9" s="46" t="str">
        <f t="shared" ref="Z9:Z40" si="2">IFERROR((SUM(S9:Y9)/SUM($S$7:$Y$7))*100,"")</f>
        <v/>
      </c>
      <c r="AA9" s="44"/>
      <c r="AB9" s="44"/>
      <c r="AC9" s="44"/>
      <c r="AD9" s="44"/>
      <c r="AE9" s="44"/>
      <c r="AF9" s="44"/>
      <c r="AG9" s="44"/>
      <c r="AH9" s="46" t="str">
        <f t="shared" ref="AH9:AH40" si="3">IFERROR(SUM(AA9:AG9)/SUM($AA$7:$AG$7)*100,"")</f>
        <v/>
      </c>
      <c r="AI9" s="44"/>
      <c r="AJ9" s="44"/>
      <c r="AK9" s="44"/>
      <c r="AL9" s="44"/>
      <c r="AM9" s="44"/>
      <c r="AN9" s="44"/>
      <c r="AO9" s="44"/>
      <c r="AP9" s="46" t="str">
        <f t="shared" ref="AP9:AP40" si="4">IFERROR(SUM(AI9:AO9)/SUM($AI$7:$AO$7)*100,"")</f>
        <v/>
      </c>
      <c r="AQ9" s="44"/>
      <c r="AR9" s="44"/>
      <c r="AS9" s="44"/>
      <c r="AT9" s="44"/>
      <c r="AU9" s="44"/>
      <c r="AV9" s="44"/>
      <c r="AW9" s="44"/>
      <c r="AX9" s="46" t="str">
        <f t="shared" ref="AX9:AX40" si="5">IFERROR((SUM(AQ9:AW9)/SUM($AQ$7:$AW$7))*100,"")</f>
        <v/>
      </c>
      <c r="AY9" s="44"/>
      <c r="AZ9" s="44"/>
      <c r="BA9" s="44"/>
      <c r="BB9" s="44"/>
      <c r="BC9" s="44"/>
      <c r="BD9" s="44"/>
      <c r="BE9" s="44"/>
      <c r="BF9" s="46" t="str">
        <f t="shared" ref="BF9:BF40" si="6">IFERROR((SUM(AY9:BE9)/SUM($AY$7:$BE$7))*100,"")</f>
        <v/>
      </c>
      <c r="BG9" s="44"/>
      <c r="BH9" s="44"/>
      <c r="BI9" s="44"/>
      <c r="BJ9" s="44"/>
      <c r="BK9" s="44"/>
      <c r="BL9" s="44"/>
      <c r="BM9" s="44"/>
      <c r="BN9" s="46" t="str">
        <f t="shared" ref="BN9:BN40" si="7">IFERROR((SUM(BG9:BM9)/SUM($BG$7:$BM$7))*100,"")</f>
        <v/>
      </c>
      <c r="BO9" s="44"/>
      <c r="BP9" s="44"/>
      <c r="BQ9" s="44"/>
      <c r="BR9" s="44"/>
      <c r="BS9" s="44"/>
      <c r="BT9" s="44"/>
      <c r="BU9" s="44"/>
      <c r="BV9" s="46" t="str">
        <f t="shared" ref="BV9:BV40" si="8">IFERROR((SUM(BO9:BU9)/SUM($BO$7:$BU$7))*100,"")</f>
        <v/>
      </c>
      <c r="BW9" s="47"/>
      <c r="BX9" s="47"/>
      <c r="BY9" s="47"/>
      <c r="BZ9" s="47"/>
      <c r="CA9" s="47"/>
      <c r="CB9" s="47"/>
      <c r="CC9" s="47"/>
      <c r="CD9" s="46" t="str">
        <f t="shared" ref="CD9:CD40" si="9">IFERROR((SUM(BW9:CC9)/SUM($BW$7:$CC$7))*100,"")</f>
        <v/>
      </c>
      <c r="CE9" s="44"/>
      <c r="CF9" s="44"/>
      <c r="CG9" s="44"/>
      <c r="CH9" s="44"/>
      <c r="CI9" s="44"/>
      <c r="CJ9" s="44"/>
      <c r="CK9" s="44"/>
      <c r="CL9" s="46" t="str">
        <f t="shared" ref="CL9:CL40" si="10">IFERROR((SUM(CE9:CK9)/SUM($CE$7:$CK$7))*100,"")</f>
        <v/>
      </c>
      <c r="CM9" s="44"/>
      <c r="CN9" s="44"/>
      <c r="CO9" s="44"/>
      <c r="CP9" s="44"/>
      <c r="CQ9" s="44"/>
      <c r="CR9" s="44"/>
      <c r="CS9" s="44"/>
      <c r="CT9" s="48" t="str">
        <f t="shared" ref="CT9:CT40" si="11">IFERROR((SUM(CM9:CS9)/SUM($CM$7:$CS$7))*100,"")</f>
        <v/>
      </c>
    </row>
    <row r="10" spans="1:98" ht="40" customHeight="1" x14ac:dyDescent="0.15">
      <c r="A10" s="123" t="s">
        <v>56</v>
      </c>
      <c r="B10" s="49" t="s">
        <v>57</v>
      </c>
      <c r="C10" s="70"/>
      <c r="D10" s="44"/>
      <c r="E10" s="44"/>
      <c r="F10" s="44"/>
      <c r="G10" s="44"/>
      <c r="H10" s="44"/>
      <c r="I10" s="44"/>
      <c r="J10" s="45" t="str">
        <f t="shared" si="0"/>
        <v/>
      </c>
      <c r="K10" s="44"/>
      <c r="L10" s="44"/>
      <c r="M10" s="44"/>
      <c r="N10" s="44"/>
      <c r="O10" s="44"/>
      <c r="P10" s="44"/>
      <c r="Q10" s="44"/>
      <c r="R10" s="45" t="str">
        <f t="shared" si="1"/>
        <v/>
      </c>
      <c r="S10" s="44"/>
      <c r="T10" s="44"/>
      <c r="U10" s="44"/>
      <c r="V10" s="44"/>
      <c r="W10" s="44"/>
      <c r="X10" s="44"/>
      <c r="Y10" s="44"/>
      <c r="Z10" s="46" t="str">
        <f t="shared" si="2"/>
        <v/>
      </c>
      <c r="AA10" s="44"/>
      <c r="AB10" s="44"/>
      <c r="AC10" s="44"/>
      <c r="AD10" s="44"/>
      <c r="AE10" s="44"/>
      <c r="AF10" s="44"/>
      <c r="AG10" s="44"/>
      <c r="AH10" s="46" t="str">
        <f t="shared" si="3"/>
        <v/>
      </c>
      <c r="AI10" s="44"/>
      <c r="AJ10" s="44"/>
      <c r="AK10" s="44"/>
      <c r="AL10" s="44"/>
      <c r="AM10" s="44"/>
      <c r="AN10" s="44"/>
      <c r="AO10" s="44"/>
      <c r="AP10" s="46" t="str">
        <f t="shared" si="4"/>
        <v/>
      </c>
      <c r="AQ10" s="44"/>
      <c r="AR10" s="44"/>
      <c r="AS10" s="44"/>
      <c r="AT10" s="44"/>
      <c r="AU10" s="44"/>
      <c r="AV10" s="44"/>
      <c r="AW10" s="44"/>
      <c r="AX10" s="46" t="str">
        <f t="shared" si="5"/>
        <v/>
      </c>
      <c r="AY10" s="44"/>
      <c r="AZ10" s="44"/>
      <c r="BA10" s="44"/>
      <c r="BB10" s="44"/>
      <c r="BC10" s="44"/>
      <c r="BD10" s="44"/>
      <c r="BE10" s="44"/>
      <c r="BF10" s="46" t="str">
        <f t="shared" si="6"/>
        <v/>
      </c>
      <c r="BG10" s="44"/>
      <c r="BH10" s="44"/>
      <c r="BI10" s="44"/>
      <c r="BJ10" s="44"/>
      <c r="BK10" s="44"/>
      <c r="BL10" s="44"/>
      <c r="BM10" s="44"/>
      <c r="BN10" s="46" t="str">
        <f t="shared" si="7"/>
        <v/>
      </c>
      <c r="BO10" s="44"/>
      <c r="BP10" s="44"/>
      <c r="BQ10" s="44"/>
      <c r="BR10" s="44"/>
      <c r="BS10" s="44"/>
      <c r="BT10" s="44"/>
      <c r="BU10" s="44"/>
      <c r="BV10" s="46" t="str">
        <f t="shared" si="8"/>
        <v/>
      </c>
      <c r="BW10" s="50"/>
      <c r="BX10" s="50"/>
      <c r="BY10" s="50"/>
      <c r="BZ10" s="50"/>
      <c r="CA10" s="50"/>
      <c r="CB10" s="50"/>
      <c r="CC10" s="50"/>
      <c r="CD10" s="46" t="str">
        <f t="shared" si="9"/>
        <v/>
      </c>
      <c r="CE10" s="44"/>
      <c r="CF10" s="44"/>
      <c r="CG10" s="44"/>
      <c r="CH10" s="44"/>
      <c r="CI10" s="44"/>
      <c r="CJ10" s="44"/>
      <c r="CK10" s="44"/>
      <c r="CL10" s="46" t="str">
        <f t="shared" si="10"/>
        <v/>
      </c>
      <c r="CM10" s="44"/>
      <c r="CN10" s="44"/>
      <c r="CO10" s="44"/>
      <c r="CP10" s="44"/>
      <c r="CQ10" s="44"/>
      <c r="CR10" s="44"/>
      <c r="CS10" s="44"/>
      <c r="CT10" s="48" t="str">
        <f t="shared" si="11"/>
        <v/>
      </c>
    </row>
    <row r="11" spans="1:98" ht="40" customHeight="1" x14ac:dyDescent="0.15">
      <c r="A11" s="124" t="s">
        <v>58</v>
      </c>
      <c r="B11" s="51" t="s">
        <v>59</v>
      </c>
      <c r="C11" s="70"/>
      <c r="D11" s="44"/>
      <c r="E11" s="44"/>
      <c r="F11" s="44"/>
      <c r="G11" s="44"/>
      <c r="H11" s="44"/>
      <c r="I11" s="44"/>
      <c r="J11" s="45" t="str">
        <f t="shared" si="0"/>
        <v/>
      </c>
      <c r="K11" s="44"/>
      <c r="L11" s="44"/>
      <c r="M11" s="44"/>
      <c r="N11" s="44"/>
      <c r="O11" s="44"/>
      <c r="P11" s="44"/>
      <c r="Q11" s="44"/>
      <c r="R11" s="45" t="str">
        <f t="shared" si="1"/>
        <v/>
      </c>
      <c r="S11" s="44"/>
      <c r="T11" s="44"/>
      <c r="U11" s="44"/>
      <c r="V11" s="44"/>
      <c r="W11" s="44"/>
      <c r="X11" s="44"/>
      <c r="Y11" s="44"/>
      <c r="Z11" s="46" t="str">
        <f t="shared" si="2"/>
        <v/>
      </c>
      <c r="AA11" s="44"/>
      <c r="AB11" s="44"/>
      <c r="AC11" s="44"/>
      <c r="AD11" s="44"/>
      <c r="AE11" s="44"/>
      <c r="AF11" s="44"/>
      <c r="AG11" s="44"/>
      <c r="AH11" s="46" t="str">
        <f t="shared" si="3"/>
        <v/>
      </c>
      <c r="AI11" s="44"/>
      <c r="AJ11" s="44"/>
      <c r="AK11" s="44"/>
      <c r="AL11" s="44"/>
      <c r="AM11" s="44"/>
      <c r="AN11" s="44"/>
      <c r="AO11" s="44"/>
      <c r="AP11" s="46" t="str">
        <f t="shared" si="4"/>
        <v/>
      </c>
      <c r="AQ11" s="44"/>
      <c r="AR11" s="44"/>
      <c r="AS11" s="44"/>
      <c r="AT11" s="44"/>
      <c r="AU11" s="44"/>
      <c r="AV11" s="44"/>
      <c r="AW11" s="44"/>
      <c r="AX11" s="46" t="str">
        <f t="shared" si="5"/>
        <v/>
      </c>
      <c r="AY11" s="44"/>
      <c r="AZ11" s="44"/>
      <c r="BA11" s="44"/>
      <c r="BB11" s="44"/>
      <c r="BC11" s="44"/>
      <c r="BD11" s="44"/>
      <c r="BE11" s="44"/>
      <c r="BF11" s="46" t="str">
        <f t="shared" si="6"/>
        <v/>
      </c>
      <c r="BG11" s="44"/>
      <c r="BH11" s="44"/>
      <c r="BI11" s="44"/>
      <c r="BJ11" s="44"/>
      <c r="BK11" s="44"/>
      <c r="BL11" s="44"/>
      <c r="BM11" s="44"/>
      <c r="BN11" s="46" t="str">
        <f t="shared" si="7"/>
        <v/>
      </c>
      <c r="BO11" s="44"/>
      <c r="BP11" s="44"/>
      <c r="BQ11" s="44"/>
      <c r="BR11" s="44"/>
      <c r="BS11" s="44"/>
      <c r="BT11" s="44"/>
      <c r="BU11" s="44"/>
      <c r="BV11" s="46" t="str">
        <f t="shared" si="8"/>
        <v/>
      </c>
      <c r="BW11" s="50"/>
      <c r="BX11" s="50"/>
      <c r="BY11" s="50"/>
      <c r="BZ11" s="50"/>
      <c r="CA11" s="50"/>
      <c r="CB11" s="50"/>
      <c r="CC11" s="50"/>
      <c r="CD11" s="46" t="str">
        <f t="shared" si="9"/>
        <v/>
      </c>
      <c r="CE11" s="44"/>
      <c r="CF11" s="44"/>
      <c r="CG11" s="44"/>
      <c r="CH11" s="44"/>
      <c r="CI11" s="44"/>
      <c r="CJ11" s="44"/>
      <c r="CK11" s="44"/>
      <c r="CL11" s="46" t="str">
        <f t="shared" si="10"/>
        <v/>
      </c>
      <c r="CM11" s="44"/>
      <c r="CN11" s="44"/>
      <c r="CO11" s="44"/>
      <c r="CP11" s="44"/>
      <c r="CQ11" s="44"/>
      <c r="CR11" s="44"/>
      <c r="CS11" s="44"/>
      <c r="CT11" s="48" t="str">
        <f t="shared" si="11"/>
        <v/>
      </c>
    </row>
    <row r="12" spans="1:98" ht="40" customHeight="1" x14ac:dyDescent="0.15">
      <c r="A12" s="123" t="s">
        <v>60</v>
      </c>
      <c r="B12" s="49" t="s">
        <v>61</v>
      </c>
      <c r="C12" s="70"/>
      <c r="D12" s="44"/>
      <c r="E12" s="44"/>
      <c r="F12" s="44"/>
      <c r="G12" s="44"/>
      <c r="H12" s="44"/>
      <c r="I12" s="44"/>
      <c r="J12" s="45" t="str">
        <f t="shared" si="0"/>
        <v/>
      </c>
      <c r="K12" s="44"/>
      <c r="L12" s="44"/>
      <c r="M12" s="44"/>
      <c r="N12" s="44"/>
      <c r="O12" s="44"/>
      <c r="P12" s="44"/>
      <c r="Q12" s="44"/>
      <c r="R12" s="45" t="str">
        <f t="shared" si="1"/>
        <v/>
      </c>
      <c r="S12" s="44"/>
      <c r="T12" s="44"/>
      <c r="U12" s="44"/>
      <c r="V12" s="44"/>
      <c r="W12" s="44"/>
      <c r="X12" s="44"/>
      <c r="Y12" s="44"/>
      <c r="Z12" s="46" t="str">
        <f t="shared" si="2"/>
        <v/>
      </c>
      <c r="AA12" s="44"/>
      <c r="AB12" s="44"/>
      <c r="AC12" s="44"/>
      <c r="AD12" s="44"/>
      <c r="AE12" s="44"/>
      <c r="AF12" s="44"/>
      <c r="AG12" s="44"/>
      <c r="AH12" s="46" t="str">
        <f t="shared" si="3"/>
        <v/>
      </c>
      <c r="AI12" s="44"/>
      <c r="AJ12" s="44"/>
      <c r="AK12" s="44"/>
      <c r="AL12" s="44"/>
      <c r="AM12" s="44"/>
      <c r="AN12" s="44"/>
      <c r="AO12" s="44"/>
      <c r="AP12" s="46" t="str">
        <f t="shared" si="4"/>
        <v/>
      </c>
      <c r="AQ12" s="44"/>
      <c r="AR12" s="44"/>
      <c r="AS12" s="44"/>
      <c r="AT12" s="44"/>
      <c r="AU12" s="44"/>
      <c r="AV12" s="44"/>
      <c r="AW12" s="44"/>
      <c r="AX12" s="46" t="str">
        <f t="shared" si="5"/>
        <v/>
      </c>
      <c r="AY12" s="44"/>
      <c r="AZ12" s="44"/>
      <c r="BA12" s="44"/>
      <c r="BB12" s="44"/>
      <c r="BC12" s="44"/>
      <c r="BD12" s="44"/>
      <c r="BE12" s="44"/>
      <c r="BF12" s="46" t="str">
        <f t="shared" si="6"/>
        <v/>
      </c>
      <c r="BG12" s="44"/>
      <c r="BH12" s="44"/>
      <c r="BI12" s="44"/>
      <c r="BJ12" s="44"/>
      <c r="BK12" s="44"/>
      <c r="BL12" s="44"/>
      <c r="BM12" s="44"/>
      <c r="BN12" s="46" t="str">
        <f t="shared" si="7"/>
        <v/>
      </c>
      <c r="BO12" s="44"/>
      <c r="BP12" s="44"/>
      <c r="BQ12" s="44"/>
      <c r="BR12" s="44"/>
      <c r="BS12" s="44"/>
      <c r="BT12" s="44"/>
      <c r="BU12" s="44"/>
      <c r="BV12" s="46" t="str">
        <f t="shared" si="8"/>
        <v/>
      </c>
      <c r="BW12" s="50"/>
      <c r="BX12" s="50"/>
      <c r="BY12" s="50"/>
      <c r="BZ12" s="50"/>
      <c r="CA12" s="50"/>
      <c r="CB12" s="50"/>
      <c r="CC12" s="50"/>
      <c r="CD12" s="46" t="str">
        <f t="shared" si="9"/>
        <v/>
      </c>
      <c r="CE12" s="44"/>
      <c r="CF12" s="44"/>
      <c r="CG12" s="44"/>
      <c r="CH12" s="44"/>
      <c r="CI12" s="44"/>
      <c r="CJ12" s="44"/>
      <c r="CK12" s="44"/>
      <c r="CL12" s="46" t="str">
        <f t="shared" si="10"/>
        <v/>
      </c>
      <c r="CM12" s="44"/>
      <c r="CN12" s="44"/>
      <c r="CO12" s="44"/>
      <c r="CP12" s="44"/>
      <c r="CQ12" s="44"/>
      <c r="CR12" s="44"/>
      <c r="CS12" s="44"/>
      <c r="CT12" s="48" t="str">
        <f t="shared" si="11"/>
        <v/>
      </c>
    </row>
    <row r="13" spans="1:98" ht="40" customHeight="1" x14ac:dyDescent="0.15">
      <c r="A13" s="124" t="s">
        <v>62</v>
      </c>
      <c r="B13" s="51" t="s">
        <v>63</v>
      </c>
      <c r="C13" s="70"/>
      <c r="D13" s="44"/>
      <c r="E13" s="44"/>
      <c r="F13" s="44"/>
      <c r="G13" s="44"/>
      <c r="H13" s="44"/>
      <c r="I13" s="44"/>
      <c r="J13" s="45" t="str">
        <f t="shared" si="0"/>
        <v/>
      </c>
      <c r="K13" s="44"/>
      <c r="L13" s="44"/>
      <c r="M13" s="44"/>
      <c r="N13" s="44"/>
      <c r="O13" s="44"/>
      <c r="P13" s="44"/>
      <c r="Q13" s="44"/>
      <c r="R13" s="45" t="str">
        <f t="shared" si="1"/>
        <v/>
      </c>
      <c r="S13" s="44"/>
      <c r="T13" s="44"/>
      <c r="U13" s="44"/>
      <c r="V13" s="44"/>
      <c r="W13" s="44"/>
      <c r="X13" s="44"/>
      <c r="Y13" s="44"/>
      <c r="Z13" s="46" t="str">
        <f t="shared" si="2"/>
        <v/>
      </c>
      <c r="AA13" s="44"/>
      <c r="AB13" s="44"/>
      <c r="AC13" s="44"/>
      <c r="AD13" s="44"/>
      <c r="AE13" s="44"/>
      <c r="AF13" s="44"/>
      <c r="AG13" s="44"/>
      <c r="AH13" s="46" t="str">
        <f t="shared" si="3"/>
        <v/>
      </c>
      <c r="AI13" s="44"/>
      <c r="AJ13" s="44"/>
      <c r="AK13" s="44"/>
      <c r="AL13" s="44"/>
      <c r="AM13" s="44"/>
      <c r="AN13" s="44"/>
      <c r="AO13" s="44"/>
      <c r="AP13" s="46" t="str">
        <f t="shared" si="4"/>
        <v/>
      </c>
      <c r="AQ13" s="44"/>
      <c r="AR13" s="44"/>
      <c r="AS13" s="44"/>
      <c r="AT13" s="44"/>
      <c r="AU13" s="44"/>
      <c r="AV13" s="44"/>
      <c r="AW13" s="44"/>
      <c r="AX13" s="46" t="str">
        <f t="shared" si="5"/>
        <v/>
      </c>
      <c r="AY13" s="44"/>
      <c r="AZ13" s="44"/>
      <c r="BA13" s="44"/>
      <c r="BB13" s="44"/>
      <c r="BC13" s="44"/>
      <c r="BD13" s="44"/>
      <c r="BE13" s="44"/>
      <c r="BF13" s="46" t="str">
        <f t="shared" si="6"/>
        <v/>
      </c>
      <c r="BG13" s="44"/>
      <c r="BH13" s="44"/>
      <c r="BI13" s="44"/>
      <c r="BJ13" s="44"/>
      <c r="BK13" s="44"/>
      <c r="BL13" s="44"/>
      <c r="BM13" s="44"/>
      <c r="BN13" s="46" t="str">
        <f t="shared" si="7"/>
        <v/>
      </c>
      <c r="BO13" s="44"/>
      <c r="BP13" s="44"/>
      <c r="BQ13" s="44"/>
      <c r="BR13" s="44"/>
      <c r="BS13" s="44"/>
      <c r="BT13" s="44"/>
      <c r="BU13" s="44"/>
      <c r="BV13" s="46" t="str">
        <f t="shared" si="8"/>
        <v/>
      </c>
      <c r="BW13" s="50"/>
      <c r="BX13" s="50"/>
      <c r="BY13" s="50"/>
      <c r="BZ13" s="50"/>
      <c r="CA13" s="50"/>
      <c r="CB13" s="50"/>
      <c r="CC13" s="50"/>
      <c r="CD13" s="46" t="str">
        <f t="shared" si="9"/>
        <v/>
      </c>
      <c r="CE13" s="44"/>
      <c r="CF13" s="44"/>
      <c r="CG13" s="44"/>
      <c r="CH13" s="44"/>
      <c r="CI13" s="44"/>
      <c r="CJ13" s="44"/>
      <c r="CK13" s="44"/>
      <c r="CL13" s="46" t="str">
        <f t="shared" si="10"/>
        <v/>
      </c>
      <c r="CM13" s="44"/>
      <c r="CN13" s="44"/>
      <c r="CO13" s="44"/>
      <c r="CP13" s="44"/>
      <c r="CQ13" s="44"/>
      <c r="CR13" s="44"/>
      <c r="CS13" s="44"/>
      <c r="CT13" s="48" t="str">
        <f t="shared" si="11"/>
        <v/>
      </c>
    </row>
    <row r="14" spans="1:98" ht="40" customHeight="1" x14ac:dyDescent="0.15">
      <c r="A14" s="123" t="s">
        <v>64</v>
      </c>
      <c r="B14" s="49" t="s">
        <v>65</v>
      </c>
      <c r="C14" s="70"/>
      <c r="D14" s="44"/>
      <c r="E14" s="44"/>
      <c r="F14" s="44"/>
      <c r="G14" s="44"/>
      <c r="H14" s="44"/>
      <c r="I14" s="44"/>
      <c r="J14" s="45" t="str">
        <f t="shared" si="0"/>
        <v/>
      </c>
      <c r="K14" s="44"/>
      <c r="L14" s="44"/>
      <c r="M14" s="44"/>
      <c r="N14" s="44"/>
      <c r="O14" s="44"/>
      <c r="P14" s="44"/>
      <c r="Q14" s="44"/>
      <c r="R14" s="45" t="str">
        <f t="shared" si="1"/>
        <v/>
      </c>
      <c r="S14" s="44"/>
      <c r="T14" s="44"/>
      <c r="U14" s="44"/>
      <c r="V14" s="44"/>
      <c r="W14" s="44"/>
      <c r="X14" s="44"/>
      <c r="Y14" s="44"/>
      <c r="Z14" s="46" t="str">
        <f t="shared" si="2"/>
        <v/>
      </c>
      <c r="AA14" s="44"/>
      <c r="AB14" s="44"/>
      <c r="AC14" s="44"/>
      <c r="AD14" s="44"/>
      <c r="AE14" s="44"/>
      <c r="AF14" s="44"/>
      <c r="AG14" s="44"/>
      <c r="AH14" s="46" t="str">
        <f t="shared" si="3"/>
        <v/>
      </c>
      <c r="AI14" s="44"/>
      <c r="AJ14" s="44"/>
      <c r="AK14" s="44"/>
      <c r="AL14" s="44"/>
      <c r="AM14" s="44"/>
      <c r="AN14" s="44"/>
      <c r="AO14" s="44"/>
      <c r="AP14" s="46" t="str">
        <f t="shared" si="4"/>
        <v/>
      </c>
      <c r="AQ14" s="44"/>
      <c r="AR14" s="44"/>
      <c r="AS14" s="44"/>
      <c r="AT14" s="44"/>
      <c r="AU14" s="44"/>
      <c r="AV14" s="44"/>
      <c r="AW14" s="44"/>
      <c r="AX14" s="46" t="str">
        <f t="shared" si="5"/>
        <v/>
      </c>
      <c r="AY14" s="44"/>
      <c r="AZ14" s="44"/>
      <c r="BA14" s="44"/>
      <c r="BB14" s="44"/>
      <c r="BC14" s="44"/>
      <c r="BD14" s="44"/>
      <c r="BE14" s="44"/>
      <c r="BF14" s="46" t="str">
        <f t="shared" si="6"/>
        <v/>
      </c>
      <c r="BG14" s="44"/>
      <c r="BH14" s="44"/>
      <c r="BI14" s="44"/>
      <c r="BJ14" s="44"/>
      <c r="BK14" s="44"/>
      <c r="BL14" s="44"/>
      <c r="BM14" s="44"/>
      <c r="BN14" s="46" t="str">
        <f t="shared" si="7"/>
        <v/>
      </c>
      <c r="BO14" s="44"/>
      <c r="BP14" s="44"/>
      <c r="BQ14" s="44"/>
      <c r="BR14" s="44"/>
      <c r="BS14" s="44"/>
      <c r="BT14" s="44"/>
      <c r="BU14" s="44"/>
      <c r="BV14" s="46" t="str">
        <f t="shared" si="8"/>
        <v/>
      </c>
      <c r="BW14" s="50"/>
      <c r="BX14" s="50"/>
      <c r="BY14" s="50"/>
      <c r="BZ14" s="50"/>
      <c r="CA14" s="50"/>
      <c r="CB14" s="50"/>
      <c r="CC14" s="50"/>
      <c r="CD14" s="46" t="str">
        <f t="shared" si="9"/>
        <v/>
      </c>
      <c r="CE14" s="44"/>
      <c r="CF14" s="44"/>
      <c r="CG14" s="44"/>
      <c r="CH14" s="44"/>
      <c r="CI14" s="44"/>
      <c r="CJ14" s="44"/>
      <c r="CK14" s="44"/>
      <c r="CL14" s="46" t="str">
        <f t="shared" si="10"/>
        <v/>
      </c>
      <c r="CM14" s="44"/>
      <c r="CN14" s="44"/>
      <c r="CO14" s="44"/>
      <c r="CP14" s="44"/>
      <c r="CQ14" s="44"/>
      <c r="CR14" s="44"/>
      <c r="CS14" s="44"/>
      <c r="CT14" s="48" t="str">
        <f t="shared" si="11"/>
        <v/>
      </c>
    </row>
    <row r="15" spans="1:98" ht="40" customHeight="1" x14ac:dyDescent="0.15">
      <c r="A15" s="68" t="s">
        <v>66</v>
      </c>
      <c r="B15" s="122"/>
      <c r="C15" s="70"/>
      <c r="D15" s="44"/>
      <c r="E15" s="44"/>
      <c r="F15" s="44"/>
      <c r="G15" s="44"/>
      <c r="H15" s="44"/>
      <c r="I15" s="44"/>
      <c r="J15" s="45" t="str">
        <f t="shared" si="0"/>
        <v/>
      </c>
      <c r="K15" s="44"/>
      <c r="L15" s="44"/>
      <c r="M15" s="44"/>
      <c r="N15" s="44"/>
      <c r="O15" s="44"/>
      <c r="P15" s="44"/>
      <c r="Q15" s="44"/>
      <c r="R15" s="45" t="str">
        <f t="shared" si="1"/>
        <v/>
      </c>
      <c r="S15" s="44"/>
      <c r="T15" s="44"/>
      <c r="U15" s="44"/>
      <c r="V15" s="44"/>
      <c r="W15" s="44"/>
      <c r="X15" s="44"/>
      <c r="Y15" s="44"/>
      <c r="Z15" s="46" t="str">
        <f t="shared" si="2"/>
        <v/>
      </c>
      <c r="AA15" s="44"/>
      <c r="AB15" s="44"/>
      <c r="AC15" s="44"/>
      <c r="AD15" s="44"/>
      <c r="AE15" s="44"/>
      <c r="AF15" s="44"/>
      <c r="AG15" s="44"/>
      <c r="AH15" s="46" t="str">
        <f t="shared" si="3"/>
        <v/>
      </c>
      <c r="AI15" s="44"/>
      <c r="AJ15" s="44"/>
      <c r="AK15" s="44"/>
      <c r="AL15" s="44"/>
      <c r="AM15" s="44"/>
      <c r="AN15" s="44"/>
      <c r="AO15" s="44"/>
      <c r="AP15" s="46" t="str">
        <f t="shared" si="4"/>
        <v/>
      </c>
      <c r="AQ15" s="44"/>
      <c r="AR15" s="44"/>
      <c r="AS15" s="44"/>
      <c r="AT15" s="44"/>
      <c r="AU15" s="44"/>
      <c r="AV15" s="44"/>
      <c r="AW15" s="44"/>
      <c r="AX15" s="46" t="str">
        <f t="shared" si="5"/>
        <v/>
      </c>
      <c r="AY15" s="44"/>
      <c r="AZ15" s="44"/>
      <c r="BA15" s="44"/>
      <c r="BB15" s="44"/>
      <c r="BC15" s="44"/>
      <c r="BD15" s="44"/>
      <c r="BE15" s="44"/>
      <c r="BF15" s="46" t="str">
        <f t="shared" si="6"/>
        <v/>
      </c>
      <c r="BG15" s="44"/>
      <c r="BH15" s="44"/>
      <c r="BI15" s="44"/>
      <c r="BJ15" s="44"/>
      <c r="BK15" s="44"/>
      <c r="BL15" s="44"/>
      <c r="BM15" s="44"/>
      <c r="BN15" s="46" t="str">
        <f t="shared" si="7"/>
        <v/>
      </c>
      <c r="BO15" s="44"/>
      <c r="BP15" s="44"/>
      <c r="BQ15" s="44"/>
      <c r="BR15" s="44"/>
      <c r="BS15" s="44"/>
      <c r="BT15" s="44"/>
      <c r="BU15" s="44"/>
      <c r="BV15" s="46" t="str">
        <f t="shared" si="8"/>
        <v/>
      </c>
      <c r="BW15" s="50"/>
      <c r="BX15" s="50"/>
      <c r="BY15" s="50"/>
      <c r="BZ15" s="50"/>
      <c r="CA15" s="50"/>
      <c r="CB15" s="50"/>
      <c r="CC15" s="50"/>
      <c r="CD15" s="46" t="str">
        <f t="shared" si="9"/>
        <v/>
      </c>
      <c r="CE15" s="44"/>
      <c r="CF15" s="44"/>
      <c r="CG15" s="44"/>
      <c r="CH15" s="44"/>
      <c r="CI15" s="44"/>
      <c r="CJ15" s="44"/>
      <c r="CK15" s="44"/>
      <c r="CL15" s="46" t="str">
        <f t="shared" si="10"/>
        <v/>
      </c>
      <c r="CM15" s="44"/>
      <c r="CN15" s="44"/>
      <c r="CO15" s="44"/>
      <c r="CP15" s="44"/>
      <c r="CQ15" s="44"/>
      <c r="CR15" s="44"/>
      <c r="CS15" s="44"/>
      <c r="CT15" s="48" t="str">
        <f t="shared" si="11"/>
        <v/>
      </c>
    </row>
    <row r="16" spans="1:98" ht="40" customHeight="1" x14ac:dyDescent="0.15">
      <c r="A16" s="124" t="s">
        <v>67</v>
      </c>
      <c r="B16" s="51" t="s">
        <v>66</v>
      </c>
      <c r="C16" s="70"/>
      <c r="D16" s="44"/>
      <c r="E16" s="44"/>
      <c r="F16" s="44"/>
      <c r="G16" s="44"/>
      <c r="H16" s="44"/>
      <c r="I16" s="44"/>
      <c r="J16" s="45" t="str">
        <f t="shared" si="0"/>
        <v/>
      </c>
      <c r="K16" s="44"/>
      <c r="L16" s="44"/>
      <c r="M16" s="44"/>
      <c r="N16" s="44"/>
      <c r="O16" s="44"/>
      <c r="P16" s="44"/>
      <c r="Q16" s="44"/>
      <c r="R16" s="45" t="str">
        <f t="shared" si="1"/>
        <v/>
      </c>
      <c r="S16" s="44"/>
      <c r="T16" s="44"/>
      <c r="U16" s="44"/>
      <c r="V16" s="44"/>
      <c r="W16" s="44"/>
      <c r="X16" s="44"/>
      <c r="Y16" s="44"/>
      <c r="Z16" s="46" t="str">
        <f t="shared" si="2"/>
        <v/>
      </c>
      <c r="AA16" s="44"/>
      <c r="AB16" s="44"/>
      <c r="AC16" s="44"/>
      <c r="AD16" s="44"/>
      <c r="AE16" s="44"/>
      <c r="AF16" s="44"/>
      <c r="AG16" s="44"/>
      <c r="AH16" s="46" t="str">
        <f t="shared" si="3"/>
        <v/>
      </c>
      <c r="AI16" s="44"/>
      <c r="AJ16" s="44"/>
      <c r="AK16" s="44"/>
      <c r="AL16" s="44"/>
      <c r="AM16" s="44"/>
      <c r="AN16" s="44"/>
      <c r="AO16" s="44"/>
      <c r="AP16" s="46" t="str">
        <f t="shared" si="4"/>
        <v/>
      </c>
      <c r="AQ16" s="44"/>
      <c r="AR16" s="44"/>
      <c r="AS16" s="44"/>
      <c r="AT16" s="44"/>
      <c r="AU16" s="44"/>
      <c r="AV16" s="44"/>
      <c r="AW16" s="44"/>
      <c r="AX16" s="46" t="str">
        <f t="shared" si="5"/>
        <v/>
      </c>
      <c r="AY16" s="44"/>
      <c r="AZ16" s="44"/>
      <c r="BA16" s="44"/>
      <c r="BB16" s="44"/>
      <c r="BC16" s="44"/>
      <c r="BD16" s="44"/>
      <c r="BE16" s="44"/>
      <c r="BF16" s="46" t="str">
        <f t="shared" si="6"/>
        <v/>
      </c>
      <c r="BG16" s="44"/>
      <c r="BH16" s="44"/>
      <c r="BI16" s="44"/>
      <c r="BJ16" s="44"/>
      <c r="BK16" s="44"/>
      <c r="BL16" s="44"/>
      <c r="BM16" s="44"/>
      <c r="BN16" s="46" t="str">
        <f t="shared" si="7"/>
        <v/>
      </c>
      <c r="BO16" s="44"/>
      <c r="BP16" s="44"/>
      <c r="BQ16" s="44"/>
      <c r="BR16" s="44"/>
      <c r="BS16" s="44"/>
      <c r="BT16" s="44"/>
      <c r="BU16" s="44"/>
      <c r="BV16" s="46" t="str">
        <f t="shared" si="8"/>
        <v/>
      </c>
      <c r="BW16" s="50"/>
      <c r="BX16" s="50"/>
      <c r="BY16" s="50"/>
      <c r="BZ16" s="50"/>
      <c r="CA16" s="50"/>
      <c r="CB16" s="50"/>
      <c r="CC16" s="50"/>
      <c r="CD16" s="46" t="str">
        <f t="shared" si="9"/>
        <v/>
      </c>
      <c r="CE16" s="44"/>
      <c r="CF16" s="44"/>
      <c r="CG16" s="44"/>
      <c r="CH16" s="44"/>
      <c r="CI16" s="44"/>
      <c r="CJ16" s="44"/>
      <c r="CK16" s="44"/>
      <c r="CL16" s="46" t="str">
        <f t="shared" si="10"/>
        <v/>
      </c>
      <c r="CM16" s="44"/>
      <c r="CN16" s="44"/>
      <c r="CO16" s="44"/>
      <c r="CP16" s="44"/>
      <c r="CQ16" s="44"/>
      <c r="CR16" s="44"/>
      <c r="CS16" s="44"/>
      <c r="CT16" s="48" t="str">
        <f t="shared" si="11"/>
        <v/>
      </c>
    </row>
    <row r="17" spans="1:98" ht="40" customHeight="1" x14ac:dyDescent="0.15">
      <c r="A17" s="68" t="s">
        <v>68</v>
      </c>
      <c r="B17" s="122"/>
      <c r="C17" s="70"/>
      <c r="D17" s="44"/>
      <c r="E17" s="44"/>
      <c r="F17" s="44"/>
      <c r="G17" s="44"/>
      <c r="H17" s="44"/>
      <c r="I17" s="44"/>
      <c r="J17" s="45" t="str">
        <f t="shared" si="0"/>
        <v/>
      </c>
      <c r="K17" s="44"/>
      <c r="L17" s="44"/>
      <c r="M17" s="44"/>
      <c r="N17" s="44"/>
      <c r="O17" s="44"/>
      <c r="P17" s="44"/>
      <c r="Q17" s="44"/>
      <c r="R17" s="45" t="str">
        <f t="shared" si="1"/>
        <v/>
      </c>
      <c r="S17" s="44"/>
      <c r="T17" s="44"/>
      <c r="U17" s="44"/>
      <c r="V17" s="44"/>
      <c r="W17" s="44"/>
      <c r="X17" s="44"/>
      <c r="Y17" s="44"/>
      <c r="Z17" s="46" t="str">
        <f t="shared" si="2"/>
        <v/>
      </c>
      <c r="AA17" s="44"/>
      <c r="AB17" s="44"/>
      <c r="AC17" s="44"/>
      <c r="AD17" s="44"/>
      <c r="AE17" s="44"/>
      <c r="AF17" s="44"/>
      <c r="AG17" s="44"/>
      <c r="AH17" s="46" t="str">
        <f t="shared" si="3"/>
        <v/>
      </c>
      <c r="AI17" s="44"/>
      <c r="AJ17" s="44"/>
      <c r="AK17" s="44"/>
      <c r="AL17" s="44"/>
      <c r="AM17" s="44"/>
      <c r="AN17" s="44"/>
      <c r="AO17" s="44"/>
      <c r="AP17" s="46" t="str">
        <f t="shared" si="4"/>
        <v/>
      </c>
      <c r="AQ17" s="44"/>
      <c r="AR17" s="44"/>
      <c r="AS17" s="44"/>
      <c r="AT17" s="44"/>
      <c r="AU17" s="44"/>
      <c r="AV17" s="44"/>
      <c r="AW17" s="44"/>
      <c r="AX17" s="46" t="str">
        <f t="shared" si="5"/>
        <v/>
      </c>
      <c r="AY17" s="44"/>
      <c r="AZ17" s="44"/>
      <c r="BA17" s="44"/>
      <c r="BB17" s="44"/>
      <c r="BC17" s="44"/>
      <c r="BD17" s="44"/>
      <c r="BE17" s="44"/>
      <c r="BF17" s="46" t="str">
        <f t="shared" si="6"/>
        <v/>
      </c>
      <c r="BG17" s="44"/>
      <c r="BH17" s="44"/>
      <c r="BI17" s="44"/>
      <c r="BJ17" s="44"/>
      <c r="BK17" s="44"/>
      <c r="BL17" s="44"/>
      <c r="BM17" s="44"/>
      <c r="BN17" s="46" t="str">
        <f t="shared" si="7"/>
        <v/>
      </c>
      <c r="BO17" s="44"/>
      <c r="BP17" s="44"/>
      <c r="BQ17" s="44"/>
      <c r="BR17" s="44"/>
      <c r="BS17" s="44"/>
      <c r="BT17" s="44"/>
      <c r="BU17" s="44"/>
      <c r="BV17" s="46" t="str">
        <f t="shared" si="8"/>
        <v/>
      </c>
      <c r="BW17" s="50"/>
      <c r="BX17" s="50"/>
      <c r="BY17" s="50"/>
      <c r="BZ17" s="50"/>
      <c r="CA17" s="50"/>
      <c r="CB17" s="50"/>
      <c r="CC17" s="50"/>
      <c r="CD17" s="46" t="str">
        <f t="shared" si="9"/>
        <v/>
      </c>
      <c r="CE17" s="44"/>
      <c r="CF17" s="44"/>
      <c r="CG17" s="44"/>
      <c r="CH17" s="44"/>
      <c r="CI17" s="44"/>
      <c r="CJ17" s="44"/>
      <c r="CK17" s="44"/>
      <c r="CL17" s="46" t="str">
        <f t="shared" si="10"/>
        <v/>
      </c>
      <c r="CM17" s="44"/>
      <c r="CN17" s="44"/>
      <c r="CO17" s="44"/>
      <c r="CP17" s="44"/>
      <c r="CQ17" s="44"/>
      <c r="CR17" s="44"/>
      <c r="CS17" s="44"/>
      <c r="CT17" s="48" t="str">
        <f t="shared" si="11"/>
        <v/>
      </c>
    </row>
    <row r="18" spans="1:98" ht="40" customHeight="1" x14ac:dyDescent="0.15">
      <c r="A18" s="124" t="s">
        <v>69</v>
      </c>
      <c r="B18" s="51" t="s">
        <v>70</v>
      </c>
      <c r="C18" s="70"/>
      <c r="D18" s="44"/>
      <c r="E18" s="44"/>
      <c r="F18" s="44"/>
      <c r="G18" s="44"/>
      <c r="H18" s="44"/>
      <c r="I18" s="44"/>
      <c r="J18" s="45" t="str">
        <f t="shared" si="0"/>
        <v/>
      </c>
      <c r="K18" s="44"/>
      <c r="L18" s="44"/>
      <c r="M18" s="44"/>
      <c r="N18" s="44"/>
      <c r="O18" s="44"/>
      <c r="P18" s="44"/>
      <c r="Q18" s="44"/>
      <c r="R18" s="45" t="str">
        <f t="shared" si="1"/>
        <v/>
      </c>
      <c r="S18" s="44"/>
      <c r="T18" s="44"/>
      <c r="U18" s="44"/>
      <c r="V18" s="44"/>
      <c r="W18" s="44"/>
      <c r="X18" s="44"/>
      <c r="Y18" s="44"/>
      <c r="Z18" s="46" t="str">
        <f t="shared" si="2"/>
        <v/>
      </c>
      <c r="AA18" s="44"/>
      <c r="AB18" s="44"/>
      <c r="AC18" s="44"/>
      <c r="AD18" s="44"/>
      <c r="AE18" s="44"/>
      <c r="AF18" s="44"/>
      <c r="AG18" s="44"/>
      <c r="AH18" s="46" t="str">
        <f t="shared" si="3"/>
        <v/>
      </c>
      <c r="AI18" s="44"/>
      <c r="AJ18" s="44"/>
      <c r="AK18" s="44"/>
      <c r="AL18" s="44"/>
      <c r="AM18" s="44"/>
      <c r="AN18" s="44"/>
      <c r="AO18" s="44"/>
      <c r="AP18" s="46" t="str">
        <f t="shared" si="4"/>
        <v/>
      </c>
      <c r="AQ18" s="44"/>
      <c r="AR18" s="44"/>
      <c r="AS18" s="44"/>
      <c r="AT18" s="44"/>
      <c r="AU18" s="44"/>
      <c r="AV18" s="44"/>
      <c r="AW18" s="44"/>
      <c r="AX18" s="46" t="str">
        <f t="shared" si="5"/>
        <v/>
      </c>
      <c r="AY18" s="44"/>
      <c r="AZ18" s="44"/>
      <c r="BA18" s="44"/>
      <c r="BB18" s="44"/>
      <c r="BC18" s="44"/>
      <c r="BD18" s="44"/>
      <c r="BE18" s="44"/>
      <c r="BF18" s="46" t="str">
        <f t="shared" si="6"/>
        <v/>
      </c>
      <c r="BG18" s="44"/>
      <c r="BH18" s="44"/>
      <c r="BI18" s="44"/>
      <c r="BJ18" s="44"/>
      <c r="BK18" s="44"/>
      <c r="BL18" s="44"/>
      <c r="BM18" s="44"/>
      <c r="BN18" s="46" t="str">
        <f t="shared" si="7"/>
        <v/>
      </c>
      <c r="BO18" s="44"/>
      <c r="BP18" s="44"/>
      <c r="BQ18" s="44"/>
      <c r="BR18" s="44"/>
      <c r="BS18" s="44"/>
      <c r="BT18" s="44"/>
      <c r="BU18" s="44"/>
      <c r="BV18" s="46" t="str">
        <f t="shared" si="8"/>
        <v/>
      </c>
      <c r="BW18" s="50"/>
      <c r="BX18" s="50"/>
      <c r="BY18" s="50"/>
      <c r="BZ18" s="50"/>
      <c r="CA18" s="50"/>
      <c r="CB18" s="50"/>
      <c r="CC18" s="50"/>
      <c r="CD18" s="46" t="str">
        <f t="shared" si="9"/>
        <v/>
      </c>
      <c r="CE18" s="44"/>
      <c r="CF18" s="44"/>
      <c r="CG18" s="44"/>
      <c r="CH18" s="44"/>
      <c r="CI18" s="44"/>
      <c r="CJ18" s="44"/>
      <c r="CK18" s="44"/>
      <c r="CL18" s="46" t="str">
        <f t="shared" si="10"/>
        <v/>
      </c>
      <c r="CM18" s="44"/>
      <c r="CN18" s="44"/>
      <c r="CO18" s="44"/>
      <c r="CP18" s="44"/>
      <c r="CQ18" s="44"/>
      <c r="CR18" s="44"/>
      <c r="CS18" s="44"/>
      <c r="CT18" s="48" t="str">
        <f t="shared" si="11"/>
        <v/>
      </c>
    </row>
    <row r="19" spans="1:98" ht="40" customHeight="1" x14ac:dyDescent="0.15">
      <c r="A19" s="123" t="s">
        <v>71</v>
      </c>
      <c r="B19" s="49" t="s">
        <v>72</v>
      </c>
      <c r="C19" s="70"/>
      <c r="D19" s="44"/>
      <c r="E19" s="44"/>
      <c r="F19" s="44"/>
      <c r="G19" s="44"/>
      <c r="H19" s="44"/>
      <c r="I19" s="44"/>
      <c r="J19" s="45" t="str">
        <f t="shared" si="0"/>
        <v/>
      </c>
      <c r="K19" s="44"/>
      <c r="L19" s="44"/>
      <c r="M19" s="44"/>
      <c r="N19" s="44"/>
      <c r="O19" s="44"/>
      <c r="P19" s="44"/>
      <c r="Q19" s="44"/>
      <c r="R19" s="45" t="str">
        <f t="shared" si="1"/>
        <v/>
      </c>
      <c r="S19" s="44"/>
      <c r="T19" s="44"/>
      <c r="U19" s="44"/>
      <c r="V19" s="44"/>
      <c r="W19" s="44"/>
      <c r="X19" s="44"/>
      <c r="Y19" s="44"/>
      <c r="Z19" s="46" t="str">
        <f t="shared" si="2"/>
        <v/>
      </c>
      <c r="AA19" s="44"/>
      <c r="AB19" s="44"/>
      <c r="AC19" s="44"/>
      <c r="AD19" s="44"/>
      <c r="AE19" s="44"/>
      <c r="AF19" s="44"/>
      <c r="AG19" s="44"/>
      <c r="AH19" s="46" t="str">
        <f t="shared" si="3"/>
        <v/>
      </c>
      <c r="AI19" s="44"/>
      <c r="AJ19" s="44"/>
      <c r="AK19" s="44"/>
      <c r="AL19" s="44"/>
      <c r="AM19" s="44"/>
      <c r="AN19" s="44"/>
      <c r="AO19" s="44"/>
      <c r="AP19" s="46" t="str">
        <f t="shared" si="4"/>
        <v/>
      </c>
      <c r="AQ19" s="44"/>
      <c r="AR19" s="44"/>
      <c r="AS19" s="44"/>
      <c r="AT19" s="44"/>
      <c r="AU19" s="44"/>
      <c r="AV19" s="44"/>
      <c r="AW19" s="44"/>
      <c r="AX19" s="46" t="str">
        <f t="shared" si="5"/>
        <v/>
      </c>
      <c r="AY19" s="44"/>
      <c r="AZ19" s="44"/>
      <c r="BA19" s="44"/>
      <c r="BB19" s="44"/>
      <c r="BC19" s="44"/>
      <c r="BD19" s="44"/>
      <c r="BE19" s="44"/>
      <c r="BF19" s="46" t="str">
        <f t="shared" si="6"/>
        <v/>
      </c>
      <c r="BG19" s="44"/>
      <c r="BH19" s="44"/>
      <c r="BI19" s="44"/>
      <c r="BJ19" s="44"/>
      <c r="BK19" s="44"/>
      <c r="BL19" s="44"/>
      <c r="BM19" s="44"/>
      <c r="BN19" s="46" t="str">
        <f t="shared" si="7"/>
        <v/>
      </c>
      <c r="BO19" s="44"/>
      <c r="BP19" s="44"/>
      <c r="BQ19" s="44"/>
      <c r="BR19" s="44"/>
      <c r="BS19" s="44"/>
      <c r="BT19" s="44"/>
      <c r="BU19" s="44"/>
      <c r="BV19" s="46" t="str">
        <f t="shared" si="8"/>
        <v/>
      </c>
      <c r="BW19" s="50"/>
      <c r="BX19" s="50"/>
      <c r="BY19" s="50"/>
      <c r="BZ19" s="50"/>
      <c r="CA19" s="50"/>
      <c r="CB19" s="50"/>
      <c r="CC19" s="50"/>
      <c r="CD19" s="46" t="str">
        <f t="shared" si="9"/>
        <v/>
      </c>
      <c r="CE19" s="44"/>
      <c r="CF19" s="44"/>
      <c r="CG19" s="44"/>
      <c r="CH19" s="44"/>
      <c r="CI19" s="44"/>
      <c r="CJ19" s="44"/>
      <c r="CK19" s="44"/>
      <c r="CL19" s="46" t="str">
        <f t="shared" si="10"/>
        <v/>
      </c>
      <c r="CM19" s="44"/>
      <c r="CN19" s="44"/>
      <c r="CO19" s="44"/>
      <c r="CP19" s="44"/>
      <c r="CQ19" s="44"/>
      <c r="CR19" s="44"/>
      <c r="CS19" s="44"/>
      <c r="CT19" s="48" t="str">
        <f t="shared" si="11"/>
        <v/>
      </c>
    </row>
    <row r="20" spans="1:98" ht="40" customHeight="1" x14ac:dyDescent="0.15">
      <c r="A20" s="124" t="s">
        <v>73</v>
      </c>
      <c r="B20" s="51" t="s">
        <v>74</v>
      </c>
      <c r="C20" s="70"/>
      <c r="D20" s="44"/>
      <c r="E20" s="44"/>
      <c r="F20" s="44"/>
      <c r="G20" s="44"/>
      <c r="H20" s="44"/>
      <c r="I20" s="44"/>
      <c r="J20" s="45" t="str">
        <f t="shared" si="0"/>
        <v/>
      </c>
      <c r="K20" s="44"/>
      <c r="L20" s="44"/>
      <c r="M20" s="44"/>
      <c r="N20" s="44"/>
      <c r="O20" s="44"/>
      <c r="P20" s="44"/>
      <c r="Q20" s="44"/>
      <c r="R20" s="45" t="str">
        <f t="shared" si="1"/>
        <v/>
      </c>
      <c r="S20" s="44"/>
      <c r="T20" s="44"/>
      <c r="U20" s="44"/>
      <c r="V20" s="44"/>
      <c r="W20" s="44"/>
      <c r="X20" s="44"/>
      <c r="Y20" s="44"/>
      <c r="Z20" s="46" t="str">
        <f t="shared" si="2"/>
        <v/>
      </c>
      <c r="AA20" s="44"/>
      <c r="AB20" s="44"/>
      <c r="AC20" s="44"/>
      <c r="AD20" s="44"/>
      <c r="AE20" s="44"/>
      <c r="AF20" s="44"/>
      <c r="AG20" s="44"/>
      <c r="AH20" s="46" t="str">
        <f t="shared" si="3"/>
        <v/>
      </c>
      <c r="AI20" s="44"/>
      <c r="AJ20" s="44"/>
      <c r="AK20" s="44"/>
      <c r="AL20" s="44"/>
      <c r="AM20" s="44"/>
      <c r="AN20" s="44"/>
      <c r="AO20" s="44"/>
      <c r="AP20" s="46" t="str">
        <f t="shared" si="4"/>
        <v/>
      </c>
      <c r="AQ20" s="44"/>
      <c r="AR20" s="44"/>
      <c r="AS20" s="44"/>
      <c r="AT20" s="44"/>
      <c r="AU20" s="44"/>
      <c r="AV20" s="44"/>
      <c r="AW20" s="44"/>
      <c r="AX20" s="46" t="str">
        <f t="shared" si="5"/>
        <v/>
      </c>
      <c r="AY20" s="44"/>
      <c r="AZ20" s="44"/>
      <c r="BA20" s="44"/>
      <c r="BB20" s="44"/>
      <c r="BC20" s="44"/>
      <c r="BD20" s="44"/>
      <c r="BE20" s="44"/>
      <c r="BF20" s="46" t="str">
        <f t="shared" si="6"/>
        <v/>
      </c>
      <c r="BG20" s="44"/>
      <c r="BH20" s="44"/>
      <c r="BI20" s="44"/>
      <c r="BJ20" s="44"/>
      <c r="BK20" s="44"/>
      <c r="BL20" s="44"/>
      <c r="BM20" s="44"/>
      <c r="BN20" s="46" t="str">
        <f t="shared" si="7"/>
        <v/>
      </c>
      <c r="BO20" s="44"/>
      <c r="BP20" s="44"/>
      <c r="BQ20" s="44"/>
      <c r="BR20" s="44"/>
      <c r="BS20" s="44"/>
      <c r="BT20" s="44"/>
      <c r="BU20" s="44"/>
      <c r="BV20" s="46" t="str">
        <f t="shared" si="8"/>
        <v/>
      </c>
      <c r="BW20" s="50"/>
      <c r="BX20" s="50"/>
      <c r="BY20" s="50"/>
      <c r="BZ20" s="50"/>
      <c r="CA20" s="50"/>
      <c r="CB20" s="50"/>
      <c r="CC20" s="50"/>
      <c r="CD20" s="46" t="str">
        <f t="shared" si="9"/>
        <v/>
      </c>
      <c r="CE20" s="44"/>
      <c r="CF20" s="44"/>
      <c r="CG20" s="44"/>
      <c r="CH20" s="44"/>
      <c r="CI20" s="44"/>
      <c r="CJ20" s="44"/>
      <c r="CK20" s="44"/>
      <c r="CL20" s="46" t="str">
        <f t="shared" si="10"/>
        <v/>
      </c>
      <c r="CM20" s="44"/>
      <c r="CN20" s="44"/>
      <c r="CO20" s="44"/>
      <c r="CP20" s="44"/>
      <c r="CQ20" s="44"/>
      <c r="CR20" s="44"/>
      <c r="CS20" s="44"/>
      <c r="CT20" s="48" t="str">
        <f t="shared" si="11"/>
        <v/>
      </c>
    </row>
    <row r="21" spans="1:98" ht="40" customHeight="1" x14ac:dyDescent="0.15">
      <c r="A21" s="123" t="s">
        <v>75</v>
      </c>
      <c r="B21" s="49" t="s">
        <v>76</v>
      </c>
      <c r="C21" s="70"/>
      <c r="D21" s="44"/>
      <c r="E21" s="44"/>
      <c r="F21" s="44"/>
      <c r="G21" s="44"/>
      <c r="H21" s="44"/>
      <c r="I21" s="44"/>
      <c r="J21" s="45" t="str">
        <f t="shared" si="0"/>
        <v/>
      </c>
      <c r="K21" s="44"/>
      <c r="L21" s="44"/>
      <c r="M21" s="44"/>
      <c r="N21" s="44"/>
      <c r="O21" s="44"/>
      <c r="P21" s="44"/>
      <c r="Q21" s="44"/>
      <c r="R21" s="45" t="str">
        <f t="shared" si="1"/>
        <v/>
      </c>
      <c r="S21" s="44"/>
      <c r="T21" s="44"/>
      <c r="U21" s="44"/>
      <c r="V21" s="44"/>
      <c r="W21" s="44"/>
      <c r="X21" s="44"/>
      <c r="Y21" s="44"/>
      <c r="Z21" s="46" t="str">
        <f t="shared" si="2"/>
        <v/>
      </c>
      <c r="AA21" s="44"/>
      <c r="AB21" s="44"/>
      <c r="AC21" s="44"/>
      <c r="AD21" s="44"/>
      <c r="AE21" s="44"/>
      <c r="AF21" s="44"/>
      <c r="AG21" s="44"/>
      <c r="AH21" s="46" t="str">
        <f t="shared" si="3"/>
        <v/>
      </c>
      <c r="AI21" s="44"/>
      <c r="AJ21" s="44"/>
      <c r="AK21" s="44"/>
      <c r="AL21" s="44"/>
      <c r="AM21" s="44"/>
      <c r="AN21" s="44"/>
      <c r="AO21" s="44"/>
      <c r="AP21" s="46" t="str">
        <f t="shared" si="4"/>
        <v/>
      </c>
      <c r="AQ21" s="44"/>
      <c r="AR21" s="44"/>
      <c r="AS21" s="44"/>
      <c r="AT21" s="44"/>
      <c r="AU21" s="44"/>
      <c r="AV21" s="44"/>
      <c r="AW21" s="44"/>
      <c r="AX21" s="46" t="str">
        <f t="shared" si="5"/>
        <v/>
      </c>
      <c r="AY21" s="44"/>
      <c r="AZ21" s="44"/>
      <c r="BA21" s="44"/>
      <c r="BB21" s="44"/>
      <c r="BC21" s="44"/>
      <c r="BD21" s="44"/>
      <c r="BE21" s="44"/>
      <c r="BF21" s="46" t="str">
        <f t="shared" si="6"/>
        <v/>
      </c>
      <c r="BG21" s="44"/>
      <c r="BH21" s="44"/>
      <c r="BI21" s="44"/>
      <c r="BJ21" s="44"/>
      <c r="BK21" s="44"/>
      <c r="BL21" s="44"/>
      <c r="BM21" s="44"/>
      <c r="BN21" s="46" t="str">
        <f t="shared" si="7"/>
        <v/>
      </c>
      <c r="BO21" s="44"/>
      <c r="BP21" s="44"/>
      <c r="BQ21" s="44"/>
      <c r="BR21" s="44"/>
      <c r="BS21" s="44"/>
      <c r="BT21" s="44"/>
      <c r="BU21" s="44"/>
      <c r="BV21" s="46" t="str">
        <f t="shared" si="8"/>
        <v/>
      </c>
      <c r="BW21" s="50"/>
      <c r="BX21" s="50"/>
      <c r="BY21" s="50"/>
      <c r="BZ21" s="50"/>
      <c r="CA21" s="50"/>
      <c r="CB21" s="50"/>
      <c r="CC21" s="50"/>
      <c r="CD21" s="46" t="str">
        <f t="shared" si="9"/>
        <v/>
      </c>
      <c r="CE21" s="44"/>
      <c r="CF21" s="44"/>
      <c r="CG21" s="44"/>
      <c r="CH21" s="44"/>
      <c r="CI21" s="44"/>
      <c r="CJ21" s="44"/>
      <c r="CK21" s="44"/>
      <c r="CL21" s="46" t="str">
        <f t="shared" si="10"/>
        <v/>
      </c>
      <c r="CM21" s="44"/>
      <c r="CN21" s="44"/>
      <c r="CO21" s="44"/>
      <c r="CP21" s="44"/>
      <c r="CQ21" s="44"/>
      <c r="CR21" s="44"/>
      <c r="CS21" s="44"/>
      <c r="CT21" s="48" t="str">
        <f t="shared" si="11"/>
        <v/>
      </c>
    </row>
    <row r="22" spans="1:98" ht="40" customHeight="1" x14ac:dyDescent="0.15">
      <c r="A22" s="123" t="s">
        <v>77</v>
      </c>
      <c r="B22" s="49" t="s">
        <v>78</v>
      </c>
      <c r="C22" s="70"/>
      <c r="D22" s="44"/>
      <c r="E22" s="44"/>
      <c r="F22" s="44"/>
      <c r="G22" s="44"/>
      <c r="H22" s="44"/>
      <c r="I22" s="44"/>
      <c r="J22" s="45" t="str">
        <f t="shared" si="0"/>
        <v/>
      </c>
      <c r="K22" s="44"/>
      <c r="L22" s="44"/>
      <c r="M22" s="44"/>
      <c r="N22" s="44"/>
      <c r="O22" s="44"/>
      <c r="P22" s="44"/>
      <c r="Q22" s="44"/>
      <c r="R22" s="45" t="str">
        <f t="shared" si="1"/>
        <v/>
      </c>
      <c r="S22" s="44"/>
      <c r="T22" s="44"/>
      <c r="U22" s="44"/>
      <c r="V22" s="44"/>
      <c r="W22" s="44"/>
      <c r="X22" s="44"/>
      <c r="Y22" s="44"/>
      <c r="Z22" s="46" t="str">
        <f t="shared" si="2"/>
        <v/>
      </c>
      <c r="AA22" s="44"/>
      <c r="AB22" s="44"/>
      <c r="AC22" s="44"/>
      <c r="AD22" s="44"/>
      <c r="AE22" s="44"/>
      <c r="AF22" s="44"/>
      <c r="AG22" s="44"/>
      <c r="AH22" s="46" t="str">
        <f t="shared" si="3"/>
        <v/>
      </c>
      <c r="AI22" s="44"/>
      <c r="AJ22" s="44"/>
      <c r="AK22" s="44"/>
      <c r="AL22" s="44"/>
      <c r="AM22" s="44"/>
      <c r="AN22" s="44"/>
      <c r="AO22" s="44"/>
      <c r="AP22" s="46" t="str">
        <f t="shared" si="4"/>
        <v/>
      </c>
      <c r="AQ22" s="44"/>
      <c r="AR22" s="44"/>
      <c r="AS22" s="44"/>
      <c r="AT22" s="44"/>
      <c r="AU22" s="44"/>
      <c r="AV22" s="44"/>
      <c r="AW22" s="44"/>
      <c r="AX22" s="46" t="str">
        <f t="shared" si="5"/>
        <v/>
      </c>
      <c r="AY22" s="44"/>
      <c r="AZ22" s="44"/>
      <c r="BA22" s="44"/>
      <c r="BB22" s="44"/>
      <c r="BC22" s="44"/>
      <c r="BD22" s="44"/>
      <c r="BE22" s="44"/>
      <c r="BF22" s="46" t="str">
        <f t="shared" si="6"/>
        <v/>
      </c>
      <c r="BG22" s="44"/>
      <c r="BH22" s="44"/>
      <c r="BI22" s="44"/>
      <c r="BJ22" s="44"/>
      <c r="BK22" s="44"/>
      <c r="BL22" s="44"/>
      <c r="BM22" s="44"/>
      <c r="BN22" s="46" t="str">
        <f t="shared" si="7"/>
        <v/>
      </c>
      <c r="BO22" s="44"/>
      <c r="BP22" s="44"/>
      <c r="BQ22" s="44"/>
      <c r="BR22" s="44"/>
      <c r="BS22" s="44"/>
      <c r="BT22" s="44"/>
      <c r="BU22" s="44"/>
      <c r="BV22" s="46" t="str">
        <f t="shared" si="8"/>
        <v/>
      </c>
      <c r="BW22" s="50"/>
      <c r="BX22" s="50"/>
      <c r="BY22" s="50"/>
      <c r="BZ22" s="50"/>
      <c r="CA22" s="50"/>
      <c r="CB22" s="50"/>
      <c r="CC22" s="50"/>
      <c r="CD22" s="46" t="str">
        <f t="shared" si="9"/>
        <v/>
      </c>
      <c r="CE22" s="44"/>
      <c r="CF22" s="44"/>
      <c r="CG22" s="44"/>
      <c r="CH22" s="44"/>
      <c r="CI22" s="44"/>
      <c r="CJ22" s="44"/>
      <c r="CK22" s="44"/>
      <c r="CL22" s="46" t="str">
        <f t="shared" si="10"/>
        <v/>
      </c>
      <c r="CM22" s="44"/>
      <c r="CN22" s="44"/>
      <c r="CO22" s="44"/>
      <c r="CP22" s="44"/>
      <c r="CQ22" s="44"/>
      <c r="CR22" s="44"/>
      <c r="CS22" s="44"/>
      <c r="CT22" s="48" t="str">
        <f t="shared" si="11"/>
        <v/>
      </c>
    </row>
    <row r="23" spans="1:98" ht="40" customHeight="1" x14ac:dyDescent="0.15">
      <c r="A23" s="124" t="s">
        <v>79</v>
      </c>
      <c r="B23" s="51" t="s">
        <v>80</v>
      </c>
      <c r="C23" s="70"/>
      <c r="D23" s="44"/>
      <c r="E23" s="44"/>
      <c r="F23" s="44"/>
      <c r="G23" s="44"/>
      <c r="H23" s="44"/>
      <c r="I23" s="44"/>
      <c r="J23" s="45" t="str">
        <f t="shared" si="0"/>
        <v/>
      </c>
      <c r="K23" s="44"/>
      <c r="L23" s="44"/>
      <c r="M23" s="44"/>
      <c r="N23" s="44"/>
      <c r="O23" s="44"/>
      <c r="P23" s="44"/>
      <c r="Q23" s="44"/>
      <c r="R23" s="45" t="str">
        <f t="shared" si="1"/>
        <v/>
      </c>
      <c r="S23" s="44"/>
      <c r="T23" s="44"/>
      <c r="U23" s="44"/>
      <c r="V23" s="44"/>
      <c r="W23" s="44"/>
      <c r="X23" s="44"/>
      <c r="Y23" s="44"/>
      <c r="Z23" s="46" t="str">
        <f t="shared" si="2"/>
        <v/>
      </c>
      <c r="AA23" s="44"/>
      <c r="AB23" s="44"/>
      <c r="AC23" s="44"/>
      <c r="AD23" s="44"/>
      <c r="AE23" s="44"/>
      <c r="AF23" s="44"/>
      <c r="AG23" s="44"/>
      <c r="AH23" s="46" t="str">
        <f t="shared" si="3"/>
        <v/>
      </c>
      <c r="AI23" s="44"/>
      <c r="AJ23" s="44"/>
      <c r="AK23" s="44"/>
      <c r="AL23" s="44"/>
      <c r="AM23" s="44"/>
      <c r="AN23" s="44"/>
      <c r="AO23" s="44"/>
      <c r="AP23" s="46" t="str">
        <f t="shared" si="4"/>
        <v/>
      </c>
      <c r="AQ23" s="44"/>
      <c r="AR23" s="44"/>
      <c r="AS23" s="44"/>
      <c r="AT23" s="44"/>
      <c r="AU23" s="44"/>
      <c r="AV23" s="44"/>
      <c r="AW23" s="44"/>
      <c r="AX23" s="46" t="str">
        <f t="shared" si="5"/>
        <v/>
      </c>
      <c r="AY23" s="44"/>
      <c r="AZ23" s="44"/>
      <c r="BA23" s="44"/>
      <c r="BB23" s="44"/>
      <c r="BC23" s="44"/>
      <c r="BD23" s="44"/>
      <c r="BE23" s="44"/>
      <c r="BF23" s="46" t="str">
        <f t="shared" si="6"/>
        <v/>
      </c>
      <c r="BG23" s="44"/>
      <c r="BH23" s="44"/>
      <c r="BI23" s="44"/>
      <c r="BJ23" s="44"/>
      <c r="BK23" s="44"/>
      <c r="BL23" s="44"/>
      <c r="BM23" s="44"/>
      <c r="BN23" s="46" t="str">
        <f t="shared" si="7"/>
        <v/>
      </c>
      <c r="BO23" s="44"/>
      <c r="BP23" s="44"/>
      <c r="BQ23" s="44"/>
      <c r="BR23" s="44"/>
      <c r="BS23" s="44"/>
      <c r="BT23" s="44"/>
      <c r="BU23" s="44"/>
      <c r="BV23" s="46" t="str">
        <f t="shared" si="8"/>
        <v/>
      </c>
      <c r="BW23" s="50"/>
      <c r="BX23" s="50"/>
      <c r="BY23" s="50"/>
      <c r="BZ23" s="50"/>
      <c r="CA23" s="50"/>
      <c r="CB23" s="50"/>
      <c r="CC23" s="50"/>
      <c r="CD23" s="46" t="str">
        <f t="shared" si="9"/>
        <v/>
      </c>
      <c r="CE23" s="44"/>
      <c r="CF23" s="44"/>
      <c r="CG23" s="44"/>
      <c r="CH23" s="44"/>
      <c r="CI23" s="44"/>
      <c r="CJ23" s="44"/>
      <c r="CK23" s="44"/>
      <c r="CL23" s="46" t="str">
        <f t="shared" si="10"/>
        <v/>
      </c>
      <c r="CM23" s="44"/>
      <c r="CN23" s="44"/>
      <c r="CO23" s="44"/>
      <c r="CP23" s="44"/>
      <c r="CQ23" s="44"/>
      <c r="CR23" s="44"/>
      <c r="CS23" s="44"/>
      <c r="CT23" s="48" t="str">
        <f t="shared" si="11"/>
        <v/>
      </c>
    </row>
    <row r="24" spans="1:98" ht="40" customHeight="1" x14ac:dyDescent="0.15">
      <c r="A24" s="68" t="s">
        <v>81</v>
      </c>
      <c r="B24" s="122"/>
      <c r="C24" s="70"/>
      <c r="D24" s="44"/>
      <c r="E24" s="44"/>
      <c r="F24" s="44"/>
      <c r="G24" s="44"/>
      <c r="H24" s="44"/>
      <c r="I24" s="44"/>
      <c r="J24" s="45" t="str">
        <f t="shared" si="0"/>
        <v/>
      </c>
      <c r="K24" s="44"/>
      <c r="L24" s="44"/>
      <c r="M24" s="44"/>
      <c r="N24" s="44"/>
      <c r="O24" s="44"/>
      <c r="P24" s="44"/>
      <c r="Q24" s="44"/>
      <c r="R24" s="45" t="str">
        <f t="shared" si="1"/>
        <v/>
      </c>
      <c r="S24" s="44"/>
      <c r="T24" s="44"/>
      <c r="U24" s="44"/>
      <c r="V24" s="44"/>
      <c r="W24" s="44"/>
      <c r="X24" s="44"/>
      <c r="Y24" s="44"/>
      <c r="Z24" s="46" t="str">
        <f t="shared" si="2"/>
        <v/>
      </c>
      <c r="AA24" s="44"/>
      <c r="AB24" s="44"/>
      <c r="AC24" s="44"/>
      <c r="AD24" s="44"/>
      <c r="AE24" s="44"/>
      <c r="AF24" s="44"/>
      <c r="AG24" s="44"/>
      <c r="AH24" s="46" t="str">
        <f t="shared" si="3"/>
        <v/>
      </c>
      <c r="AI24" s="44"/>
      <c r="AJ24" s="44"/>
      <c r="AK24" s="44"/>
      <c r="AL24" s="44"/>
      <c r="AM24" s="44"/>
      <c r="AN24" s="44"/>
      <c r="AO24" s="44"/>
      <c r="AP24" s="46" t="str">
        <f t="shared" si="4"/>
        <v/>
      </c>
      <c r="AQ24" s="44"/>
      <c r="AR24" s="44"/>
      <c r="AS24" s="44"/>
      <c r="AT24" s="44"/>
      <c r="AU24" s="44"/>
      <c r="AV24" s="44"/>
      <c r="AW24" s="44"/>
      <c r="AX24" s="46" t="str">
        <f t="shared" si="5"/>
        <v/>
      </c>
      <c r="AY24" s="44"/>
      <c r="AZ24" s="44"/>
      <c r="BA24" s="44"/>
      <c r="BB24" s="44"/>
      <c r="BC24" s="44"/>
      <c r="BD24" s="44"/>
      <c r="BE24" s="44"/>
      <c r="BF24" s="46" t="str">
        <f t="shared" si="6"/>
        <v/>
      </c>
      <c r="BG24" s="44"/>
      <c r="BH24" s="44"/>
      <c r="BI24" s="44"/>
      <c r="BJ24" s="44"/>
      <c r="BK24" s="44"/>
      <c r="BL24" s="44"/>
      <c r="BM24" s="44"/>
      <c r="BN24" s="46" t="str">
        <f t="shared" si="7"/>
        <v/>
      </c>
      <c r="BO24" s="44"/>
      <c r="BP24" s="44"/>
      <c r="BQ24" s="44"/>
      <c r="BR24" s="44"/>
      <c r="BS24" s="44"/>
      <c r="BT24" s="44"/>
      <c r="BU24" s="44"/>
      <c r="BV24" s="46" t="str">
        <f t="shared" si="8"/>
        <v/>
      </c>
      <c r="BW24" s="50"/>
      <c r="BX24" s="50"/>
      <c r="BY24" s="50"/>
      <c r="BZ24" s="50"/>
      <c r="CA24" s="50"/>
      <c r="CB24" s="50"/>
      <c r="CC24" s="50"/>
      <c r="CD24" s="46" t="str">
        <f t="shared" si="9"/>
        <v/>
      </c>
      <c r="CE24" s="44"/>
      <c r="CF24" s="44"/>
      <c r="CG24" s="44"/>
      <c r="CH24" s="44"/>
      <c r="CI24" s="44"/>
      <c r="CJ24" s="44"/>
      <c r="CK24" s="44"/>
      <c r="CL24" s="46" t="str">
        <f t="shared" si="10"/>
        <v/>
      </c>
      <c r="CM24" s="44"/>
      <c r="CN24" s="44"/>
      <c r="CO24" s="44"/>
      <c r="CP24" s="44"/>
      <c r="CQ24" s="44"/>
      <c r="CR24" s="44"/>
      <c r="CS24" s="44"/>
      <c r="CT24" s="48" t="str">
        <f t="shared" si="11"/>
        <v/>
      </c>
    </row>
    <row r="25" spans="1:98" ht="40" customHeight="1" x14ac:dyDescent="0.15">
      <c r="A25" s="123" t="s">
        <v>82</v>
      </c>
      <c r="B25" s="49" t="s">
        <v>83</v>
      </c>
      <c r="C25" s="70"/>
      <c r="D25" s="44"/>
      <c r="E25" s="44"/>
      <c r="F25" s="44"/>
      <c r="G25" s="44"/>
      <c r="H25" s="44"/>
      <c r="I25" s="44"/>
      <c r="J25" s="45" t="str">
        <f t="shared" si="0"/>
        <v/>
      </c>
      <c r="K25" s="44"/>
      <c r="L25" s="44"/>
      <c r="M25" s="44"/>
      <c r="N25" s="44"/>
      <c r="O25" s="44"/>
      <c r="P25" s="44"/>
      <c r="Q25" s="44"/>
      <c r="R25" s="45" t="str">
        <f t="shared" si="1"/>
        <v/>
      </c>
      <c r="S25" s="44"/>
      <c r="T25" s="44"/>
      <c r="U25" s="44"/>
      <c r="V25" s="44"/>
      <c r="W25" s="44"/>
      <c r="X25" s="44"/>
      <c r="Y25" s="44"/>
      <c r="Z25" s="46" t="str">
        <f t="shared" si="2"/>
        <v/>
      </c>
      <c r="AA25" s="44"/>
      <c r="AB25" s="44"/>
      <c r="AC25" s="44"/>
      <c r="AD25" s="44"/>
      <c r="AE25" s="44"/>
      <c r="AF25" s="44"/>
      <c r="AG25" s="44"/>
      <c r="AH25" s="46" t="str">
        <f t="shared" si="3"/>
        <v/>
      </c>
      <c r="AI25" s="44"/>
      <c r="AJ25" s="44"/>
      <c r="AK25" s="44"/>
      <c r="AL25" s="44"/>
      <c r="AM25" s="44"/>
      <c r="AN25" s="44"/>
      <c r="AO25" s="44"/>
      <c r="AP25" s="46" t="str">
        <f t="shared" si="4"/>
        <v/>
      </c>
      <c r="AQ25" s="44"/>
      <c r="AR25" s="44"/>
      <c r="AS25" s="44"/>
      <c r="AT25" s="44"/>
      <c r="AU25" s="44"/>
      <c r="AV25" s="44"/>
      <c r="AW25" s="44"/>
      <c r="AX25" s="46" t="str">
        <f t="shared" si="5"/>
        <v/>
      </c>
      <c r="AY25" s="44"/>
      <c r="AZ25" s="44"/>
      <c r="BA25" s="44"/>
      <c r="BB25" s="44"/>
      <c r="BC25" s="44"/>
      <c r="BD25" s="44"/>
      <c r="BE25" s="44"/>
      <c r="BF25" s="46" t="str">
        <f t="shared" si="6"/>
        <v/>
      </c>
      <c r="BG25" s="44"/>
      <c r="BH25" s="44"/>
      <c r="BI25" s="44"/>
      <c r="BJ25" s="44"/>
      <c r="BK25" s="44"/>
      <c r="BL25" s="44"/>
      <c r="BM25" s="44"/>
      <c r="BN25" s="46" t="str">
        <f t="shared" si="7"/>
        <v/>
      </c>
      <c r="BO25" s="44"/>
      <c r="BP25" s="44"/>
      <c r="BQ25" s="44"/>
      <c r="BR25" s="44"/>
      <c r="BS25" s="44"/>
      <c r="BT25" s="44"/>
      <c r="BU25" s="44"/>
      <c r="BV25" s="46" t="str">
        <f t="shared" si="8"/>
        <v/>
      </c>
      <c r="BW25" s="50"/>
      <c r="BX25" s="50"/>
      <c r="BY25" s="50"/>
      <c r="BZ25" s="50"/>
      <c r="CA25" s="50"/>
      <c r="CB25" s="50"/>
      <c r="CC25" s="50"/>
      <c r="CD25" s="46" t="str">
        <f t="shared" si="9"/>
        <v/>
      </c>
      <c r="CE25" s="44"/>
      <c r="CF25" s="44"/>
      <c r="CG25" s="44"/>
      <c r="CH25" s="44"/>
      <c r="CI25" s="44"/>
      <c r="CJ25" s="44"/>
      <c r="CK25" s="44"/>
      <c r="CL25" s="46" t="str">
        <f t="shared" si="10"/>
        <v/>
      </c>
      <c r="CM25" s="44"/>
      <c r="CN25" s="44"/>
      <c r="CO25" s="44"/>
      <c r="CP25" s="44"/>
      <c r="CQ25" s="44"/>
      <c r="CR25" s="44"/>
      <c r="CS25" s="44"/>
      <c r="CT25" s="48" t="str">
        <f t="shared" si="11"/>
        <v/>
      </c>
    </row>
    <row r="26" spans="1:98" ht="40" customHeight="1" x14ac:dyDescent="0.15">
      <c r="A26" s="68" t="s">
        <v>84</v>
      </c>
      <c r="B26" s="122"/>
      <c r="C26" s="70"/>
      <c r="D26" s="44"/>
      <c r="E26" s="44"/>
      <c r="F26" s="44"/>
      <c r="G26" s="44"/>
      <c r="H26" s="44"/>
      <c r="I26" s="44"/>
      <c r="J26" s="45" t="str">
        <f t="shared" si="0"/>
        <v/>
      </c>
      <c r="K26" s="44"/>
      <c r="L26" s="44"/>
      <c r="M26" s="44"/>
      <c r="N26" s="44"/>
      <c r="O26" s="44"/>
      <c r="P26" s="44"/>
      <c r="Q26" s="44"/>
      <c r="R26" s="45" t="str">
        <f t="shared" si="1"/>
        <v/>
      </c>
      <c r="S26" s="44"/>
      <c r="T26" s="44"/>
      <c r="U26" s="44"/>
      <c r="V26" s="44"/>
      <c r="W26" s="44"/>
      <c r="X26" s="44"/>
      <c r="Y26" s="44"/>
      <c r="Z26" s="46" t="str">
        <f t="shared" si="2"/>
        <v/>
      </c>
      <c r="AA26" s="44"/>
      <c r="AB26" s="44"/>
      <c r="AC26" s="44"/>
      <c r="AD26" s="44"/>
      <c r="AE26" s="44"/>
      <c r="AF26" s="44"/>
      <c r="AG26" s="44"/>
      <c r="AH26" s="46" t="str">
        <f t="shared" si="3"/>
        <v/>
      </c>
      <c r="AI26" s="44"/>
      <c r="AJ26" s="44"/>
      <c r="AK26" s="44"/>
      <c r="AL26" s="44"/>
      <c r="AM26" s="44"/>
      <c r="AN26" s="44"/>
      <c r="AO26" s="44"/>
      <c r="AP26" s="46" t="str">
        <f t="shared" si="4"/>
        <v/>
      </c>
      <c r="AQ26" s="44"/>
      <c r="AR26" s="44"/>
      <c r="AS26" s="44"/>
      <c r="AT26" s="44"/>
      <c r="AU26" s="44"/>
      <c r="AV26" s="44"/>
      <c r="AW26" s="44"/>
      <c r="AX26" s="46" t="str">
        <f t="shared" si="5"/>
        <v/>
      </c>
      <c r="AY26" s="44"/>
      <c r="AZ26" s="44"/>
      <c r="BA26" s="44"/>
      <c r="BB26" s="44"/>
      <c r="BC26" s="44"/>
      <c r="BD26" s="44"/>
      <c r="BE26" s="44"/>
      <c r="BF26" s="46" t="str">
        <f t="shared" si="6"/>
        <v/>
      </c>
      <c r="BG26" s="44"/>
      <c r="BH26" s="44"/>
      <c r="BI26" s="44"/>
      <c r="BJ26" s="44"/>
      <c r="BK26" s="44"/>
      <c r="BL26" s="44"/>
      <c r="BM26" s="44"/>
      <c r="BN26" s="46" t="str">
        <f t="shared" si="7"/>
        <v/>
      </c>
      <c r="BO26" s="44"/>
      <c r="BP26" s="44"/>
      <c r="BQ26" s="44"/>
      <c r="BR26" s="44"/>
      <c r="BS26" s="44"/>
      <c r="BT26" s="44"/>
      <c r="BU26" s="44"/>
      <c r="BV26" s="46" t="str">
        <f t="shared" si="8"/>
        <v/>
      </c>
      <c r="BW26" s="50"/>
      <c r="BX26" s="50"/>
      <c r="BY26" s="50"/>
      <c r="BZ26" s="50"/>
      <c r="CA26" s="50"/>
      <c r="CB26" s="50"/>
      <c r="CC26" s="50"/>
      <c r="CD26" s="46" t="str">
        <f t="shared" si="9"/>
        <v/>
      </c>
      <c r="CE26" s="44"/>
      <c r="CF26" s="44"/>
      <c r="CG26" s="44"/>
      <c r="CH26" s="44"/>
      <c r="CI26" s="44"/>
      <c r="CJ26" s="44"/>
      <c r="CK26" s="44"/>
      <c r="CL26" s="46" t="str">
        <f t="shared" si="10"/>
        <v/>
      </c>
      <c r="CM26" s="44"/>
      <c r="CN26" s="44"/>
      <c r="CO26" s="44"/>
      <c r="CP26" s="44"/>
      <c r="CQ26" s="44"/>
      <c r="CR26" s="44"/>
      <c r="CS26" s="44"/>
      <c r="CT26" s="48" t="str">
        <f t="shared" si="11"/>
        <v/>
      </c>
    </row>
    <row r="27" spans="1:98" ht="40" customHeight="1" x14ac:dyDescent="0.15">
      <c r="A27" s="123" t="s">
        <v>85</v>
      </c>
      <c r="B27" s="49" t="s">
        <v>86</v>
      </c>
      <c r="C27" s="70"/>
      <c r="D27" s="44"/>
      <c r="E27" s="44"/>
      <c r="F27" s="44"/>
      <c r="G27" s="44"/>
      <c r="H27" s="44"/>
      <c r="I27" s="44"/>
      <c r="J27" s="45" t="str">
        <f t="shared" si="0"/>
        <v/>
      </c>
      <c r="K27" s="44"/>
      <c r="L27" s="44"/>
      <c r="M27" s="44"/>
      <c r="N27" s="44"/>
      <c r="O27" s="44"/>
      <c r="P27" s="44"/>
      <c r="Q27" s="44"/>
      <c r="R27" s="45" t="str">
        <f t="shared" si="1"/>
        <v/>
      </c>
      <c r="S27" s="44"/>
      <c r="T27" s="44"/>
      <c r="U27" s="44"/>
      <c r="V27" s="44"/>
      <c r="W27" s="44"/>
      <c r="X27" s="44"/>
      <c r="Y27" s="44"/>
      <c r="Z27" s="46" t="str">
        <f t="shared" si="2"/>
        <v/>
      </c>
      <c r="AA27" s="44"/>
      <c r="AB27" s="44"/>
      <c r="AC27" s="44"/>
      <c r="AD27" s="44"/>
      <c r="AE27" s="44"/>
      <c r="AF27" s="44"/>
      <c r="AG27" s="44"/>
      <c r="AH27" s="46" t="str">
        <f t="shared" si="3"/>
        <v/>
      </c>
      <c r="AI27" s="44"/>
      <c r="AJ27" s="44"/>
      <c r="AK27" s="44"/>
      <c r="AL27" s="44"/>
      <c r="AM27" s="44"/>
      <c r="AN27" s="44"/>
      <c r="AO27" s="44"/>
      <c r="AP27" s="46" t="str">
        <f t="shared" si="4"/>
        <v/>
      </c>
      <c r="AQ27" s="44"/>
      <c r="AR27" s="44"/>
      <c r="AS27" s="44"/>
      <c r="AT27" s="44"/>
      <c r="AU27" s="44"/>
      <c r="AV27" s="44"/>
      <c r="AW27" s="44"/>
      <c r="AX27" s="46" t="str">
        <f t="shared" si="5"/>
        <v/>
      </c>
      <c r="AY27" s="44"/>
      <c r="AZ27" s="44"/>
      <c r="BA27" s="44"/>
      <c r="BB27" s="44"/>
      <c r="BC27" s="44"/>
      <c r="BD27" s="44"/>
      <c r="BE27" s="44"/>
      <c r="BF27" s="46" t="str">
        <f t="shared" si="6"/>
        <v/>
      </c>
      <c r="BG27" s="44"/>
      <c r="BH27" s="44"/>
      <c r="BI27" s="44"/>
      <c r="BJ27" s="44"/>
      <c r="BK27" s="44"/>
      <c r="BL27" s="44"/>
      <c r="BM27" s="44"/>
      <c r="BN27" s="46" t="str">
        <f t="shared" si="7"/>
        <v/>
      </c>
      <c r="BO27" s="44"/>
      <c r="BP27" s="44"/>
      <c r="BQ27" s="44"/>
      <c r="BR27" s="44"/>
      <c r="BS27" s="44"/>
      <c r="BT27" s="44"/>
      <c r="BU27" s="44"/>
      <c r="BV27" s="46" t="str">
        <f t="shared" si="8"/>
        <v/>
      </c>
      <c r="BW27" s="50"/>
      <c r="BX27" s="50"/>
      <c r="BY27" s="50"/>
      <c r="BZ27" s="50"/>
      <c r="CA27" s="50"/>
      <c r="CB27" s="50"/>
      <c r="CC27" s="50"/>
      <c r="CD27" s="46" t="str">
        <f t="shared" si="9"/>
        <v/>
      </c>
      <c r="CE27" s="44"/>
      <c r="CF27" s="44"/>
      <c r="CG27" s="44"/>
      <c r="CH27" s="44"/>
      <c r="CI27" s="44"/>
      <c r="CJ27" s="44"/>
      <c r="CK27" s="44"/>
      <c r="CL27" s="46" t="str">
        <f t="shared" si="10"/>
        <v/>
      </c>
      <c r="CM27" s="44"/>
      <c r="CN27" s="44"/>
      <c r="CO27" s="44"/>
      <c r="CP27" s="44"/>
      <c r="CQ27" s="44"/>
      <c r="CR27" s="44"/>
      <c r="CS27" s="44"/>
      <c r="CT27" s="48" t="str">
        <f t="shared" si="11"/>
        <v/>
      </c>
    </row>
    <row r="28" spans="1:98" ht="40" customHeight="1" x14ac:dyDescent="0.15">
      <c r="A28" s="124" t="s">
        <v>87</v>
      </c>
      <c r="B28" s="51" t="s">
        <v>88</v>
      </c>
      <c r="C28" s="70"/>
      <c r="D28" s="44"/>
      <c r="E28" s="44"/>
      <c r="F28" s="44"/>
      <c r="G28" s="44"/>
      <c r="H28" s="44"/>
      <c r="I28" s="44"/>
      <c r="J28" s="45" t="str">
        <f t="shared" si="0"/>
        <v/>
      </c>
      <c r="K28" s="44"/>
      <c r="L28" s="44"/>
      <c r="M28" s="44"/>
      <c r="N28" s="44"/>
      <c r="O28" s="44"/>
      <c r="P28" s="44"/>
      <c r="Q28" s="44"/>
      <c r="R28" s="45" t="str">
        <f t="shared" si="1"/>
        <v/>
      </c>
      <c r="S28" s="44"/>
      <c r="T28" s="44"/>
      <c r="U28" s="44"/>
      <c r="V28" s="44"/>
      <c r="W28" s="44"/>
      <c r="X28" s="44"/>
      <c r="Y28" s="44"/>
      <c r="Z28" s="46" t="str">
        <f t="shared" si="2"/>
        <v/>
      </c>
      <c r="AA28" s="44"/>
      <c r="AB28" s="44"/>
      <c r="AC28" s="44"/>
      <c r="AD28" s="44"/>
      <c r="AE28" s="44"/>
      <c r="AF28" s="44"/>
      <c r="AG28" s="44"/>
      <c r="AH28" s="46" t="str">
        <f t="shared" si="3"/>
        <v/>
      </c>
      <c r="AI28" s="44"/>
      <c r="AJ28" s="44"/>
      <c r="AK28" s="44"/>
      <c r="AL28" s="44"/>
      <c r="AM28" s="44"/>
      <c r="AN28" s="44"/>
      <c r="AO28" s="44"/>
      <c r="AP28" s="46" t="str">
        <f t="shared" si="4"/>
        <v/>
      </c>
      <c r="AQ28" s="44"/>
      <c r="AR28" s="44"/>
      <c r="AS28" s="44"/>
      <c r="AT28" s="44"/>
      <c r="AU28" s="44"/>
      <c r="AV28" s="44"/>
      <c r="AW28" s="44"/>
      <c r="AX28" s="46" t="str">
        <f t="shared" si="5"/>
        <v/>
      </c>
      <c r="AY28" s="44"/>
      <c r="AZ28" s="44"/>
      <c r="BA28" s="44"/>
      <c r="BB28" s="44"/>
      <c r="BC28" s="44"/>
      <c r="BD28" s="44"/>
      <c r="BE28" s="44"/>
      <c r="BF28" s="46" t="str">
        <f t="shared" si="6"/>
        <v/>
      </c>
      <c r="BG28" s="44"/>
      <c r="BH28" s="44"/>
      <c r="BI28" s="44"/>
      <c r="BJ28" s="44"/>
      <c r="BK28" s="44"/>
      <c r="BL28" s="44"/>
      <c r="BM28" s="44"/>
      <c r="BN28" s="46" t="str">
        <f t="shared" si="7"/>
        <v/>
      </c>
      <c r="BO28" s="44"/>
      <c r="BP28" s="44"/>
      <c r="BQ28" s="44"/>
      <c r="BR28" s="44"/>
      <c r="BS28" s="44"/>
      <c r="BT28" s="44"/>
      <c r="BU28" s="44"/>
      <c r="BV28" s="46" t="str">
        <f t="shared" si="8"/>
        <v/>
      </c>
      <c r="BW28" s="50"/>
      <c r="BX28" s="50"/>
      <c r="BY28" s="50"/>
      <c r="BZ28" s="50"/>
      <c r="CA28" s="50"/>
      <c r="CB28" s="50"/>
      <c r="CC28" s="50"/>
      <c r="CD28" s="46" t="str">
        <f t="shared" si="9"/>
        <v/>
      </c>
      <c r="CE28" s="44"/>
      <c r="CF28" s="44"/>
      <c r="CG28" s="44"/>
      <c r="CH28" s="44"/>
      <c r="CI28" s="44"/>
      <c r="CJ28" s="44"/>
      <c r="CK28" s="44"/>
      <c r="CL28" s="46" t="str">
        <f t="shared" si="10"/>
        <v/>
      </c>
      <c r="CM28" s="44"/>
      <c r="CN28" s="44"/>
      <c r="CO28" s="44"/>
      <c r="CP28" s="44"/>
      <c r="CQ28" s="44"/>
      <c r="CR28" s="44"/>
      <c r="CS28" s="44"/>
      <c r="CT28" s="48" t="str">
        <f t="shared" si="11"/>
        <v/>
      </c>
    </row>
    <row r="29" spans="1:98" ht="40" customHeight="1" x14ac:dyDescent="0.15">
      <c r="A29" s="123" t="s">
        <v>89</v>
      </c>
      <c r="B29" s="49" t="s">
        <v>90</v>
      </c>
      <c r="C29" s="70"/>
      <c r="D29" s="44"/>
      <c r="E29" s="44"/>
      <c r="F29" s="44"/>
      <c r="G29" s="44"/>
      <c r="H29" s="44"/>
      <c r="I29" s="44"/>
      <c r="J29" s="45" t="str">
        <f t="shared" si="0"/>
        <v/>
      </c>
      <c r="K29" s="44"/>
      <c r="L29" s="44"/>
      <c r="M29" s="44"/>
      <c r="N29" s="44"/>
      <c r="O29" s="44"/>
      <c r="P29" s="44"/>
      <c r="Q29" s="44"/>
      <c r="R29" s="45" t="str">
        <f t="shared" si="1"/>
        <v/>
      </c>
      <c r="S29" s="44"/>
      <c r="T29" s="44"/>
      <c r="U29" s="44"/>
      <c r="V29" s="44"/>
      <c r="W29" s="44"/>
      <c r="X29" s="44"/>
      <c r="Y29" s="44"/>
      <c r="Z29" s="46" t="str">
        <f t="shared" si="2"/>
        <v/>
      </c>
      <c r="AA29" s="44"/>
      <c r="AB29" s="44"/>
      <c r="AC29" s="44"/>
      <c r="AD29" s="44"/>
      <c r="AE29" s="44"/>
      <c r="AF29" s="44"/>
      <c r="AG29" s="44"/>
      <c r="AH29" s="46" t="str">
        <f t="shared" si="3"/>
        <v/>
      </c>
      <c r="AI29" s="44"/>
      <c r="AJ29" s="44"/>
      <c r="AK29" s="44"/>
      <c r="AL29" s="44"/>
      <c r="AM29" s="44"/>
      <c r="AN29" s="44"/>
      <c r="AO29" s="44"/>
      <c r="AP29" s="46" t="str">
        <f t="shared" si="4"/>
        <v/>
      </c>
      <c r="AQ29" s="44"/>
      <c r="AR29" s="44"/>
      <c r="AS29" s="44"/>
      <c r="AT29" s="44"/>
      <c r="AU29" s="44"/>
      <c r="AV29" s="44"/>
      <c r="AW29" s="44"/>
      <c r="AX29" s="46" t="str">
        <f t="shared" si="5"/>
        <v/>
      </c>
      <c r="AY29" s="44"/>
      <c r="AZ29" s="44"/>
      <c r="BA29" s="44"/>
      <c r="BB29" s="44"/>
      <c r="BC29" s="44"/>
      <c r="BD29" s="44"/>
      <c r="BE29" s="44"/>
      <c r="BF29" s="46" t="str">
        <f t="shared" si="6"/>
        <v/>
      </c>
      <c r="BG29" s="44"/>
      <c r="BH29" s="44"/>
      <c r="BI29" s="44"/>
      <c r="BJ29" s="44"/>
      <c r="BK29" s="44"/>
      <c r="BL29" s="44"/>
      <c r="BM29" s="44"/>
      <c r="BN29" s="46" t="str">
        <f t="shared" si="7"/>
        <v/>
      </c>
      <c r="BO29" s="44"/>
      <c r="BP29" s="44"/>
      <c r="BQ29" s="44"/>
      <c r="BR29" s="44"/>
      <c r="BS29" s="44"/>
      <c r="BT29" s="44"/>
      <c r="BU29" s="44"/>
      <c r="BV29" s="46" t="str">
        <f t="shared" si="8"/>
        <v/>
      </c>
      <c r="BW29" s="50"/>
      <c r="BX29" s="50"/>
      <c r="BY29" s="50"/>
      <c r="BZ29" s="50"/>
      <c r="CA29" s="50"/>
      <c r="CB29" s="50"/>
      <c r="CC29" s="50"/>
      <c r="CD29" s="46" t="str">
        <f t="shared" si="9"/>
        <v/>
      </c>
      <c r="CE29" s="44"/>
      <c r="CF29" s="44"/>
      <c r="CG29" s="44"/>
      <c r="CH29" s="44"/>
      <c r="CI29" s="44"/>
      <c r="CJ29" s="44"/>
      <c r="CK29" s="44"/>
      <c r="CL29" s="46" t="str">
        <f t="shared" si="10"/>
        <v/>
      </c>
      <c r="CM29" s="44"/>
      <c r="CN29" s="44"/>
      <c r="CO29" s="44"/>
      <c r="CP29" s="44"/>
      <c r="CQ29" s="44"/>
      <c r="CR29" s="44"/>
      <c r="CS29" s="44"/>
      <c r="CT29" s="48" t="str">
        <f t="shared" si="11"/>
        <v/>
      </c>
    </row>
    <row r="30" spans="1:98" ht="40" customHeight="1" x14ac:dyDescent="0.15">
      <c r="A30" s="124" t="s">
        <v>91</v>
      </c>
      <c r="B30" s="51" t="s">
        <v>92</v>
      </c>
      <c r="C30" s="70"/>
      <c r="D30" s="44"/>
      <c r="E30" s="44"/>
      <c r="F30" s="44"/>
      <c r="G30" s="44"/>
      <c r="H30" s="44"/>
      <c r="I30" s="44"/>
      <c r="J30" s="45" t="str">
        <f t="shared" si="0"/>
        <v/>
      </c>
      <c r="K30" s="44"/>
      <c r="L30" s="44"/>
      <c r="M30" s="44"/>
      <c r="N30" s="44"/>
      <c r="O30" s="44"/>
      <c r="P30" s="44"/>
      <c r="Q30" s="44"/>
      <c r="R30" s="45" t="str">
        <f t="shared" si="1"/>
        <v/>
      </c>
      <c r="S30" s="44"/>
      <c r="T30" s="44"/>
      <c r="U30" s="44"/>
      <c r="V30" s="44"/>
      <c r="W30" s="44"/>
      <c r="X30" s="44"/>
      <c r="Y30" s="44"/>
      <c r="Z30" s="46" t="str">
        <f t="shared" si="2"/>
        <v/>
      </c>
      <c r="AA30" s="44"/>
      <c r="AB30" s="44"/>
      <c r="AC30" s="44"/>
      <c r="AD30" s="44"/>
      <c r="AE30" s="44"/>
      <c r="AF30" s="44"/>
      <c r="AG30" s="44"/>
      <c r="AH30" s="46" t="str">
        <f t="shared" si="3"/>
        <v/>
      </c>
      <c r="AI30" s="44"/>
      <c r="AJ30" s="44"/>
      <c r="AK30" s="44"/>
      <c r="AL30" s="44"/>
      <c r="AM30" s="44"/>
      <c r="AN30" s="44"/>
      <c r="AO30" s="44"/>
      <c r="AP30" s="46" t="str">
        <f t="shared" si="4"/>
        <v/>
      </c>
      <c r="AQ30" s="44"/>
      <c r="AR30" s="44"/>
      <c r="AS30" s="44"/>
      <c r="AT30" s="44"/>
      <c r="AU30" s="44"/>
      <c r="AV30" s="44"/>
      <c r="AW30" s="44"/>
      <c r="AX30" s="46" t="str">
        <f t="shared" si="5"/>
        <v/>
      </c>
      <c r="AY30" s="44"/>
      <c r="AZ30" s="44"/>
      <c r="BA30" s="44"/>
      <c r="BB30" s="44"/>
      <c r="BC30" s="44"/>
      <c r="BD30" s="44"/>
      <c r="BE30" s="44"/>
      <c r="BF30" s="46" t="str">
        <f t="shared" si="6"/>
        <v/>
      </c>
      <c r="BG30" s="44"/>
      <c r="BH30" s="44"/>
      <c r="BI30" s="44"/>
      <c r="BJ30" s="44"/>
      <c r="BK30" s="44"/>
      <c r="BL30" s="44"/>
      <c r="BM30" s="44"/>
      <c r="BN30" s="46" t="str">
        <f t="shared" si="7"/>
        <v/>
      </c>
      <c r="BO30" s="44"/>
      <c r="BP30" s="44"/>
      <c r="BQ30" s="44"/>
      <c r="BR30" s="44"/>
      <c r="BS30" s="44"/>
      <c r="BT30" s="44"/>
      <c r="BU30" s="44"/>
      <c r="BV30" s="46" t="str">
        <f t="shared" si="8"/>
        <v/>
      </c>
      <c r="BW30" s="50"/>
      <c r="BX30" s="50"/>
      <c r="BY30" s="50"/>
      <c r="BZ30" s="50"/>
      <c r="CA30" s="50"/>
      <c r="CB30" s="50"/>
      <c r="CC30" s="50"/>
      <c r="CD30" s="46" t="str">
        <f t="shared" si="9"/>
        <v/>
      </c>
      <c r="CE30" s="44"/>
      <c r="CF30" s="44"/>
      <c r="CG30" s="44"/>
      <c r="CH30" s="44"/>
      <c r="CI30" s="44"/>
      <c r="CJ30" s="44"/>
      <c r="CK30" s="44"/>
      <c r="CL30" s="46" t="str">
        <f t="shared" si="10"/>
        <v/>
      </c>
      <c r="CM30" s="44"/>
      <c r="CN30" s="44"/>
      <c r="CO30" s="44"/>
      <c r="CP30" s="44"/>
      <c r="CQ30" s="44"/>
      <c r="CR30" s="44"/>
      <c r="CS30" s="44"/>
      <c r="CT30" s="48" t="str">
        <f t="shared" si="11"/>
        <v/>
      </c>
    </row>
    <row r="31" spans="1:98" ht="40" customHeight="1" x14ac:dyDescent="0.15">
      <c r="A31" s="123" t="s">
        <v>93</v>
      </c>
      <c r="B31" s="49" t="s">
        <v>94</v>
      </c>
      <c r="C31" s="70"/>
      <c r="D31" s="44"/>
      <c r="E31" s="44"/>
      <c r="F31" s="44"/>
      <c r="G31" s="44"/>
      <c r="H31" s="44"/>
      <c r="I31" s="44"/>
      <c r="J31" s="45" t="str">
        <f t="shared" si="0"/>
        <v/>
      </c>
      <c r="K31" s="44"/>
      <c r="L31" s="44"/>
      <c r="M31" s="44"/>
      <c r="N31" s="44"/>
      <c r="O31" s="44"/>
      <c r="P31" s="44"/>
      <c r="Q31" s="44"/>
      <c r="R31" s="45" t="str">
        <f t="shared" si="1"/>
        <v/>
      </c>
      <c r="S31" s="44"/>
      <c r="T31" s="44"/>
      <c r="U31" s="44"/>
      <c r="V31" s="44"/>
      <c r="W31" s="44"/>
      <c r="X31" s="44"/>
      <c r="Y31" s="44"/>
      <c r="Z31" s="46" t="str">
        <f t="shared" si="2"/>
        <v/>
      </c>
      <c r="AA31" s="44"/>
      <c r="AB31" s="44"/>
      <c r="AC31" s="44"/>
      <c r="AD31" s="44"/>
      <c r="AE31" s="44"/>
      <c r="AF31" s="44"/>
      <c r="AG31" s="44"/>
      <c r="AH31" s="46" t="str">
        <f t="shared" si="3"/>
        <v/>
      </c>
      <c r="AI31" s="44"/>
      <c r="AJ31" s="44"/>
      <c r="AK31" s="44"/>
      <c r="AL31" s="44"/>
      <c r="AM31" s="44"/>
      <c r="AN31" s="44"/>
      <c r="AO31" s="44"/>
      <c r="AP31" s="46" t="str">
        <f t="shared" si="4"/>
        <v/>
      </c>
      <c r="AQ31" s="44"/>
      <c r="AR31" s="44"/>
      <c r="AS31" s="44"/>
      <c r="AT31" s="44"/>
      <c r="AU31" s="44"/>
      <c r="AV31" s="44"/>
      <c r="AW31" s="44"/>
      <c r="AX31" s="46" t="str">
        <f t="shared" si="5"/>
        <v/>
      </c>
      <c r="AY31" s="44"/>
      <c r="AZ31" s="44"/>
      <c r="BA31" s="44"/>
      <c r="BB31" s="44"/>
      <c r="BC31" s="44"/>
      <c r="BD31" s="44"/>
      <c r="BE31" s="44"/>
      <c r="BF31" s="46" t="str">
        <f t="shared" si="6"/>
        <v/>
      </c>
      <c r="BG31" s="44"/>
      <c r="BH31" s="44"/>
      <c r="BI31" s="44"/>
      <c r="BJ31" s="44"/>
      <c r="BK31" s="44"/>
      <c r="BL31" s="44"/>
      <c r="BM31" s="44"/>
      <c r="BN31" s="46" t="str">
        <f t="shared" si="7"/>
        <v/>
      </c>
      <c r="BO31" s="44"/>
      <c r="BP31" s="44"/>
      <c r="BQ31" s="44"/>
      <c r="BR31" s="44"/>
      <c r="BS31" s="44"/>
      <c r="BT31" s="44"/>
      <c r="BU31" s="44"/>
      <c r="BV31" s="46" t="str">
        <f t="shared" si="8"/>
        <v/>
      </c>
      <c r="BW31" s="50"/>
      <c r="BX31" s="50"/>
      <c r="BY31" s="50"/>
      <c r="BZ31" s="50"/>
      <c r="CA31" s="50"/>
      <c r="CB31" s="50"/>
      <c r="CC31" s="50"/>
      <c r="CD31" s="46" t="str">
        <f t="shared" si="9"/>
        <v/>
      </c>
      <c r="CE31" s="44"/>
      <c r="CF31" s="44"/>
      <c r="CG31" s="44"/>
      <c r="CH31" s="44"/>
      <c r="CI31" s="44"/>
      <c r="CJ31" s="44"/>
      <c r="CK31" s="44"/>
      <c r="CL31" s="46" t="str">
        <f t="shared" si="10"/>
        <v/>
      </c>
      <c r="CM31" s="44"/>
      <c r="CN31" s="44"/>
      <c r="CO31" s="44"/>
      <c r="CP31" s="44"/>
      <c r="CQ31" s="44"/>
      <c r="CR31" s="44"/>
      <c r="CS31" s="44"/>
      <c r="CT31" s="48" t="str">
        <f t="shared" si="11"/>
        <v/>
      </c>
    </row>
    <row r="32" spans="1:98" ht="40" customHeight="1" x14ac:dyDescent="0.15">
      <c r="A32" s="124" t="s">
        <v>95</v>
      </c>
      <c r="B32" s="51" t="s">
        <v>96</v>
      </c>
      <c r="C32" s="70"/>
      <c r="D32" s="44"/>
      <c r="E32" s="44"/>
      <c r="F32" s="44"/>
      <c r="G32" s="44"/>
      <c r="H32" s="44"/>
      <c r="I32" s="44"/>
      <c r="J32" s="45" t="str">
        <f t="shared" si="0"/>
        <v/>
      </c>
      <c r="K32" s="44"/>
      <c r="L32" s="44"/>
      <c r="M32" s="44"/>
      <c r="N32" s="44"/>
      <c r="O32" s="44"/>
      <c r="P32" s="44"/>
      <c r="Q32" s="44"/>
      <c r="R32" s="45" t="str">
        <f t="shared" si="1"/>
        <v/>
      </c>
      <c r="S32" s="44"/>
      <c r="T32" s="44"/>
      <c r="U32" s="44"/>
      <c r="V32" s="44"/>
      <c r="W32" s="44"/>
      <c r="X32" s="44"/>
      <c r="Y32" s="44"/>
      <c r="Z32" s="46" t="str">
        <f t="shared" si="2"/>
        <v/>
      </c>
      <c r="AA32" s="44"/>
      <c r="AB32" s="44"/>
      <c r="AC32" s="44"/>
      <c r="AD32" s="44"/>
      <c r="AE32" s="44"/>
      <c r="AF32" s="44"/>
      <c r="AG32" s="44"/>
      <c r="AH32" s="46" t="str">
        <f t="shared" si="3"/>
        <v/>
      </c>
      <c r="AI32" s="44"/>
      <c r="AJ32" s="44"/>
      <c r="AK32" s="44"/>
      <c r="AL32" s="44"/>
      <c r="AM32" s="44"/>
      <c r="AN32" s="44"/>
      <c r="AO32" s="44"/>
      <c r="AP32" s="46" t="str">
        <f t="shared" si="4"/>
        <v/>
      </c>
      <c r="AQ32" s="44"/>
      <c r="AR32" s="44"/>
      <c r="AS32" s="44"/>
      <c r="AT32" s="44"/>
      <c r="AU32" s="44"/>
      <c r="AV32" s="44"/>
      <c r="AW32" s="44"/>
      <c r="AX32" s="46" t="str">
        <f t="shared" si="5"/>
        <v/>
      </c>
      <c r="AY32" s="44"/>
      <c r="AZ32" s="44"/>
      <c r="BA32" s="44"/>
      <c r="BB32" s="44"/>
      <c r="BC32" s="44"/>
      <c r="BD32" s="44"/>
      <c r="BE32" s="44"/>
      <c r="BF32" s="46" t="str">
        <f t="shared" si="6"/>
        <v/>
      </c>
      <c r="BG32" s="44"/>
      <c r="BH32" s="44"/>
      <c r="BI32" s="44"/>
      <c r="BJ32" s="44"/>
      <c r="BK32" s="44"/>
      <c r="BL32" s="44"/>
      <c r="BM32" s="44"/>
      <c r="BN32" s="46" t="str">
        <f t="shared" si="7"/>
        <v/>
      </c>
      <c r="BO32" s="44"/>
      <c r="BP32" s="44"/>
      <c r="BQ32" s="44"/>
      <c r="BR32" s="44"/>
      <c r="BS32" s="44"/>
      <c r="BT32" s="44"/>
      <c r="BU32" s="44"/>
      <c r="BV32" s="46" t="str">
        <f t="shared" si="8"/>
        <v/>
      </c>
      <c r="BW32" s="50"/>
      <c r="BX32" s="50"/>
      <c r="BY32" s="50"/>
      <c r="BZ32" s="50"/>
      <c r="CA32" s="50"/>
      <c r="CB32" s="50"/>
      <c r="CC32" s="50"/>
      <c r="CD32" s="46" t="str">
        <f t="shared" si="9"/>
        <v/>
      </c>
      <c r="CE32" s="44"/>
      <c r="CF32" s="44"/>
      <c r="CG32" s="44"/>
      <c r="CH32" s="44"/>
      <c r="CI32" s="44"/>
      <c r="CJ32" s="44"/>
      <c r="CK32" s="44"/>
      <c r="CL32" s="46" t="str">
        <f t="shared" si="10"/>
        <v/>
      </c>
      <c r="CM32" s="44"/>
      <c r="CN32" s="44"/>
      <c r="CO32" s="44"/>
      <c r="CP32" s="44"/>
      <c r="CQ32" s="44"/>
      <c r="CR32" s="44"/>
      <c r="CS32" s="44"/>
      <c r="CT32" s="48" t="str">
        <f t="shared" si="11"/>
        <v/>
      </c>
    </row>
    <row r="33" spans="1:98" ht="40" customHeight="1" x14ac:dyDescent="0.15">
      <c r="A33" s="123" t="s">
        <v>97</v>
      </c>
      <c r="B33" s="49" t="s">
        <v>98</v>
      </c>
      <c r="C33" s="70"/>
      <c r="D33" s="44"/>
      <c r="E33" s="44"/>
      <c r="F33" s="44"/>
      <c r="G33" s="44"/>
      <c r="H33" s="44"/>
      <c r="I33" s="44"/>
      <c r="J33" s="45" t="str">
        <f t="shared" si="0"/>
        <v/>
      </c>
      <c r="K33" s="44"/>
      <c r="L33" s="44"/>
      <c r="M33" s="44"/>
      <c r="N33" s="44"/>
      <c r="O33" s="44"/>
      <c r="P33" s="44"/>
      <c r="Q33" s="44"/>
      <c r="R33" s="45" t="str">
        <f t="shared" si="1"/>
        <v/>
      </c>
      <c r="S33" s="44"/>
      <c r="T33" s="44"/>
      <c r="U33" s="44"/>
      <c r="V33" s="44"/>
      <c r="W33" s="44"/>
      <c r="X33" s="44"/>
      <c r="Y33" s="44"/>
      <c r="Z33" s="46" t="str">
        <f t="shared" si="2"/>
        <v/>
      </c>
      <c r="AA33" s="44"/>
      <c r="AB33" s="44"/>
      <c r="AC33" s="44"/>
      <c r="AD33" s="44"/>
      <c r="AE33" s="44"/>
      <c r="AF33" s="44"/>
      <c r="AG33" s="44"/>
      <c r="AH33" s="46" t="str">
        <f t="shared" si="3"/>
        <v/>
      </c>
      <c r="AI33" s="44"/>
      <c r="AJ33" s="44"/>
      <c r="AK33" s="44"/>
      <c r="AL33" s="44"/>
      <c r="AM33" s="44"/>
      <c r="AN33" s="44"/>
      <c r="AO33" s="44"/>
      <c r="AP33" s="46" t="str">
        <f t="shared" si="4"/>
        <v/>
      </c>
      <c r="AQ33" s="44"/>
      <c r="AR33" s="44"/>
      <c r="AS33" s="44"/>
      <c r="AT33" s="44"/>
      <c r="AU33" s="44"/>
      <c r="AV33" s="44"/>
      <c r="AW33" s="44"/>
      <c r="AX33" s="46" t="str">
        <f t="shared" si="5"/>
        <v/>
      </c>
      <c r="AY33" s="44"/>
      <c r="AZ33" s="44"/>
      <c r="BA33" s="44"/>
      <c r="BB33" s="44"/>
      <c r="BC33" s="44"/>
      <c r="BD33" s="44"/>
      <c r="BE33" s="44"/>
      <c r="BF33" s="46" t="str">
        <f t="shared" si="6"/>
        <v/>
      </c>
      <c r="BG33" s="44"/>
      <c r="BH33" s="44"/>
      <c r="BI33" s="44"/>
      <c r="BJ33" s="44"/>
      <c r="BK33" s="44"/>
      <c r="BL33" s="44"/>
      <c r="BM33" s="44"/>
      <c r="BN33" s="46" t="str">
        <f t="shared" si="7"/>
        <v/>
      </c>
      <c r="BO33" s="44"/>
      <c r="BP33" s="44"/>
      <c r="BQ33" s="44"/>
      <c r="BR33" s="44"/>
      <c r="BS33" s="44"/>
      <c r="BT33" s="44"/>
      <c r="BU33" s="44"/>
      <c r="BV33" s="46" t="str">
        <f t="shared" si="8"/>
        <v/>
      </c>
      <c r="BW33" s="50"/>
      <c r="BX33" s="50"/>
      <c r="BY33" s="50"/>
      <c r="BZ33" s="50"/>
      <c r="CA33" s="50"/>
      <c r="CB33" s="50"/>
      <c r="CC33" s="50"/>
      <c r="CD33" s="46" t="str">
        <f t="shared" si="9"/>
        <v/>
      </c>
      <c r="CE33" s="44"/>
      <c r="CF33" s="44"/>
      <c r="CG33" s="44"/>
      <c r="CH33" s="44"/>
      <c r="CI33" s="44"/>
      <c r="CJ33" s="44"/>
      <c r="CK33" s="44"/>
      <c r="CL33" s="46" t="str">
        <f t="shared" si="10"/>
        <v/>
      </c>
      <c r="CM33" s="44"/>
      <c r="CN33" s="44"/>
      <c r="CO33" s="44"/>
      <c r="CP33" s="44"/>
      <c r="CQ33" s="44"/>
      <c r="CR33" s="44"/>
      <c r="CS33" s="44"/>
      <c r="CT33" s="48" t="str">
        <f t="shared" si="11"/>
        <v/>
      </c>
    </row>
    <row r="34" spans="1:98" ht="40" customHeight="1" x14ac:dyDescent="0.15">
      <c r="A34" s="123" t="s">
        <v>99</v>
      </c>
      <c r="B34" s="49" t="s">
        <v>100</v>
      </c>
      <c r="C34" s="70"/>
      <c r="D34" s="44"/>
      <c r="E34" s="44"/>
      <c r="F34" s="44"/>
      <c r="G34" s="44"/>
      <c r="H34" s="44"/>
      <c r="I34" s="44"/>
      <c r="J34" s="45" t="str">
        <f t="shared" si="0"/>
        <v/>
      </c>
      <c r="K34" s="44"/>
      <c r="L34" s="44"/>
      <c r="M34" s="44"/>
      <c r="N34" s="44"/>
      <c r="O34" s="44"/>
      <c r="P34" s="44"/>
      <c r="Q34" s="44"/>
      <c r="R34" s="45" t="str">
        <f t="shared" si="1"/>
        <v/>
      </c>
      <c r="S34" s="44"/>
      <c r="T34" s="44"/>
      <c r="U34" s="44"/>
      <c r="V34" s="44"/>
      <c r="W34" s="44"/>
      <c r="X34" s="44"/>
      <c r="Y34" s="44"/>
      <c r="Z34" s="46" t="str">
        <f t="shared" si="2"/>
        <v/>
      </c>
      <c r="AA34" s="44"/>
      <c r="AB34" s="44"/>
      <c r="AC34" s="44"/>
      <c r="AD34" s="44"/>
      <c r="AE34" s="44"/>
      <c r="AF34" s="44"/>
      <c r="AG34" s="44"/>
      <c r="AH34" s="46" t="str">
        <f t="shared" si="3"/>
        <v/>
      </c>
      <c r="AI34" s="44"/>
      <c r="AJ34" s="44"/>
      <c r="AK34" s="44"/>
      <c r="AL34" s="44"/>
      <c r="AM34" s="44"/>
      <c r="AN34" s="44"/>
      <c r="AO34" s="44"/>
      <c r="AP34" s="46" t="str">
        <f t="shared" si="4"/>
        <v/>
      </c>
      <c r="AQ34" s="44"/>
      <c r="AR34" s="44"/>
      <c r="AS34" s="44"/>
      <c r="AT34" s="44"/>
      <c r="AU34" s="44"/>
      <c r="AV34" s="44"/>
      <c r="AW34" s="44"/>
      <c r="AX34" s="46" t="str">
        <f t="shared" si="5"/>
        <v/>
      </c>
      <c r="AY34" s="44"/>
      <c r="AZ34" s="44"/>
      <c r="BA34" s="44"/>
      <c r="BB34" s="44"/>
      <c r="BC34" s="44"/>
      <c r="BD34" s="44"/>
      <c r="BE34" s="44"/>
      <c r="BF34" s="46" t="str">
        <f t="shared" si="6"/>
        <v/>
      </c>
      <c r="BG34" s="44"/>
      <c r="BH34" s="44"/>
      <c r="BI34" s="44"/>
      <c r="BJ34" s="44"/>
      <c r="BK34" s="44"/>
      <c r="BL34" s="44"/>
      <c r="BM34" s="44"/>
      <c r="BN34" s="46" t="str">
        <f t="shared" si="7"/>
        <v/>
      </c>
      <c r="BO34" s="44"/>
      <c r="BP34" s="44"/>
      <c r="BQ34" s="44"/>
      <c r="BR34" s="44"/>
      <c r="BS34" s="44"/>
      <c r="BT34" s="44"/>
      <c r="BU34" s="44"/>
      <c r="BV34" s="46" t="str">
        <f t="shared" si="8"/>
        <v/>
      </c>
      <c r="BW34" s="50"/>
      <c r="BX34" s="50"/>
      <c r="BY34" s="50"/>
      <c r="BZ34" s="50"/>
      <c r="CA34" s="50"/>
      <c r="CB34" s="50"/>
      <c r="CC34" s="50"/>
      <c r="CD34" s="46" t="str">
        <f t="shared" si="9"/>
        <v/>
      </c>
      <c r="CE34" s="44"/>
      <c r="CF34" s="44"/>
      <c r="CG34" s="44"/>
      <c r="CH34" s="44"/>
      <c r="CI34" s="44"/>
      <c r="CJ34" s="44"/>
      <c r="CK34" s="44"/>
      <c r="CL34" s="46" t="str">
        <f t="shared" si="10"/>
        <v/>
      </c>
      <c r="CM34" s="44"/>
      <c r="CN34" s="44"/>
      <c r="CO34" s="44"/>
      <c r="CP34" s="44"/>
      <c r="CQ34" s="44"/>
      <c r="CR34" s="44"/>
      <c r="CS34" s="44"/>
      <c r="CT34" s="48" t="str">
        <f t="shared" si="11"/>
        <v/>
      </c>
    </row>
    <row r="35" spans="1:98" ht="40" customHeight="1" x14ac:dyDescent="0.15">
      <c r="A35" s="124" t="s">
        <v>101</v>
      </c>
      <c r="B35" s="51" t="s">
        <v>102</v>
      </c>
      <c r="C35" s="70"/>
      <c r="D35" s="44"/>
      <c r="E35" s="44"/>
      <c r="F35" s="44"/>
      <c r="G35" s="44"/>
      <c r="H35" s="44"/>
      <c r="I35" s="44"/>
      <c r="J35" s="45" t="str">
        <f t="shared" si="0"/>
        <v/>
      </c>
      <c r="K35" s="44"/>
      <c r="L35" s="44"/>
      <c r="M35" s="44"/>
      <c r="N35" s="44"/>
      <c r="O35" s="44"/>
      <c r="P35" s="44"/>
      <c r="Q35" s="44"/>
      <c r="R35" s="45" t="str">
        <f t="shared" si="1"/>
        <v/>
      </c>
      <c r="S35" s="44"/>
      <c r="T35" s="44"/>
      <c r="U35" s="44"/>
      <c r="V35" s="44"/>
      <c r="W35" s="44"/>
      <c r="X35" s="44"/>
      <c r="Y35" s="44"/>
      <c r="Z35" s="46" t="str">
        <f t="shared" si="2"/>
        <v/>
      </c>
      <c r="AA35" s="44"/>
      <c r="AB35" s="44"/>
      <c r="AC35" s="44"/>
      <c r="AD35" s="44"/>
      <c r="AE35" s="44"/>
      <c r="AF35" s="44"/>
      <c r="AG35" s="44"/>
      <c r="AH35" s="46" t="str">
        <f t="shared" si="3"/>
        <v/>
      </c>
      <c r="AI35" s="44"/>
      <c r="AJ35" s="44"/>
      <c r="AK35" s="44"/>
      <c r="AL35" s="44"/>
      <c r="AM35" s="44"/>
      <c r="AN35" s="44"/>
      <c r="AO35" s="44"/>
      <c r="AP35" s="46" t="str">
        <f t="shared" si="4"/>
        <v/>
      </c>
      <c r="AQ35" s="44"/>
      <c r="AR35" s="44"/>
      <c r="AS35" s="44"/>
      <c r="AT35" s="44"/>
      <c r="AU35" s="44"/>
      <c r="AV35" s="44"/>
      <c r="AW35" s="44"/>
      <c r="AX35" s="46" t="str">
        <f t="shared" si="5"/>
        <v/>
      </c>
      <c r="AY35" s="44"/>
      <c r="AZ35" s="44"/>
      <c r="BA35" s="44"/>
      <c r="BB35" s="44"/>
      <c r="BC35" s="44"/>
      <c r="BD35" s="44"/>
      <c r="BE35" s="44"/>
      <c r="BF35" s="46" t="str">
        <f t="shared" si="6"/>
        <v/>
      </c>
      <c r="BG35" s="44"/>
      <c r="BH35" s="44"/>
      <c r="BI35" s="44"/>
      <c r="BJ35" s="44"/>
      <c r="BK35" s="44"/>
      <c r="BL35" s="44"/>
      <c r="BM35" s="44"/>
      <c r="BN35" s="46" t="str">
        <f t="shared" si="7"/>
        <v/>
      </c>
      <c r="BO35" s="44"/>
      <c r="BP35" s="44"/>
      <c r="BQ35" s="44"/>
      <c r="BR35" s="44"/>
      <c r="BS35" s="44"/>
      <c r="BT35" s="44"/>
      <c r="BU35" s="44"/>
      <c r="BV35" s="46" t="str">
        <f t="shared" si="8"/>
        <v/>
      </c>
      <c r="BW35" s="50"/>
      <c r="BX35" s="50"/>
      <c r="BY35" s="50"/>
      <c r="BZ35" s="50"/>
      <c r="CA35" s="50"/>
      <c r="CB35" s="50"/>
      <c r="CC35" s="50"/>
      <c r="CD35" s="46" t="str">
        <f t="shared" si="9"/>
        <v/>
      </c>
      <c r="CE35" s="44"/>
      <c r="CF35" s="44"/>
      <c r="CG35" s="44"/>
      <c r="CH35" s="44"/>
      <c r="CI35" s="44"/>
      <c r="CJ35" s="44"/>
      <c r="CK35" s="44"/>
      <c r="CL35" s="46" t="str">
        <f t="shared" si="10"/>
        <v/>
      </c>
      <c r="CM35" s="44"/>
      <c r="CN35" s="44"/>
      <c r="CO35" s="44"/>
      <c r="CP35" s="44"/>
      <c r="CQ35" s="44"/>
      <c r="CR35" s="44"/>
      <c r="CS35" s="44"/>
      <c r="CT35" s="48" t="str">
        <f t="shared" si="11"/>
        <v/>
      </c>
    </row>
    <row r="36" spans="1:98" ht="40" customHeight="1" x14ac:dyDescent="0.15">
      <c r="A36" s="68" t="s">
        <v>103</v>
      </c>
      <c r="B36" s="122"/>
      <c r="C36" s="70"/>
      <c r="D36" s="44"/>
      <c r="E36" s="44"/>
      <c r="F36" s="44"/>
      <c r="G36" s="44"/>
      <c r="H36" s="44"/>
      <c r="I36" s="44"/>
      <c r="J36" s="45" t="str">
        <f t="shared" si="0"/>
        <v/>
      </c>
      <c r="K36" s="44"/>
      <c r="L36" s="44"/>
      <c r="M36" s="44"/>
      <c r="N36" s="44"/>
      <c r="O36" s="44"/>
      <c r="P36" s="44"/>
      <c r="Q36" s="44"/>
      <c r="R36" s="45" t="str">
        <f t="shared" si="1"/>
        <v/>
      </c>
      <c r="S36" s="44"/>
      <c r="T36" s="44"/>
      <c r="U36" s="44"/>
      <c r="V36" s="44"/>
      <c r="W36" s="44"/>
      <c r="X36" s="44"/>
      <c r="Y36" s="44"/>
      <c r="Z36" s="46" t="str">
        <f t="shared" si="2"/>
        <v/>
      </c>
      <c r="AA36" s="44"/>
      <c r="AB36" s="44"/>
      <c r="AC36" s="44"/>
      <c r="AD36" s="44"/>
      <c r="AE36" s="44"/>
      <c r="AF36" s="44"/>
      <c r="AG36" s="44"/>
      <c r="AH36" s="46" t="str">
        <f t="shared" si="3"/>
        <v/>
      </c>
      <c r="AI36" s="44"/>
      <c r="AJ36" s="44"/>
      <c r="AK36" s="44"/>
      <c r="AL36" s="44"/>
      <c r="AM36" s="44"/>
      <c r="AN36" s="44"/>
      <c r="AO36" s="44"/>
      <c r="AP36" s="46" t="str">
        <f t="shared" si="4"/>
        <v/>
      </c>
      <c r="AQ36" s="44"/>
      <c r="AR36" s="44"/>
      <c r="AS36" s="44"/>
      <c r="AT36" s="44"/>
      <c r="AU36" s="44"/>
      <c r="AV36" s="44"/>
      <c r="AW36" s="44"/>
      <c r="AX36" s="46" t="str">
        <f t="shared" si="5"/>
        <v/>
      </c>
      <c r="AY36" s="44"/>
      <c r="AZ36" s="44"/>
      <c r="BA36" s="44"/>
      <c r="BB36" s="44"/>
      <c r="BC36" s="44"/>
      <c r="BD36" s="44"/>
      <c r="BE36" s="44"/>
      <c r="BF36" s="46" t="str">
        <f t="shared" si="6"/>
        <v/>
      </c>
      <c r="BG36" s="44"/>
      <c r="BH36" s="44"/>
      <c r="BI36" s="44"/>
      <c r="BJ36" s="44"/>
      <c r="BK36" s="44"/>
      <c r="BL36" s="44"/>
      <c r="BM36" s="44"/>
      <c r="BN36" s="46" t="str">
        <f t="shared" si="7"/>
        <v/>
      </c>
      <c r="BO36" s="44"/>
      <c r="BP36" s="44"/>
      <c r="BQ36" s="44"/>
      <c r="BR36" s="44"/>
      <c r="BS36" s="44"/>
      <c r="BT36" s="44"/>
      <c r="BU36" s="44"/>
      <c r="BV36" s="46" t="str">
        <f t="shared" si="8"/>
        <v/>
      </c>
      <c r="BW36" s="50"/>
      <c r="BX36" s="50"/>
      <c r="BY36" s="50"/>
      <c r="BZ36" s="50"/>
      <c r="CA36" s="50"/>
      <c r="CB36" s="50"/>
      <c r="CC36" s="50"/>
      <c r="CD36" s="46" t="str">
        <f t="shared" si="9"/>
        <v/>
      </c>
      <c r="CE36" s="44"/>
      <c r="CF36" s="44"/>
      <c r="CG36" s="44"/>
      <c r="CH36" s="44"/>
      <c r="CI36" s="44"/>
      <c r="CJ36" s="44"/>
      <c r="CK36" s="44"/>
      <c r="CL36" s="46" t="str">
        <f t="shared" si="10"/>
        <v/>
      </c>
      <c r="CM36" s="44"/>
      <c r="CN36" s="44"/>
      <c r="CO36" s="44"/>
      <c r="CP36" s="44"/>
      <c r="CQ36" s="44"/>
      <c r="CR36" s="44"/>
      <c r="CS36" s="44"/>
      <c r="CT36" s="48" t="str">
        <f t="shared" si="11"/>
        <v/>
      </c>
    </row>
    <row r="37" spans="1:98" ht="40" customHeight="1" x14ac:dyDescent="0.15">
      <c r="A37" s="124" t="s">
        <v>104</v>
      </c>
      <c r="B37" s="51" t="s">
        <v>105</v>
      </c>
      <c r="C37" s="70"/>
      <c r="D37" s="44"/>
      <c r="E37" s="44"/>
      <c r="F37" s="44"/>
      <c r="G37" s="44"/>
      <c r="H37" s="44"/>
      <c r="I37" s="44"/>
      <c r="J37" s="45" t="str">
        <f t="shared" si="0"/>
        <v/>
      </c>
      <c r="K37" s="44"/>
      <c r="L37" s="44"/>
      <c r="M37" s="44"/>
      <c r="N37" s="44"/>
      <c r="O37" s="44"/>
      <c r="P37" s="44"/>
      <c r="Q37" s="44"/>
      <c r="R37" s="45" t="str">
        <f t="shared" si="1"/>
        <v/>
      </c>
      <c r="S37" s="44"/>
      <c r="T37" s="44"/>
      <c r="U37" s="44"/>
      <c r="V37" s="44"/>
      <c r="W37" s="44"/>
      <c r="X37" s="44"/>
      <c r="Y37" s="44"/>
      <c r="Z37" s="46" t="str">
        <f t="shared" si="2"/>
        <v/>
      </c>
      <c r="AA37" s="44"/>
      <c r="AB37" s="44"/>
      <c r="AC37" s="44"/>
      <c r="AD37" s="44"/>
      <c r="AE37" s="44"/>
      <c r="AF37" s="44"/>
      <c r="AG37" s="44"/>
      <c r="AH37" s="46" t="str">
        <f t="shared" si="3"/>
        <v/>
      </c>
      <c r="AI37" s="44"/>
      <c r="AJ37" s="44"/>
      <c r="AK37" s="44"/>
      <c r="AL37" s="44"/>
      <c r="AM37" s="44"/>
      <c r="AN37" s="44"/>
      <c r="AO37" s="44"/>
      <c r="AP37" s="46" t="str">
        <f t="shared" si="4"/>
        <v/>
      </c>
      <c r="AQ37" s="44"/>
      <c r="AR37" s="44"/>
      <c r="AS37" s="44"/>
      <c r="AT37" s="44"/>
      <c r="AU37" s="44"/>
      <c r="AV37" s="44"/>
      <c r="AW37" s="44"/>
      <c r="AX37" s="46" t="str">
        <f t="shared" si="5"/>
        <v/>
      </c>
      <c r="AY37" s="44"/>
      <c r="AZ37" s="44"/>
      <c r="BA37" s="44"/>
      <c r="BB37" s="44"/>
      <c r="BC37" s="44"/>
      <c r="BD37" s="44"/>
      <c r="BE37" s="44"/>
      <c r="BF37" s="46" t="str">
        <f t="shared" si="6"/>
        <v/>
      </c>
      <c r="BG37" s="44"/>
      <c r="BH37" s="44"/>
      <c r="BI37" s="44"/>
      <c r="BJ37" s="44"/>
      <c r="BK37" s="44"/>
      <c r="BL37" s="44"/>
      <c r="BM37" s="44"/>
      <c r="BN37" s="46" t="str">
        <f t="shared" si="7"/>
        <v/>
      </c>
      <c r="BO37" s="44"/>
      <c r="BP37" s="44"/>
      <c r="BQ37" s="44"/>
      <c r="BR37" s="44"/>
      <c r="BS37" s="44"/>
      <c r="BT37" s="44"/>
      <c r="BU37" s="44"/>
      <c r="BV37" s="46" t="str">
        <f t="shared" si="8"/>
        <v/>
      </c>
      <c r="BW37" s="50"/>
      <c r="BX37" s="50"/>
      <c r="BY37" s="50"/>
      <c r="BZ37" s="50"/>
      <c r="CA37" s="50"/>
      <c r="CB37" s="50"/>
      <c r="CC37" s="50"/>
      <c r="CD37" s="46" t="str">
        <f t="shared" si="9"/>
        <v/>
      </c>
      <c r="CE37" s="44"/>
      <c r="CF37" s="44"/>
      <c r="CG37" s="44"/>
      <c r="CH37" s="44"/>
      <c r="CI37" s="44"/>
      <c r="CJ37" s="44"/>
      <c r="CK37" s="44"/>
      <c r="CL37" s="46" t="str">
        <f t="shared" si="10"/>
        <v/>
      </c>
      <c r="CM37" s="44"/>
      <c r="CN37" s="44"/>
      <c r="CO37" s="44"/>
      <c r="CP37" s="44"/>
      <c r="CQ37" s="44"/>
      <c r="CR37" s="44"/>
      <c r="CS37" s="44"/>
      <c r="CT37" s="48" t="str">
        <f t="shared" si="11"/>
        <v/>
      </c>
    </row>
    <row r="38" spans="1:98" ht="40" customHeight="1" x14ac:dyDescent="0.15">
      <c r="A38" s="123" t="s">
        <v>106</v>
      </c>
      <c r="B38" s="49" t="s">
        <v>107</v>
      </c>
      <c r="C38" s="70"/>
      <c r="D38" s="44"/>
      <c r="E38" s="44"/>
      <c r="F38" s="44"/>
      <c r="G38" s="44"/>
      <c r="H38" s="44"/>
      <c r="I38" s="44"/>
      <c r="J38" s="45" t="str">
        <f t="shared" si="0"/>
        <v/>
      </c>
      <c r="K38" s="44"/>
      <c r="L38" s="44"/>
      <c r="M38" s="44"/>
      <c r="N38" s="44"/>
      <c r="O38" s="44"/>
      <c r="P38" s="44"/>
      <c r="Q38" s="44"/>
      <c r="R38" s="45" t="str">
        <f t="shared" si="1"/>
        <v/>
      </c>
      <c r="S38" s="44"/>
      <c r="T38" s="44"/>
      <c r="U38" s="44"/>
      <c r="V38" s="44"/>
      <c r="W38" s="44"/>
      <c r="X38" s="44"/>
      <c r="Y38" s="44"/>
      <c r="Z38" s="46" t="str">
        <f t="shared" si="2"/>
        <v/>
      </c>
      <c r="AA38" s="44"/>
      <c r="AB38" s="44"/>
      <c r="AC38" s="44"/>
      <c r="AD38" s="44"/>
      <c r="AE38" s="44"/>
      <c r="AF38" s="44"/>
      <c r="AG38" s="44"/>
      <c r="AH38" s="46" t="str">
        <f t="shared" si="3"/>
        <v/>
      </c>
      <c r="AI38" s="44"/>
      <c r="AJ38" s="44"/>
      <c r="AK38" s="44"/>
      <c r="AL38" s="44"/>
      <c r="AM38" s="44"/>
      <c r="AN38" s="44"/>
      <c r="AO38" s="44"/>
      <c r="AP38" s="46" t="str">
        <f t="shared" si="4"/>
        <v/>
      </c>
      <c r="AQ38" s="44"/>
      <c r="AR38" s="44"/>
      <c r="AS38" s="44"/>
      <c r="AT38" s="44"/>
      <c r="AU38" s="44"/>
      <c r="AV38" s="44"/>
      <c r="AW38" s="44"/>
      <c r="AX38" s="46" t="str">
        <f t="shared" si="5"/>
        <v/>
      </c>
      <c r="AY38" s="44"/>
      <c r="AZ38" s="44"/>
      <c r="BA38" s="44"/>
      <c r="BB38" s="44"/>
      <c r="BC38" s="44"/>
      <c r="BD38" s="44"/>
      <c r="BE38" s="44"/>
      <c r="BF38" s="46" t="str">
        <f t="shared" si="6"/>
        <v/>
      </c>
      <c r="BG38" s="44"/>
      <c r="BH38" s="44"/>
      <c r="BI38" s="44"/>
      <c r="BJ38" s="44"/>
      <c r="BK38" s="44"/>
      <c r="BL38" s="44"/>
      <c r="BM38" s="44"/>
      <c r="BN38" s="46" t="str">
        <f t="shared" si="7"/>
        <v/>
      </c>
      <c r="BO38" s="44"/>
      <c r="BP38" s="44"/>
      <c r="BQ38" s="44"/>
      <c r="BR38" s="44"/>
      <c r="BS38" s="44"/>
      <c r="BT38" s="44"/>
      <c r="BU38" s="44"/>
      <c r="BV38" s="46" t="str">
        <f t="shared" si="8"/>
        <v/>
      </c>
      <c r="BW38" s="50"/>
      <c r="BX38" s="50"/>
      <c r="BY38" s="50"/>
      <c r="BZ38" s="50"/>
      <c r="CA38" s="50"/>
      <c r="CB38" s="50"/>
      <c r="CC38" s="50"/>
      <c r="CD38" s="46" t="str">
        <f t="shared" si="9"/>
        <v/>
      </c>
      <c r="CE38" s="44"/>
      <c r="CF38" s="44"/>
      <c r="CG38" s="44"/>
      <c r="CH38" s="44"/>
      <c r="CI38" s="44"/>
      <c r="CJ38" s="44"/>
      <c r="CK38" s="44"/>
      <c r="CL38" s="46" t="str">
        <f t="shared" si="10"/>
        <v/>
      </c>
      <c r="CM38" s="44"/>
      <c r="CN38" s="44"/>
      <c r="CO38" s="44"/>
      <c r="CP38" s="44"/>
      <c r="CQ38" s="44"/>
      <c r="CR38" s="44"/>
      <c r="CS38" s="44"/>
      <c r="CT38" s="48" t="str">
        <f t="shared" si="11"/>
        <v/>
      </c>
    </row>
    <row r="39" spans="1:98" ht="40" customHeight="1" x14ac:dyDescent="0.15">
      <c r="A39" s="123" t="s">
        <v>108</v>
      </c>
      <c r="B39" s="49" t="s">
        <v>109</v>
      </c>
      <c r="C39" s="70"/>
      <c r="D39" s="44"/>
      <c r="E39" s="44"/>
      <c r="F39" s="44"/>
      <c r="G39" s="44"/>
      <c r="H39" s="44"/>
      <c r="I39" s="44"/>
      <c r="J39" s="45" t="str">
        <f t="shared" si="0"/>
        <v/>
      </c>
      <c r="K39" s="44"/>
      <c r="L39" s="44"/>
      <c r="M39" s="44"/>
      <c r="N39" s="44"/>
      <c r="O39" s="44"/>
      <c r="P39" s="44"/>
      <c r="Q39" s="44"/>
      <c r="R39" s="45" t="str">
        <f t="shared" si="1"/>
        <v/>
      </c>
      <c r="S39" s="44"/>
      <c r="T39" s="44"/>
      <c r="U39" s="44"/>
      <c r="V39" s="44"/>
      <c r="W39" s="44"/>
      <c r="X39" s="44"/>
      <c r="Y39" s="44"/>
      <c r="Z39" s="46" t="str">
        <f t="shared" si="2"/>
        <v/>
      </c>
      <c r="AA39" s="44"/>
      <c r="AB39" s="44"/>
      <c r="AC39" s="44"/>
      <c r="AD39" s="44"/>
      <c r="AE39" s="44"/>
      <c r="AF39" s="44"/>
      <c r="AG39" s="44"/>
      <c r="AH39" s="46" t="str">
        <f t="shared" si="3"/>
        <v/>
      </c>
      <c r="AI39" s="44"/>
      <c r="AJ39" s="44"/>
      <c r="AK39" s="44"/>
      <c r="AL39" s="44"/>
      <c r="AM39" s="44"/>
      <c r="AN39" s="44"/>
      <c r="AO39" s="44"/>
      <c r="AP39" s="46" t="str">
        <f t="shared" si="4"/>
        <v/>
      </c>
      <c r="AQ39" s="44"/>
      <c r="AR39" s="44"/>
      <c r="AS39" s="44"/>
      <c r="AT39" s="44"/>
      <c r="AU39" s="44"/>
      <c r="AV39" s="44"/>
      <c r="AW39" s="44"/>
      <c r="AX39" s="46" t="str">
        <f t="shared" si="5"/>
        <v/>
      </c>
      <c r="AY39" s="44"/>
      <c r="AZ39" s="44"/>
      <c r="BA39" s="44"/>
      <c r="BB39" s="44"/>
      <c r="BC39" s="44"/>
      <c r="BD39" s="44"/>
      <c r="BE39" s="44"/>
      <c r="BF39" s="46" t="str">
        <f t="shared" si="6"/>
        <v/>
      </c>
      <c r="BG39" s="44"/>
      <c r="BH39" s="44"/>
      <c r="BI39" s="44"/>
      <c r="BJ39" s="44"/>
      <c r="BK39" s="44"/>
      <c r="BL39" s="44"/>
      <c r="BM39" s="44"/>
      <c r="BN39" s="46" t="str">
        <f t="shared" si="7"/>
        <v/>
      </c>
      <c r="BO39" s="44"/>
      <c r="BP39" s="44"/>
      <c r="BQ39" s="44"/>
      <c r="BR39" s="44"/>
      <c r="BS39" s="44"/>
      <c r="BT39" s="44"/>
      <c r="BU39" s="44"/>
      <c r="BV39" s="46" t="str">
        <f t="shared" si="8"/>
        <v/>
      </c>
      <c r="BW39" s="50"/>
      <c r="BX39" s="50"/>
      <c r="BY39" s="50"/>
      <c r="BZ39" s="50"/>
      <c r="CA39" s="50"/>
      <c r="CB39" s="50"/>
      <c r="CC39" s="50"/>
      <c r="CD39" s="46" t="str">
        <f t="shared" si="9"/>
        <v/>
      </c>
      <c r="CE39" s="44"/>
      <c r="CF39" s="44"/>
      <c r="CG39" s="44"/>
      <c r="CH39" s="44"/>
      <c r="CI39" s="44"/>
      <c r="CJ39" s="44"/>
      <c r="CK39" s="44"/>
      <c r="CL39" s="46" t="str">
        <f t="shared" si="10"/>
        <v/>
      </c>
      <c r="CM39" s="44"/>
      <c r="CN39" s="44"/>
      <c r="CO39" s="44"/>
      <c r="CP39" s="44"/>
      <c r="CQ39" s="44"/>
      <c r="CR39" s="44"/>
      <c r="CS39" s="44"/>
      <c r="CT39" s="48" t="str">
        <f t="shared" si="11"/>
        <v/>
      </c>
    </row>
    <row r="40" spans="1:98" ht="40" customHeight="1" x14ac:dyDescent="0.15">
      <c r="A40" s="124" t="s">
        <v>110</v>
      </c>
      <c r="B40" s="51" t="s">
        <v>111</v>
      </c>
      <c r="C40" s="70"/>
      <c r="D40" s="44"/>
      <c r="E40" s="44"/>
      <c r="F40" s="44"/>
      <c r="G40" s="44"/>
      <c r="H40" s="44"/>
      <c r="I40" s="44"/>
      <c r="J40" s="45" t="str">
        <f t="shared" si="0"/>
        <v/>
      </c>
      <c r="K40" s="44"/>
      <c r="L40" s="44"/>
      <c r="M40" s="44"/>
      <c r="N40" s="44"/>
      <c r="O40" s="44"/>
      <c r="P40" s="44"/>
      <c r="Q40" s="44"/>
      <c r="R40" s="45" t="str">
        <f t="shared" si="1"/>
        <v/>
      </c>
      <c r="S40" s="44"/>
      <c r="T40" s="44"/>
      <c r="U40" s="44"/>
      <c r="V40" s="44"/>
      <c r="W40" s="44"/>
      <c r="X40" s="44"/>
      <c r="Y40" s="44"/>
      <c r="Z40" s="46" t="str">
        <f t="shared" si="2"/>
        <v/>
      </c>
      <c r="AA40" s="44"/>
      <c r="AB40" s="44"/>
      <c r="AC40" s="44"/>
      <c r="AD40" s="44"/>
      <c r="AE40" s="44"/>
      <c r="AF40" s="44"/>
      <c r="AG40" s="44"/>
      <c r="AH40" s="46" t="str">
        <f t="shared" si="3"/>
        <v/>
      </c>
      <c r="AI40" s="44"/>
      <c r="AJ40" s="44"/>
      <c r="AK40" s="44"/>
      <c r="AL40" s="44"/>
      <c r="AM40" s="44"/>
      <c r="AN40" s="44"/>
      <c r="AO40" s="44"/>
      <c r="AP40" s="46" t="str">
        <f t="shared" si="4"/>
        <v/>
      </c>
      <c r="AQ40" s="44"/>
      <c r="AR40" s="44"/>
      <c r="AS40" s="44"/>
      <c r="AT40" s="44"/>
      <c r="AU40" s="44"/>
      <c r="AV40" s="44"/>
      <c r="AW40" s="44"/>
      <c r="AX40" s="46" t="str">
        <f t="shared" si="5"/>
        <v/>
      </c>
      <c r="AY40" s="44"/>
      <c r="AZ40" s="44"/>
      <c r="BA40" s="44"/>
      <c r="BB40" s="44"/>
      <c r="BC40" s="44"/>
      <c r="BD40" s="44"/>
      <c r="BE40" s="44"/>
      <c r="BF40" s="46" t="str">
        <f t="shared" si="6"/>
        <v/>
      </c>
      <c r="BG40" s="44"/>
      <c r="BH40" s="44"/>
      <c r="BI40" s="44"/>
      <c r="BJ40" s="44"/>
      <c r="BK40" s="44"/>
      <c r="BL40" s="44"/>
      <c r="BM40" s="44"/>
      <c r="BN40" s="46" t="str">
        <f t="shared" si="7"/>
        <v/>
      </c>
      <c r="BO40" s="44"/>
      <c r="BP40" s="44"/>
      <c r="BQ40" s="44"/>
      <c r="BR40" s="44"/>
      <c r="BS40" s="44"/>
      <c r="BT40" s="44"/>
      <c r="BU40" s="44"/>
      <c r="BV40" s="46" t="str">
        <f t="shared" si="8"/>
        <v/>
      </c>
      <c r="BW40" s="50"/>
      <c r="BX40" s="50"/>
      <c r="BY40" s="50"/>
      <c r="BZ40" s="50"/>
      <c r="CA40" s="50"/>
      <c r="CB40" s="50"/>
      <c r="CC40" s="50"/>
      <c r="CD40" s="46" t="str">
        <f t="shared" si="9"/>
        <v/>
      </c>
      <c r="CE40" s="44"/>
      <c r="CF40" s="44"/>
      <c r="CG40" s="44"/>
      <c r="CH40" s="44"/>
      <c r="CI40" s="44"/>
      <c r="CJ40" s="44"/>
      <c r="CK40" s="44"/>
      <c r="CL40" s="46" t="str">
        <f t="shared" si="10"/>
        <v/>
      </c>
      <c r="CM40" s="44"/>
      <c r="CN40" s="44"/>
      <c r="CO40" s="44"/>
      <c r="CP40" s="44"/>
      <c r="CQ40" s="44"/>
      <c r="CR40" s="44"/>
      <c r="CS40" s="44"/>
      <c r="CT40" s="48" t="str">
        <f t="shared" si="11"/>
        <v/>
      </c>
    </row>
    <row r="41" spans="1:98" ht="40" customHeight="1" x14ac:dyDescent="0.15">
      <c r="A41" s="123" t="s">
        <v>112</v>
      </c>
      <c r="B41" s="49" t="s">
        <v>113</v>
      </c>
      <c r="C41" s="70"/>
      <c r="D41" s="44"/>
      <c r="E41" s="44"/>
      <c r="F41" s="44"/>
      <c r="G41" s="44"/>
      <c r="H41" s="44"/>
      <c r="I41" s="44"/>
      <c r="J41" s="45" t="str">
        <f t="shared" ref="J41:J72" si="12">IFERROR((SUM(C41:I41)/SUM($C$7:$I$7))*100,"")</f>
        <v/>
      </c>
      <c r="K41" s="44"/>
      <c r="L41" s="44"/>
      <c r="M41" s="44"/>
      <c r="N41" s="44"/>
      <c r="O41" s="44"/>
      <c r="P41" s="44"/>
      <c r="Q41" s="44"/>
      <c r="R41" s="45" t="str">
        <f t="shared" ref="R41:R72" si="13">IFERROR((SUM(K41:Q41)/SUM($K$7:$Q$7))*100,"")</f>
        <v/>
      </c>
      <c r="S41" s="44"/>
      <c r="T41" s="44"/>
      <c r="U41" s="44"/>
      <c r="V41" s="44"/>
      <c r="W41" s="44"/>
      <c r="X41" s="44"/>
      <c r="Y41" s="44"/>
      <c r="Z41" s="46" t="str">
        <f t="shared" ref="Z41:Z72" si="14">IFERROR((SUM(S41:Y41)/SUM($S$7:$Y$7))*100,"")</f>
        <v/>
      </c>
      <c r="AA41" s="44"/>
      <c r="AB41" s="44"/>
      <c r="AC41" s="44"/>
      <c r="AD41" s="44"/>
      <c r="AE41" s="44"/>
      <c r="AF41" s="44"/>
      <c r="AG41" s="44"/>
      <c r="AH41" s="46" t="str">
        <f t="shared" ref="AH41:AH72" si="15">IFERROR(SUM(AA41:AG41)/SUM($AA$7:$AG$7)*100,"")</f>
        <v/>
      </c>
      <c r="AI41" s="44"/>
      <c r="AJ41" s="44"/>
      <c r="AK41" s="44"/>
      <c r="AL41" s="44"/>
      <c r="AM41" s="44"/>
      <c r="AN41" s="44"/>
      <c r="AO41" s="44"/>
      <c r="AP41" s="46" t="str">
        <f t="shared" ref="AP41:AP72" si="16">IFERROR(SUM(AI41:AO41)/SUM($AI$7:$AO$7)*100,"")</f>
        <v/>
      </c>
      <c r="AQ41" s="44"/>
      <c r="AR41" s="44"/>
      <c r="AS41" s="44"/>
      <c r="AT41" s="44"/>
      <c r="AU41" s="44"/>
      <c r="AV41" s="44"/>
      <c r="AW41" s="44"/>
      <c r="AX41" s="46" t="str">
        <f t="shared" ref="AX41:AX72" si="17">IFERROR((SUM(AQ41:AW41)/SUM($AQ$7:$AW$7))*100,"")</f>
        <v/>
      </c>
      <c r="AY41" s="44"/>
      <c r="AZ41" s="44"/>
      <c r="BA41" s="44"/>
      <c r="BB41" s="44"/>
      <c r="BC41" s="44"/>
      <c r="BD41" s="44"/>
      <c r="BE41" s="44"/>
      <c r="BF41" s="46" t="str">
        <f t="shared" ref="BF41:BF72" si="18">IFERROR((SUM(AY41:BE41)/SUM($AY$7:$BE$7))*100,"")</f>
        <v/>
      </c>
      <c r="BG41" s="44"/>
      <c r="BH41" s="44"/>
      <c r="BI41" s="44"/>
      <c r="BJ41" s="44"/>
      <c r="BK41" s="44"/>
      <c r="BL41" s="44"/>
      <c r="BM41" s="44"/>
      <c r="BN41" s="46" t="str">
        <f t="shared" ref="BN41:BN72" si="19">IFERROR((SUM(BG41:BM41)/SUM($BG$7:$BM$7))*100,"")</f>
        <v/>
      </c>
      <c r="BO41" s="44"/>
      <c r="BP41" s="44"/>
      <c r="BQ41" s="44"/>
      <c r="BR41" s="44"/>
      <c r="BS41" s="44"/>
      <c r="BT41" s="44"/>
      <c r="BU41" s="44"/>
      <c r="BV41" s="46" t="str">
        <f t="shared" ref="BV41:BV72" si="20">IFERROR((SUM(BO41:BU41)/SUM($BO$7:$BU$7))*100,"")</f>
        <v/>
      </c>
      <c r="BW41" s="50"/>
      <c r="BX41" s="50"/>
      <c r="BY41" s="50"/>
      <c r="BZ41" s="50"/>
      <c r="CA41" s="50"/>
      <c r="CB41" s="50"/>
      <c r="CC41" s="50"/>
      <c r="CD41" s="46" t="str">
        <f t="shared" ref="CD41:CD72" si="21">IFERROR((SUM(BW41:CC41)/SUM($BW$7:$CC$7))*100,"")</f>
        <v/>
      </c>
      <c r="CE41" s="44"/>
      <c r="CF41" s="44"/>
      <c r="CG41" s="44"/>
      <c r="CH41" s="44"/>
      <c r="CI41" s="44"/>
      <c r="CJ41" s="44"/>
      <c r="CK41" s="44"/>
      <c r="CL41" s="46" t="str">
        <f t="shared" ref="CL41:CL72" si="22">IFERROR((SUM(CE41:CK41)/SUM($CE$7:$CK$7))*100,"")</f>
        <v/>
      </c>
      <c r="CM41" s="44"/>
      <c r="CN41" s="44"/>
      <c r="CO41" s="44"/>
      <c r="CP41" s="44"/>
      <c r="CQ41" s="44"/>
      <c r="CR41" s="44"/>
      <c r="CS41" s="44"/>
      <c r="CT41" s="48" t="str">
        <f t="shared" ref="CT41:CT72" si="23">IFERROR((SUM(CM41:CS41)/SUM($CM$7:$CS$7))*100,"")</f>
        <v/>
      </c>
    </row>
    <row r="42" spans="1:98" ht="40" customHeight="1" x14ac:dyDescent="0.15">
      <c r="A42" s="124" t="s">
        <v>114</v>
      </c>
      <c r="B42" s="51" t="s">
        <v>115</v>
      </c>
      <c r="C42" s="70"/>
      <c r="D42" s="44"/>
      <c r="E42" s="44"/>
      <c r="F42" s="44"/>
      <c r="G42" s="44"/>
      <c r="H42" s="44"/>
      <c r="I42" s="44"/>
      <c r="J42" s="45" t="str">
        <f t="shared" si="12"/>
        <v/>
      </c>
      <c r="K42" s="44"/>
      <c r="L42" s="44"/>
      <c r="M42" s="44"/>
      <c r="N42" s="44"/>
      <c r="O42" s="44"/>
      <c r="P42" s="44"/>
      <c r="Q42" s="44"/>
      <c r="R42" s="45" t="str">
        <f t="shared" si="13"/>
        <v/>
      </c>
      <c r="S42" s="44"/>
      <c r="T42" s="44"/>
      <c r="U42" s="44"/>
      <c r="V42" s="44"/>
      <c r="W42" s="44"/>
      <c r="X42" s="44"/>
      <c r="Y42" s="44"/>
      <c r="Z42" s="46" t="str">
        <f t="shared" si="14"/>
        <v/>
      </c>
      <c r="AA42" s="44"/>
      <c r="AB42" s="44"/>
      <c r="AC42" s="44"/>
      <c r="AD42" s="44"/>
      <c r="AE42" s="44"/>
      <c r="AF42" s="44"/>
      <c r="AG42" s="44"/>
      <c r="AH42" s="46" t="str">
        <f t="shared" si="15"/>
        <v/>
      </c>
      <c r="AI42" s="44"/>
      <c r="AJ42" s="44"/>
      <c r="AK42" s="44"/>
      <c r="AL42" s="44"/>
      <c r="AM42" s="44"/>
      <c r="AN42" s="44"/>
      <c r="AO42" s="44"/>
      <c r="AP42" s="46" t="str">
        <f t="shared" si="16"/>
        <v/>
      </c>
      <c r="AQ42" s="44"/>
      <c r="AR42" s="44"/>
      <c r="AS42" s="44"/>
      <c r="AT42" s="44"/>
      <c r="AU42" s="44"/>
      <c r="AV42" s="44"/>
      <c r="AW42" s="44"/>
      <c r="AX42" s="46" t="str">
        <f t="shared" si="17"/>
        <v/>
      </c>
      <c r="AY42" s="44"/>
      <c r="AZ42" s="44"/>
      <c r="BA42" s="44"/>
      <c r="BB42" s="44"/>
      <c r="BC42" s="44"/>
      <c r="BD42" s="44"/>
      <c r="BE42" s="44"/>
      <c r="BF42" s="46" t="str">
        <f t="shared" si="18"/>
        <v/>
      </c>
      <c r="BG42" s="44"/>
      <c r="BH42" s="44"/>
      <c r="BI42" s="44"/>
      <c r="BJ42" s="44"/>
      <c r="BK42" s="44"/>
      <c r="BL42" s="44"/>
      <c r="BM42" s="44"/>
      <c r="BN42" s="46" t="str">
        <f t="shared" si="19"/>
        <v/>
      </c>
      <c r="BO42" s="44"/>
      <c r="BP42" s="44"/>
      <c r="BQ42" s="44"/>
      <c r="BR42" s="44"/>
      <c r="BS42" s="44"/>
      <c r="BT42" s="44"/>
      <c r="BU42" s="44"/>
      <c r="BV42" s="46" t="str">
        <f t="shared" si="20"/>
        <v/>
      </c>
      <c r="BW42" s="50"/>
      <c r="BX42" s="50"/>
      <c r="BY42" s="50"/>
      <c r="BZ42" s="50"/>
      <c r="CA42" s="50"/>
      <c r="CB42" s="50"/>
      <c r="CC42" s="50"/>
      <c r="CD42" s="46" t="str">
        <f t="shared" si="21"/>
        <v/>
      </c>
      <c r="CE42" s="44"/>
      <c r="CF42" s="44"/>
      <c r="CG42" s="44"/>
      <c r="CH42" s="44"/>
      <c r="CI42" s="44"/>
      <c r="CJ42" s="44"/>
      <c r="CK42" s="44"/>
      <c r="CL42" s="46" t="str">
        <f t="shared" si="22"/>
        <v/>
      </c>
      <c r="CM42" s="44"/>
      <c r="CN42" s="44"/>
      <c r="CO42" s="44"/>
      <c r="CP42" s="44"/>
      <c r="CQ42" s="44"/>
      <c r="CR42" s="44"/>
      <c r="CS42" s="44"/>
      <c r="CT42" s="48" t="str">
        <f t="shared" si="23"/>
        <v/>
      </c>
    </row>
    <row r="43" spans="1:98" ht="40" customHeight="1" x14ac:dyDescent="0.15">
      <c r="A43" s="123" t="s">
        <v>116</v>
      </c>
      <c r="B43" s="49" t="s">
        <v>117</v>
      </c>
      <c r="C43" s="70"/>
      <c r="D43" s="44"/>
      <c r="E43" s="44"/>
      <c r="F43" s="44"/>
      <c r="G43" s="44"/>
      <c r="H43" s="44"/>
      <c r="I43" s="44"/>
      <c r="J43" s="45" t="str">
        <f t="shared" si="12"/>
        <v/>
      </c>
      <c r="K43" s="44"/>
      <c r="L43" s="44"/>
      <c r="M43" s="44"/>
      <c r="N43" s="44"/>
      <c r="O43" s="44"/>
      <c r="P43" s="44"/>
      <c r="Q43" s="44"/>
      <c r="R43" s="45" t="str">
        <f t="shared" si="13"/>
        <v/>
      </c>
      <c r="S43" s="44"/>
      <c r="T43" s="44"/>
      <c r="U43" s="44"/>
      <c r="V43" s="44"/>
      <c r="W43" s="44"/>
      <c r="X43" s="44"/>
      <c r="Y43" s="44"/>
      <c r="Z43" s="46" t="str">
        <f t="shared" si="14"/>
        <v/>
      </c>
      <c r="AA43" s="44"/>
      <c r="AB43" s="44"/>
      <c r="AC43" s="44"/>
      <c r="AD43" s="44"/>
      <c r="AE43" s="44"/>
      <c r="AF43" s="44"/>
      <c r="AG43" s="44"/>
      <c r="AH43" s="46" t="str">
        <f t="shared" si="15"/>
        <v/>
      </c>
      <c r="AI43" s="44"/>
      <c r="AJ43" s="44"/>
      <c r="AK43" s="44"/>
      <c r="AL43" s="44"/>
      <c r="AM43" s="44"/>
      <c r="AN43" s="44"/>
      <c r="AO43" s="44"/>
      <c r="AP43" s="46" t="str">
        <f t="shared" si="16"/>
        <v/>
      </c>
      <c r="AQ43" s="44"/>
      <c r="AR43" s="44"/>
      <c r="AS43" s="44"/>
      <c r="AT43" s="44"/>
      <c r="AU43" s="44"/>
      <c r="AV43" s="44"/>
      <c r="AW43" s="44"/>
      <c r="AX43" s="46" t="str">
        <f t="shared" si="17"/>
        <v/>
      </c>
      <c r="AY43" s="44"/>
      <c r="AZ43" s="44"/>
      <c r="BA43" s="44"/>
      <c r="BB43" s="44"/>
      <c r="BC43" s="44"/>
      <c r="BD43" s="44"/>
      <c r="BE43" s="44"/>
      <c r="BF43" s="46" t="str">
        <f t="shared" si="18"/>
        <v/>
      </c>
      <c r="BG43" s="44"/>
      <c r="BH43" s="44"/>
      <c r="BI43" s="44"/>
      <c r="BJ43" s="44"/>
      <c r="BK43" s="44"/>
      <c r="BL43" s="44"/>
      <c r="BM43" s="44"/>
      <c r="BN43" s="46" t="str">
        <f t="shared" si="19"/>
        <v/>
      </c>
      <c r="BO43" s="44"/>
      <c r="BP43" s="44"/>
      <c r="BQ43" s="44"/>
      <c r="BR43" s="44"/>
      <c r="BS43" s="44"/>
      <c r="BT43" s="44"/>
      <c r="BU43" s="44"/>
      <c r="BV43" s="46" t="str">
        <f t="shared" si="20"/>
        <v/>
      </c>
      <c r="BW43" s="50"/>
      <c r="BX43" s="50"/>
      <c r="BY43" s="50"/>
      <c r="BZ43" s="50"/>
      <c r="CA43" s="50"/>
      <c r="CB43" s="50"/>
      <c r="CC43" s="50"/>
      <c r="CD43" s="46" t="str">
        <f t="shared" si="21"/>
        <v/>
      </c>
      <c r="CE43" s="44"/>
      <c r="CF43" s="44"/>
      <c r="CG43" s="44"/>
      <c r="CH43" s="44"/>
      <c r="CI43" s="44"/>
      <c r="CJ43" s="44"/>
      <c r="CK43" s="44"/>
      <c r="CL43" s="46" t="str">
        <f t="shared" si="22"/>
        <v/>
      </c>
      <c r="CM43" s="44"/>
      <c r="CN43" s="44"/>
      <c r="CO43" s="44"/>
      <c r="CP43" s="44"/>
      <c r="CQ43" s="44"/>
      <c r="CR43" s="44"/>
      <c r="CS43" s="44"/>
      <c r="CT43" s="48" t="str">
        <f t="shared" si="23"/>
        <v/>
      </c>
    </row>
    <row r="44" spans="1:98" ht="40" customHeight="1" x14ac:dyDescent="0.15">
      <c r="A44" s="124" t="s">
        <v>118</v>
      </c>
      <c r="B44" s="51" t="s">
        <v>119</v>
      </c>
      <c r="C44" s="70"/>
      <c r="D44" s="44"/>
      <c r="E44" s="44"/>
      <c r="F44" s="44"/>
      <c r="G44" s="44"/>
      <c r="H44" s="44"/>
      <c r="I44" s="44"/>
      <c r="J44" s="45" t="str">
        <f t="shared" si="12"/>
        <v/>
      </c>
      <c r="K44" s="44"/>
      <c r="L44" s="44"/>
      <c r="M44" s="44"/>
      <c r="N44" s="44"/>
      <c r="O44" s="44"/>
      <c r="P44" s="44"/>
      <c r="Q44" s="44"/>
      <c r="R44" s="45" t="str">
        <f t="shared" si="13"/>
        <v/>
      </c>
      <c r="S44" s="44"/>
      <c r="T44" s="44"/>
      <c r="U44" s="44"/>
      <c r="V44" s="44"/>
      <c r="W44" s="44"/>
      <c r="X44" s="44"/>
      <c r="Y44" s="44"/>
      <c r="Z44" s="46" t="str">
        <f t="shared" si="14"/>
        <v/>
      </c>
      <c r="AA44" s="44"/>
      <c r="AB44" s="44"/>
      <c r="AC44" s="44"/>
      <c r="AD44" s="44"/>
      <c r="AE44" s="44"/>
      <c r="AF44" s="44"/>
      <c r="AG44" s="44"/>
      <c r="AH44" s="46" t="str">
        <f t="shared" si="15"/>
        <v/>
      </c>
      <c r="AI44" s="44"/>
      <c r="AJ44" s="44"/>
      <c r="AK44" s="44"/>
      <c r="AL44" s="44"/>
      <c r="AM44" s="44"/>
      <c r="AN44" s="44"/>
      <c r="AO44" s="44"/>
      <c r="AP44" s="46" t="str">
        <f t="shared" si="16"/>
        <v/>
      </c>
      <c r="AQ44" s="44"/>
      <c r="AR44" s="44"/>
      <c r="AS44" s="44"/>
      <c r="AT44" s="44"/>
      <c r="AU44" s="44"/>
      <c r="AV44" s="44"/>
      <c r="AW44" s="44"/>
      <c r="AX44" s="46" t="str">
        <f t="shared" si="17"/>
        <v/>
      </c>
      <c r="AY44" s="44"/>
      <c r="AZ44" s="44"/>
      <c r="BA44" s="44"/>
      <c r="BB44" s="44"/>
      <c r="BC44" s="44"/>
      <c r="BD44" s="44"/>
      <c r="BE44" s="44"/>
      <c r="BF44" s="46" t="str">
        <f t="shared" si="18"/>
        <v/>
      </c>
      <c r="BG44" s="44"/>
      <c r="BH44" s="44"/>
      <c r="BI44" s="44"/>
      <c r="BJ44" s="44"/>
      <c r="BK44" s="44"/>
      <c r="BL44" s="44"/>
      <c r="BM44" s="44"/>
      <c r="BN44" s="46" t="str">
        <f t="shared" si="19"/>
        <v/>
      </c>
      <c r="BO44" s="44"/>
      <c r="BP44" s="44"/>
      <c r="BQ44" s="44"/>
      <c r="BR44" s="44"/>
      <c r="BS44" s="44"/>
      <c r="BT44" s="44"/>
      <c r="BU44" s="44"/>
      <c r="BV44" s="46" t="str">
        <f t="shared" si="20"/>
        <v/>
      </c>
      <c r="BW44" s="50"/>
      <c r="BX44" s="50"/>
      <c r="BY44" s="50"/>
      <c r="BZ44" s="50"/>
      <c r="CA44" s="50"/>
      <c r="CB44" s="50"/>
      <c r="CC44" s="50"/>
      <c r="CD44" s="46" t="str">
        <f t="shared" si="21"/>
        <v/>
      </c>
      <c r="CE44" s="44"/>
      <c r="CF44" s="44"/>
      <c r="CG44" s="44"/>
      <c r="CH44" s="44"/>
      <c r="CI44" s="44"/>
      <c r="CJ44" s="44"/>
      <c r="CK44" s="44"/>
      <c r="CL44" s="46" t="str">
        <f t="shared" si="22"/>
        <v/>
      </c>
      <c r="CM44" s="44"/>
      <c r="CN44" s="44"/>
      <c r="CO44" s="44"/>
      <c r="CP44" s="44"/>
      <c r="CQ44" s="44"/>
      <c r="CR44" s="44"/>
      <c r="CS44" s="44"/>
      <c r="CT44" s="48" t="str">
        <f t="shared" si="23"/>
        <v/>
      </c>
    </row>
    <row r="45" spans="1:98" ht="40" customHeight="1" x14ac:dyDescent="0.15">
      <c r="A45" s="123" t="s">
        <v>120</v>
      </c>
      <c r="B45" s="49" t="s">
        <v>121</v>
      </c>
      <c r="C45" s="70"/>
      <c r="D45" s="44"/>
      <c r="E45" s="44"/>
      <c r="F45" s="44"/>
      <c r="G45" s="44"/>
      <c r="H45" s="44"/>
      <c r="I45" s="44"/>
      <c r="J45" s="45" t="str">
        <f t="shared" si="12"/>
        <v/>
      </c>
      <c r="K45" s="44"/>
      <c r="L45" s="44"/>
      <c r="M45" s="44"/>
      <c r="N45" s="44"/>
      <c r="O45" s="44"/>
      <c r="P45" s="44"/>
      <c r="Q45" s="44"/>
      <c r="R45" s="45" t="str">
        <f t="shared" si="13"/>
        <v/>
      </c>
      <c r="S45" s="44"/>
      <c r="T45" s="44"/>
      <c r="U45" s="44"/>
      <c r="V45" s="44"/>
      <c r="W45" s="44"/>
      <c r="X45" s="44"/>
      <c r="Y45" s="44"/>
      <c r="Z45" s="46" t="str">
        <f t="shared" si="14"/>
        <v/>
      </c>
      <c r="AA45" s="44"/>
      <c r="AB45" s="44"/>
      <c r="AC45" s="44"/>
      <c r="AD45" s="44"/>
      <c r="AE45" s="44"/>
      <c r="AF45" s="44"/>
      <c r="AG45" s="44"/>
      <c r="AH45" s="46" t="str">
        <f t="shared" si="15"/>
        <v/>
      </c>
      <c r="AI45" s="44"/>
      <c r="AJ45" s="44"/>
      <c r="AK45" s="44"/>
      <c r="AL45" s="44"/>
      <c r="AM45" s="44"/>
      <c r="AN45" s="44"/>
      <c r="AO45" s="44"/>
      <c r="AP45" s="46" t="str">
        <f t="shared" si="16"/>
        <v/>
      </c>
      <c r="AQ45" s="44"/>
      <c r="AR45" s="44"/>
      <c r="AS45" s="44"/>
      <c r="AT45" s="44"/>
      <c r="AU45" s="44"/>
      <c r="AV45" s="44"/>
      <c r="AW45" s="44"/>
      <c r="AX45" s="46" t="str">
        <f t="shared" si="17"/>
        <v/>
      </c>
      <c r="AY45" s="44"/>
      <c r="AZ45" s="44"/>
      <c r="BA45" s="44"/>
      <c r="BB45" s="44"/>
      <c r="BC45" s="44"/>
      <c r="BD45" s="44"/>
      <c r="BE45" s="44"/>
      <c r="BF45" s="46" t="str">
        <f t="shared" si="18"/>
        <v/>
      </c>
      <c r="BG45" s="44"/>
      <c r="BH45" s="44"/>
      <c r="BI45" s="44"/>
      <c r="BJ45" s="44"/>
      <c r="BK45" s="44"/>
      <c r="BL45" s="44"/>
      <c r="BM45" s="44"/>
      <c r="BN45" s="46" t="str">
        <f t="shared" si="19"/>
        <v/>
      </c>
      <c r="BO45" s="44"/>
      <c r="BP45" s="44"/>
      <c r="BQ45" s="44"/>
      <c r="BR45" s="44"/>
      <c r="BS45" s="44"/>
      <c r="BT45" s="44"/>
      <c r="BU45" s="44"/>
      <c r="BV45" s="46" t="str">
        <f t="shared" si="20"/>
        <v/>
      </c>
      <c r="BW45" s="50"/>
      <c r="BX45" s="50"/>
      <c r="BY45" s="50"/>
      <c r="BZ45" s="50"/>
      <c r="CA45" s="50"/>
      <c r="CB45" s="50"/>
      <c r="CC45" s="50"/>
      <c r="CD45" s="46" t="str">
        <f t="shared" si="21"/>
        <v/>
      </c>
      <c r="CE45" s="44"/>
      <c r="CF45" s="44"/>
      <c r="CG45" s="44"/>
      <c r="CH45" s="44"/>
      <c r="CI45" s="44"/>
      <c r="CJ45" s="44"/>
      <c r="CK45" s="44"/>
      <c r="CL45" s="46" t="str">
        <f t="shared" si="22"/>
        <v/>
      </c>
      <c r="CM45" s="44"/>
      <c r="CN45" s="44"/>
      <c r="CO45" s="44"/>
      <c r="CP45" s="44"/>
      <c r="CQ45" s="44"/>
      <c r="CR45" s="44"/>
      <c r="CS45" s="44"/>
      <c r="CT45" s="48" t="str">
        <f t="shared" si="23"/>
        <v/>
      </c>
    </row>
    <row r="46" spans="1:98" ht="40" customHeight="1" x14ac:dyDescent="0.15">
      <c r="A46" s="124" t="s">
        <v>122</v>
      </c>
      <c r="B46" s="51" t="s">
        <v>123</v>
      </c>
      <c r="C46" s="70"/>
      <c r="D46" s="44"/>
      <c r="E46" s="44"/>
      <c r="F46" s="44"/>
      <c r="G46" s="44"/>
      <c r="H46" s="44"/>
      <c r="I46" s="44"/>
      <c r="J46" s="45" t="str">
        <f t="shared" si="12"/>
        <v/>
      </c>
      <c r="K46" s="44"/>
      <c r="L46" s="44"/>
      <c r="M46" s="44"/>
      <c r="N46" s="44"/>
      <c r="O46" s="44"/>
      <c r="P46" s="44"/>
      <c r="Q46" s="44"/>
      <c r="R46" s="45" t="str">
        <f t="shared" si="13"/>
        <v/>
      </c>
      <c r="S46" s="44"/>
      <c r="T46" s="44"/>
      <c r="U46" s="44"/>
      <c r="V46" s="44"/>
      <c r="W46" s="44"/>
      <c r="X46" s="44"/>
      <c r="Y46" s="44"/>
      <c r="Z46" s="46" t="str">
        <f t="shared" si="14"/>
        <v/>
      </c>
      <c r="AA46" s="44"/>
      <c r="AB46" s="44"/>
      <c r="AC46" s="44"/>
      <c r="AD46" s="44"/>
      <c r="AE46" s="44"/>
      <c r="AF46" s="44"/>
      <c r="AG46" s="44"/>
      <c r="AH46" s="46" t="str">
        <f t="shared" si="15"/>
        <v/>
      </c>
      <c r="AI46" s="44"/>
      <c r="AJ46" s="44"/>
      <c r="AK46" s="44"/>
      <c r="AL46" s="44"/>
      <c r="AM46" s="44"/>
      <c r="AN46" s="44"/>
      <c r="AO46" s="44"/>
      <c r="AP46" s="46" t="str">
        <f t="shared" si="16"/>
        <v/>
      </c>
      <c r="AQ46" s="44"/>
      <c r="AR46" s="44"/>
      <c r="AS46" s="44"/>
      <c r="AT46" s="44"/>
      <c r="AU46" s="44"/>
      <c r="AV46" s="44"/>
      <c r="AW46" s="44"/>
      <c r="AX46" s="46" t="str">
        <f t="shared" si="17"/>
        <v/>
      </c>
      <c r="AY46" s="44"/>
      <c r="AZ46" s="44"/>
      <c r="BA46" s="44"/>
      <c r="BB46" s="44"/>
      <c r="BC46" s="44"/>
      <c r="BD46" s="44"/>
      <c r="BE46" s="44"/>
      <c r="BF46" s="46" t="str">
        <f t="shared" si="18"/>
        <v/>
      </c>
      <c r="BG46" s="44"/>
      <c r="BH46" s="44"/>
      <c r="BI46" s="44"/>
      <c r="BJ46" s="44"/>
      <c r="BK46" s="44"/>
      <c r="BL46" s="44"/>
      <c r="BM46" s="44"/>
      <c r="BN46" s="46" t="str">
        <f t="shared" si="19"/>
        <v/>
      </c>
      <c r="BO46" s="44"/>
      <c r="BP46" s="44"/>
      <c r="BQ46" s="44"/>
      <c r="BR46" s="44"/>
      <c r="BS46" s="44"/>
      <c r="BT46" s="44"/>
      <c r="BU46" s="44"/>
      <c r="BV46" s="46" t="str">
        <f t="shared" si="20"/>
        <v/>
      </c>
      <c r="BW46" s="50"/>
      <c r="BX46" s="50"/>
      <c r="BY46" s="50"/>
      <c r="BZ46" s="50"/>
      <c r="CA46" s="50"/>
      <c r="CB46" s="50"/>
      <c r="CC46" s="50"/>
      <c r="CD46" s="46" t="str">
        <f t="shared" si="21"/>
        <v/>
      </c>
      <c r="CE46" s="44"/>
      <c r="CF46" s="44"/>
      <c r="CG46" s="44"/>
      <c r="CH46" s="44"/>
      <c r="CI46" s="44"/>
      <c r="CJ46" s="44"/>
      <c r="CK46" s="44"/>
      <c r="CL46" s="46" t="str">
        <f t="shared" si="22"/>
        <v/>
      </c>
      <c r="CM46" s="44"/>
      <c r="CN46" s="44"/>
      <c r="CO46" s="44"/>
      <c r="CP46" s="44"/>
      <c r="CQ46" s="44"/>
      <c r="CR46" s="44"/>
      <c r="CS46" s="44"/>
      <c r="CT46" s="48" t="str">
        <f t="shared" si="23"/>
        <v/>
      </c>
    </row>
    <row r="47" spans="1:98" ht="40" customHeight="1" x14ac:dyDescent="0.15">
      <c r="A47" s="123" t="s">
        <v>125</v>
      </c>
      <c r="B47" s="49" t="s">
        <v>126</v>
      </c>
      <c r="C47" s="70"/>
      <c r="D47" s="44"/>
      <c r="E47" s="44"/>
      <c r="F47" s="44"/>
      <c r="G47" s="44"/>
      <c r="H47" s="44"/>
      <c r="I47" s="44"/>
      <c r="J47" s="45" t="str">
        <f t="shared" si="12"/>
        <v/>
      </c>
      <c r="K47" s="44"/>
      <c r="L47" s="44"/>
      <c r="M47" s="44"/>
      <c r="N47" s="44"/>
      <c r="O47" s="44"/>
      <c r="P47" s="44"/>
      <c r="Q47" s="44"/>
      <c r="R47" s="45" t="str">
        <f t="shared" si="13"/>
        <v/>
      </c>
      <c r="S47" s="44"/>
      <c r="T47" s="44"/>
      <c r="U47" s="44"/>
      <c r="V47" s="44"/>
      <c r="W47" s="44"/>
      <c r="X47" s="44"/>
      <c r="Y47" s="44"/>
      <c r="Z47" s="46" t="str">
        <f t="shared" si="14"/>
        <v/>
      </c>
      <c r="AA47" s="44"/>
      <c r="AB47" s="44"/>
      <c r="AC47" s="44"/>
      <c r="AD47" s="44"/>
      <c r="AE47" s="44"/>
      <c r="AF47" s="44"/>
      <c r="AG47" s="44"/>
      <c r="AH47" s="46" t="str">
        <f t="shared" si="15"/>
        <v/>
      </c>
      <c r="AI47" s="44"/>
      <c r="AJ47" s="44"/>
      <c r="AK47" s="44"/>
      <c r="AL47" s="44"/>
      <c r="AM47" s="44"/>
      <c r="AN47" s="44"/>
      <c r="AO47" s="44"/>
      <c r="AP47" s="46" t="str">
        <f t="shared" si="16"/>
        <v/>
      </c>
      <c r="AQ47" s="44"/>
      <c r="AR47" s="44"/>
      <c r="AS47" s="44"/>
      <c r="AT47" s="44"/>
      <c r="AU47" s="44"/>
      <c r="AV47" s="44"/>
      <c r="AW47" s="44"/>
      <c r="AX47" s="46" t="str">
        <f t="shared" si="17"/>
        <v/>
      </c>
      <c r="AY47" s="44"/>
      <c r="AZ47" s="44"/>
      <c r="BA47" s="44"/>
      <c r="BB47" s="44"/>
      <c r="BC47" s="44"/>
      <c r="BD47" s="44"/>
      <c r="BE47" s="44"/>
      <c r="BF47" s="46" t="str">
        <f t="shared" si="18"/>
        <v/>
      </c>
      <c r="BG47" s="44"/>
      <c r="BH47" s="44"/>
      <c r="BI47" s="44"/>
      <c r="BJ47" s="44"/>
      <c r="BK47" s="44"/>
      <c r="BL47" s="44"/>
      <c r="BM47" s="44"/>
      <c r="BN47" s="46" t="str">
        <f t="shared" si="19"/>
        <v/>
      </c>
      <c r="BO47" s="44"/>
      <c r="BP47" s="44"/>
      <c r="BQ47" s="44"/>
      <c r="BR47" s="44"/>
      <c r="BS47" s="44"/>
      <c r="BT47" s="44"/>
      <c r="BU47" s="44"/>
      <c r="BV47" s="46" t="str">
        <f t="shared" si="20"/>
        <v/>
      </c>
      <c r="BW47" s="50"/>
      <c r="BX47" s="50"/>
      <c r="BY47" s="50"/>
      <c r="BZ47" s="50"/>
      <c r="CA47" s="50"/>
      <c r="CB47" s="50"/>
      <c r="CC47" s="50"/>
      <c r="CD47" s="46" t="str">
        <f t="shared" si="21"/>
        <v/>
      </c>
      <c r="CE47" s="44"/>
      <c r="CF47" s="44"/>
      <c r="CG47" s="44"/>
      <c r="CH47" s="44"/>
      <c r="CI47" s="44"/>
      <c r="CJ47" s="44"/>
      <c r="CK47" s="44"/>
      <c r="CL47" s="46" t="str">
        <f t="shared" si="22"/>
        <v/>
      </c>
      <c r="CM47" s="44"/>
      <c r="CN47" s="44"/>
      <c r="CO47" s="44"/>
      <c r="CP47" s="44"/>
      <c r="CQ47" s="44"/>
      <c r="CR47" s="44"/>
      <c r="CS47" s="44"/>
      <c r="CT47" s="48" t="str">
        <f t="shared" si="23"/>
        <v/>
      </c>
    </row>
    <row r="48" spans="1:98" ht="40" customHeight="1" x14ac:dyDescent="0.15">
      <c r="A48" s="124" t="s">
        <v>127</v>
      </c>
      <c r="B48" s="51" t="s">
        <v>128</v>
      </c>
      <c r="C48" s="70"/>
      <c r="D48" s="44"/>
      <c r="E48" s="44"/>
      <c r="F48" s="44"/>
      <c r="G48" s="44"/>
      <c r="H48" s="44"/>
      <c r="I48" s="44"/>
      <c r="J48" s="45" t="str">
        <f t="shared" si="12"/>
        <v/>
      </c>
      <c r="K48" s="44"/>
      <c r="L48" s="44"/>
      <c r="M48" s="44"/>
      <c r="N48" s="44"/>
      <c r="O48" s="44"/>
      <c r="P48" s="44"/>
      <c r="Q48" s="44"/>
      <c r="R48" s="45" t="str">
        <f t="shared" si="13"/>
        <v/>
      </c>
      <c r="S48" s="44"/>
      <c r="T48" s="44"/>
      <c r="U48" s="44"/>
      <c r="V48" s="44"/>
      <c r="W48" s="44"/>
      <c r="X48" s="44"/>
      <c r="Y48" s="44"/>
      <c r="Z48" s="46" t="str">
        <f t="shared" si="14"/>
        <v/>
      </c>
      <c r="AA48" s="44"/>
      <c r="AB48" s="44"/>
      <c r="AC48" s="44"/>
      <c r="AD48" s="44"/>
      <c r="AE48" s="44"/>
      <c r="AF48" s="44"/>
      <c r="AG48" s="44"/>
      <c r="AH48" s="46" t="str">
        <f t="shared" si="15"/>
        <v/>
      </c>
      <c r="AI48" s="44"/>
      <c r="AJ48" s="44"/>
      <c r="AK48" s="44"/>
      <c r="AL48" s="44"/>
      <c r="AM48" s="44"/>
      <c r="AN48" s="44"/>
      <c r="AO48" s="44"/>
      <c r="AP48" s="46" t="str">
        <f t="shared" si="16"/>
        <v/>
      </c>
      <c r="AQ48" s="44"/>
      <c r="AR48" s="44"/>
      <c r="AS48" s="44"/>
      <c r="AT48" s="44"/>
      <c r="AU48" s="44"/>
      <c r="AV48" s="44"/>
      <c r="AW48" s="44"/>
      <c r="AX48" s="46" t="str">
        <f t="shared" si="17"/>
        <v/>
      </c>
      <c r="AY48" s="44"/>
      <c r="AZ48" s="44"/>
      <c r="BA48" s="44"/>
      <c r="BB48" s="44"/>
      <c r="BC48" s="44"/>
      <c r="BD48" s="44"/>
      <c r="BE48" s="44"/>
      <c r="BF48" s="46" t="str">
        <f t="shared" si="18"/>
        <v/>
      </c>
      <c r="BG48" s="44"/>
      <c r="BH48" s="44"/>
      <c r="BI48" s="44"/>
      <c r="BJ48" s="44"/>
      <c r="BK48" s="44"/>
      <c r="BL48" s="44"/>
      <c r="BM48" s="44"/>
      <c r="BN48" s="46" t="str">
        <f t="shared" si="19"/>
        <v/>
      </c>
      <c r="BO48" s="44"/>
      <c r="BP48" s="44"/>
      <c r="BQ48" s="44"/>
      <c r="BR48" s="44"/>
      <c r="BS48" s="44"/>
      <c r="BT48" s="44"/>
      <c r="BU48" s="44"/>
      <c r="BV48" s="46" t="str">
        <f t="shared" si="20"/>
        <v/>
      </c>
      <c r="BW48" s="50"/>
      <c r="BX48" s="50"/>
      <c r="BY48" s="50"/>
      <c r="BZ48" s="50"/>
      <c r="CA48" s="50"/>
      <c r="CB48" s="50"/>
      <c r="CC48" s="50"/>
      <c r="CD48" s="46" t="str">
        <f t="shared" si="21"/>
        <v/>
      </c>
      <c r="CE48" s="44"/>
      <c r="CF48" s="44"/>
      <c r="CG48" s="44"/>
      <c r="CH48" s="44"/>
      <c r="CI48" s="44"/>
      <c r="CJ48" s="44"/>
      <c r="CK48" s="44"/>
      <c r="CL48" s="46" t="str">
        <f t="shared" si="22"/>
        <v/>
      </c>
      <c r="CM48" s="44"/>
      <c r="CN48" s="44"/>
      <c r="CO48" s="44"/>
      <c r="CP48" s="44"/>
      <c r="CQ48" s="44"/>
      <c r="CR48" s="44"/>
      <c r="CS48" s="44"/>
      <c r="CT48" s="48" t="str">
        <f t="shared" si="23"/>
        <v/>
      </c>
    </row>
    <row r="49" spans="1:98" ht="40" customHeight="1" x14ac:dyDescent="0.15">
      <c r="A49" s="123" t="s">
        <v>130</v>
      </c>
      <c r="B49" s="49" t="s">
        <v>131</v>
      </c>
      <c r="C49" s="70"/>
      <c r="D49" s="44"/>
      <c r="E49" s="44"/>
      <c r="F49" s="44"/>
      <c r="G49" s="44"/>
      <c r="H49" s="44"/>
      <c r="I49" s="44"/>
      <c r="J49" s="45" t="str">
        <f t="shared" si="12"/>
        <v/>
      </c>
      <c r="K49" s="44"/>
      <c r="L49" s="44"/>
      <c r="M49" s="44"/>
      <c r="N49" s="44"/>
      <c r="O49" s="44"/>
      <c r="P49" s="44"/>
      <c r="Q49" s="44"/>
      <c r="R49" s="45" t="str">
        <f t="shared" si="13"/>
        <v/>
      </c>
      <c r="S49" s="44"/>
      <c r="T49" s="44"/>
      <c r="U49" s="44"/>
      <c r="V49" s="44"/>
      <c r="W49" s="44"/>
      <c r="X49" s="44"/>
      <c r="Y49" s="44"/>
      <c r="Z49" s="46" t="str">
        <f t="shared" si="14"/>
        <v/>
      </c>
      <c r="AA49" s="44"/>
      <c r="AB49" s="44"/>
      <c r="AC49" s="44"/>
      <c r="AD49" s="44"/>
      <c r="AE49" s="44"/>
      <c r="AF49" s="44"/>
      <c r="AG49" s="44"/>
      <c r="AH49" s="46" t="str">
        <f t="shared" si="15"/>
        <v/>
      </c>
      <c r="AI49" s="44"/>
      <c r="AJ49" s="44"/>
      <c r="AK49" s="44"/>
      <c r="AL49" s="44"/>
      <c r="AM49" s="44"/>
      <c r="AN49" s="44"/>
      <c r="AO49" s="44"/>
      <c r="AP49" s="46" t="str">
        <f t="shared" si="16"/>
        <v/>
      </c>
      <c r="AQ49" s="44"/>
      <c r="AR49" s="44"/>
      <c r="AS49" s="44"/>
      <c r="AT49" s="44"/>
      <c r="AU49" s="44"/>
      <c r="AV49" s="44"/>
      <c r="AW49" s="44"/>
      <c r="AX49" s="46" t="str">
        <f t="shared" si="17"/>
        <v/>
      </c>
      <c r="AY49" s="44"/>
      <c r="AZ49" s="44"/>
      <c r="BA49" s="44"/>
      <c r="BB49" s="44"/>
      <c r="BC49" s="44"/>
      <c r="BD49" s="44"/>
      <c r="BE49" s="44"/>
      <c r="BF49" s="46" t="str">
        <f t="shared" si="18"/>
        <v/>
      </c>
      <c r="BG49" s="44"/>
      <c r="BH49" s="44"/>
      <c r="BI49" s="44"/>
      <c r="BJ49" s="44"/>
      <c r="BK49" s="44"/>
      <c r="BL49" s="44"/>
      <c r="BM49" s="44"/>
      <c r="BN49" s="46" t="str">
        <f t="shared" si="19"/>
        <v/>
      </c>
      <c r="BO49" s="44"/>
      <c r="BP49" s="44"/>
      <c r="BQ49" s="44"/>
      <c r="BR49" s="44"/>
      <c r="BS49" s="44"/>
      <c r="BT49" s="44"/>
      <c r="BU49" s="44"/>
      <c r="BV49" s="46" t="str">
        <f t="shared" si="20"/>
        <v/>
      </c>
      <c r="BW49" s="50"/>
      <c r="BX49" s="50"/>
      <c r="BY49" s="50"/>
      <c r="BZ49" s="50"/>
      <c r="CA49" s="50"/>
      <c r="CB49" s="50"/>
      <c r="CC49" s="50"/>
      <c r="CD49" s="46" t="str">
        <f t="shared" si="21"/>
        <v/>
      </c>
      <c r="CE49" s="44"/>
      <c r="CF49" s="44"/>
      <c r="CG49" s="44"/>
      <c r="CH49" s="44"/>
      <c r="CI49" s="44"/>
      <c r="CJ49" s="44"/>
      <c r="CK49" s="44"/>
      <c r="CL49" s="46" t="str">
        <f t="shared" si="22"/>
        <v/>
      </c>
      <c r="CM49" s="44"/>
      <c r="CN49" s="44"/>
      <c r="CO49" s="44"/>
      <c r="CP49" s="44"/>
      <c r="CQ49" s="44"/>
      <c r="CR49" s="44"/>
      <c r="CS49" s="44"/>
      <c r="CT49" s="48" t="str">
        <f t="shared" si="23"/>
        <v/>
      </c>
    </row>
    <row r="50" spans="1:98" ht="40" customHeight="1" x14ac:dyDescent="0.15">
      <c r="A50" s="124" t="s">
        <v>132</v>
      </c>
      <c r="B50" s="51" t="s">
        <v>133</v>
      </c>
      <c r="C50" s="70"/>
      <c r="D50" s="44"/>
      <c r="E50" s="44"/>
      <c r="F50" s="44"/>
      <c r="G50" s="44"/>
      <c r="H50" s="44"/>
      <c r="I50" s="44"/>
      <c r="J50" s="45" t="str">
        <f t="shared" si="12"/>
        <v/>
      </c>
      <c r="K50" s="44"/>
      <c r="L50" s="44"/>
      <c r="M50" s="44"/>
      <c r="N50" s="44"/>
      <c r="O50" s="44"/>
      <c r="P50" s="44"/>
      <c r="Q50" s="44"/>
      <c r="R50" s="45" t="str">
        <f t="shared" si="13"/>
        <v/>
      </c>
      <c r="S50" s="44"/>
      <c r="T50" s="44"/>
      <c r="U50" s="44"/>
      <c r="V50" s="44"/>
      <c r="W50" s="44"/>
      <c r="X50" s="44"/>
      <c r="Y50" s="44"/>
      <c r="Z50" s="46" t="str">
        <f t="shared" si="14"/>
        <v/>
      </c>
      <c r="AA50" s="44"/>
      <c r="AB50" s="44"/>
      <c r="AC50" s="44"/>
      <c r="AD50" s="44"/>
      <c r="AE50" s="44"/>
      <c r="AF50" s="44"/>
      <c r="AG50" s="44"/>
      <c r="AH50" s="46" t="str">
        <f t="shared" si="15"/>
        <v/>
      </c>
      <c r="AI50" s="44"/>
      <c r="AJ50" s="44"/>
      <c r="AK50" s="44"/>
      <c r="AL50" s="44"/>
      <c r="AM50" s="44"/>
      <c r="AN50" s="44"/>
      <c r="AO50" s="44"/>
      <c r="AP50" s="46" t="str">
        <f t="shared" si="16"/>
        <v/>
      </c>
      <c r="AQ50" s="44"/>
      <c r="AR50" s="44"/>
      <c r="AS50" s="44"/>
      <c r="AT50" s="44"/>
      <c r="AU50" s="44"/>
      <c r="AV50" s="44"/>
      <c r="AW50" s="44"/>
      <c r="AX50" s="46" t="str">
        <f t="shared" si="17"/>
        <v/>
      </c>
      <c r="AY50" s="44"/>
      <c r="AZ50" s="44"/>
      <c r="BA50" s="44"/>
      <c r="BB50" s="44"/>
      <c r="BC50" s="44"/>
      <c r="BD50" s="44"/>
      <c r="BE50" s="44"/>
      <c r="BF50" s="46" t="str">
        <f t="shared" si="18"/>
        <v/>
      </c>
      <c r="BG50" s="44"/>
      <c r="BH50" s="44"/>
      <c r="BI50" s="44"/>
      <c r="BJ50" s="44"/>
      <c r="BK50" s="44"/>
      <c r="BL50" s="44"/>
      <c r="BM50" s="44"/>
      <c r="BN50" s="46" t="str">
        <f t="shared" si="19"/>
        <v/>
      </c>
      <c r="BO50" s="44"/>
      <c r="BP50" s="44"/>
      <c r="BQ50" s="44"/>
      <c r="BR50" s="44"/>
      <c r="BS50" s="44"/>
      <c r="BT50" s="44"/>
      <c r="BU50" s="44"/>
      <c r="BV50" s="46" t="str">
        <f t="shared" si="20"/>
        <v/>
      </c>
      <c r="BW50" s="50"/>
      <c r="BX50" s="50"/>
      <c r="BY50" s="50"/>
      <c r="BZ50" s="50"/>
      <c r="CA50" s="50"/>
      <c r="CB50" s="50"/>
      <c r="CC50" s="50"/>
      <c r="CD50" s="46" t="str">
        <f t="shared" si="21"/>
        <v/>
      </c>
      <c r="CE50" s="44"/>
      <c r="CF50" s="44"/>
      <c r="CG50" s="44"/>
      <c r="CH50" s="44"/>
      <c r="CI50" s="44"/>
      <c r="CJ50" s="44"/>
      <c r="CK50" s="44"/>
      <c r="CL50" s="46" t="str">
        <f t="shared" si="22"/>
        <v/>
      </c>
      <c r="CM50" s="44"/>
      <c r="CN50" s="44"/>
      <c r="CO50" s="44"/>
      <c r="CP50" s="44"/>
      <c r="CQ50" s="44"/>
      <c r="CR50" s="44"/>
      <c r="CS50" s="44"/>
      <c r="CT50" s="48" t="str">
        <f t="shared" si="23"/>
        <v/>
      </c>
    </row>
    <row r="51" spans="1:98" ht="40" customHeight="1" x14ac:dyDescent="0.15">
      <c r="A51" s="123" t="s">
        <v>135</v>
      </c>
      <c r="B51" s="49" t="s">
        <v>136</v>
      </c>
      <c r="C51" s="70"/>
      <c r="D51" s="44"/>
      <c r="E51" s="44"/>
      <c r="F51" s="44"/>
      <c r="G51" s="44"/>
      <c r="H51" s="44"/>
      <c r="I51" s="44"/>
      <c r="J51" s="45" t="str">
        <f t="shared" si="12"/>
        <v/>
      </c>
      <c r="K51" s="44"/>
      <c r="L51" s="44"/>
      <c r="M51" s="44"/>
      <c r="N51" s="44"/>
      <c r="O51" s="44"/>
      <c r="P51" s="44"/>
      <c r="Q51" s="44"/>
      <c r="R51" s="45" t="str">
        <f t="shared" si="13"/>
        <v/>
      </c>
      <c r="S51" s="44"/>
      <c r="T51" s="44"/>
      <c r="U51" s="44"/>
      <c r="V51" s="44"/>
      <c r="W51" s="44"/>
      <c r="X51" s="44"/>
      <c r="Y51" s="44"/>
      <c r="Z51" s="46" t="str">
        <f t="shared" si="14"/>
        <v/>
      </c>
      <c r="AA51" s="44"/>
      <c r="AB51" s="44"/>
      <c r="AC51" s="44"/>
      <c r="AD51" s="44"/>
      <c r="AE51" s="44"/>
      <c r="AF51" s="44"/>
      <c r="AG51" s="44"/>
      <c r="AH51" s="46" t="str">
        <f t="shared" si="15"/>
        <v/>
      </c>
      <c r="AI51" s="44"/>
      <c r="AJ51" s="44"/>
      <c r="AK51" s="44"/>
      <c r="AL51" s="44"/>
      <c r="AM51" s="44"/>
      <c r="AN51" s="44"/>
      <c r="AO51" s="44"/>
      <c r="AP51" s="46" t="str">
        <f t="shared" si="16"/>
        <v/>
      </c>
      <c r="AQ51" s="44"/>
      <c r="AR51" s="44"/>
      <c r="AS51" s="44"/>
      <c r="AT51" s="44"/>
      <c r="AU51" s="44"/>
      <c r="AV51" s="44"/>
      <c r="AW51" s="44"/>
      <c r="AX51" s="46" t="str">
        <f t="shared" si="17"/>
        <v/>
      </c>
      <c r="AY51" s="44"/>
      <c r="AZ51" s="44"/>
      <c r="BA51" s="44"/>
      <c r="BB51" s="44"/>
      <c r="BC51" s="44"/>
      <c r="BD51" s="44"/>
      <c r="BE51" s="44"/>
      <c r="BF51" s="46" t="str">
        <f t="shared" si="18"/>
        <v/>
      </c>
      <c r="BG51" s="44"/>
      <c r="BH51" s="44"/>
      <c r="BI51" s="44"/>
      <c r="BJ51" s="44"/>
      <c r="BK51" s="44"/>
      <c r="BL51" s="44"/>
      <c r="BM51" s="44"/>
      <c r="BN51" s="46" t="str">
        <f t="shared" si="19"/>
        <v/>
      </c>
      <c r="BO51" s="44"/>
      <c r="BP51" s="44"/>
      <c r="BQ51" s="44"/>
      <c r="BR51" s="44"/>
      <c r="BS51" s="44"/>
      <c r="BT51" s="44"/>
      <c r="BU51" s="44"/>
      <c r="BV51" s="46" t="str">
        <f t="shared" si="20"/>
        <v/>
      </c>
      <c r="BW51" s="50"/>
      <c r="BX51" s="50"/>
      <c r="BY51" s="50"/>
      <c r="BZ51" s="50"/>
      <c r="CA51" s="50"/>
      <c r="CB51" s="50"/>
      <c r="CC51" s="50"/>
      <c r="CD51" s="46" t="str">
        <f t="shared" si="21"/>
        <v/>
      </c>
      <c r="CE51" s="44"/>
      <c r="CF51" s="44"/>
      <c r="CG51" s="44"/>
      <c r="CH51" s="44"/>
      <c r="CI51" s="44"/>
      <c r="CJ51" s="44"/>
      <c r="CK51" s="44"/>
      <c r="CL51" s="46" t="str">
        <f t="shared" si="22"/>
        <v/>
      </c>
      <c r="CM51" s="44"/>
      <c r="CN51" s="44"/>
      <c r="CO51" s="44"/>
      <c r="CP51" s="44"/>
      <c r="CQ51" s="44"/>
      <c r="CR51" s="44"/>
      <c r="CS51" s="44"/>
      <c r="CT51" s="48" t="str">
        <f t="shared" si="23"/>
        <v/>
      </c>
    </row>
    <row r="52" spans="1:98" ht="40" customHeight="1" x14ac:dyDescent="0.15">
      <c r="A52" s="124" t="s">
        <v>138</v>
      </c>
      <c r="B52" s="51" t="s">
        <v>139</v>
      </c>
      <c r="C52" s="70"/>
      <c r="D52" s="44"/>
      <c r="E52" s="44"/>
      <c r="F52" s="44"/>
      <c r="G52" s="44"/>
      <c r="H52" s="44"/>
      <c r="I52" s="44"/>
      <c r="J52" s="45" t="str">
        <f t="shared" si="12"/>
        <v/>
      </c>
      <c r="K52" s="44"/>
      <c r="L52" s="44"/>
      <c r="M52" s="44"/>
      <c r="N52" s="44"/>
      <c r="O52" s="44"/>
      <c r="P52" s="44"/>
      <c r="Q52" s="44"/>
      <c r="R52" s="45" t="str">
        <f t="shared" si="13"/>
        <v/>
      </c>
      <c r="S52" s="44"/>
      <c r="T52" s="44"/>
      <c r="U52" s="44"/>
      <c r="V52" s="44"/>
      <c r="W52" s="44"/>
      <c r="X52" s="44"/>
      <c r="Y52" s="44"/>
      <c r="Z52" s="46" t="str">
        <f t="shared" si="14"/>
        <v/>
      </c>
      <c r="AA52" s="44"/>
      <c r="AB52" s="44"/>
      <c r="AC52" s="44"/>
      <c r="AD52" s="44"/>
      <c r="AE52" s="44"/>
      <c r="AF52" s="44"/>
      <c r="AG52" s="44"/>
      <c r="AH52" s="46" t="str">
        <f t="shared" si="15"/>
        <v/>
      </c>
      <c r="AI52" s="44"/>
      <c r="AJ52" s="44"/>
      <c r="AK52" s="44"/>
      <c r="AL52" s="44"/>
      <c r="AM52" s="44"/>
      <c r="AN52" s="44"/>
      <c r="AO52" s="44"/>
      <c r="AP52" s="46" t="str">
        <f t="shared" si="16"/>
        <v/>
      </c>
      <c r="AQ52" s="44"/>
      <c r="AR52" s="44"/>
      <c r="AS52" s="44"/>
      <c r="AT52" s="44"/>
      <c r="AU52" s="44"/>
      <c r="AV52" s="44"/>
      <c r="AW52" s="44"/>
      <c r="AX52" s="46" t="str">
        <f t="shared" si="17"/>
        <v/>
      </c>
      <c r="AY52" s="44"/>
      <c r="AZ52" s="44"/>
      <c r="BA52" s="44"/>
      <c r="BB52" s="44"/>
      <c r="BC52" s="44"/>
      <c r="BD52" s="44"/>
      <c r="BE52" s="44"/>
      <c r="BF52" s="46" t="str">
        <f t="shared" si="18"/>
        <v/>
      </c>
      <c r="BG52" s="44"/>
      <c r="BH52" s="44"/>
      <c r="BI52" s="44"/>
      <c r="BJ52" s="44"/>
      <c r="BK52" s="44"/>
      <c r="BL52" s="44"/>
      <c r="BM52" s="44"/>
      <c r="BN52" s="46" t="str">
        <f t="shared" si="19"/>
        <v/>
      </c>
      <c r="BO52" s="44"/>
      <c r="BP52" s="44"/>
      <c r="BQ52" s="44"/>
      <c r="BR52" s="44"/>
      <c r="BS52" s="44"/>
      <c r="BT52" s="44"/>
      <c r="BU52" s="44"/>
      <c r="BV52" s="46" t="str">
        <f t="shared" si="20"/>
        <v/>
      </c>
      <c r="BW52" s="50"/>
      <c r="BX52" s="50"/>
      <c r="BY52" s="50"/>
      <c r="BZ52" s="50"/>
      <c r="CA52" s="50"/>
      <c r="CB52" s="50"/>
      <c r="CC52" s="50"/>
      <c r="CD52" s="46" t="str">
        <f t="shared" si="21"/>
        <v/>
      </c>
      <c r="CE52" s="44"/>
      <c r="CF52" s="44"/>
      <c r="CG52" s="44"/>
      <c r="CH52" s="44"/>
      <c r="CI52" s="44"/>
      <c r="CJ52" s="44"/>
      <c r="CK52" s="44"/>
      <c r="CL52" s="46" t="str">
        <f t="shared" si="22"/>
        <v/>
      </c>
      <c r="CM52" s="44"/>
      <c r="CN52" s="44"/>
      <c r="CO52" s="44"/>
      <c r="CP52" s="44"/>
      <c r="CQ52" s="44"/>
      <c r="CR52" s="44"/>
      <c r="CS52" s="44"/>
      <c r="CT52" s="48" t="str">
        <f t="shared" si="23"/>
        <v/>
      </c>
    </row>
    <row r="53" spans="1:98" ht="40" customHeight="1" x14ac:dyDescent="0.15">
      <c r="A53" s="123" t="s">
        <v>140</v>
      </c>
      <c r="B53" s="49" t="s">
        <v>141</v>
      </c>
      <c r="C53" s="70"/>
      <c r="D53" s="44"/>
      <c r="E53" s="44"/>
      <c r="F53" s="44"/>
      <c r="G53" s="44"/>
      <c r="H53" s="44"/>
      <c r="I53" s="44"/>
      <c r="J53" s="45" t="str">
        <f t="shared" si="12"/>
        <v/>
      </c>
      <c r="K53" s="44"/>
      <c r="L53" s="44"/>
      <c r="M53" s="44"/>
      <c r="N53" s="44"/>
      <c r="O53" s="44"/>
      <c r="P53" s="44"/>
      <c r="Q53" s="44"/>
      <c r="R53" s="45" t="str">
        <f t="shared" si="13"/>
        <v/>
      </c>
      <c r="S53" s="44"/>
      <c r="T53" s="44"/>
      <c r="U53" s="44"/>
      <c r="V53" s="44"/>
      <c r="W53" s="44"/>
      <c r="X53" s="44"/>
      <c r="Y53" s="44"/>
      <c r="Z53" s="46" t="str">
        <f t="shared" si="14"/>
        <v/>
      </c>
      <c r="AA53" s="44"/>
      <c r="AB53" s="44"/>
      <c r="AC53" s="44"/>
      <c r="AD53" s="44"/>
      <c r="AE53" s="44"/>
      <c r="AF53" s="44"/>
      <c r="AG53" s="44"/>
      <c r="AH53" s="46" t="str">
        <f t="shared" si="15"/>
        <v/>
      </c>
      <c r="AI53" s="44"/>
      <c r="AJ53" s="44"/>
      <c r="AK53" s="44"/>
      <c r="AL53" s="44"/>
      <c r="AM53" s="44"/>
      <c r="AN53" s="44"/>
      <c r="AO53" s="44"/>
      <c r="AP53" s="46" t="str">
        <f t="shared" si="16"/>
        <v/>
      </c>
      <c r="AQ53" s="44"/>
      <c r="AR53" s="44"/>
      <c r="AS53" s="44"/>
      <c r="AT53" s="44"/>
      <c r="AU53" s="44"/>
      <c r="AV53" s="44"/>
      <c r="AW53" s="44"/>
      <c r="AX53" s="46" t="str">
        <f t="shared" si="17"/>
        <v/>
      </c>
      <c r="AY53" s="44"/>
      <c r="AZ53" s="44"/>
      <c r="BA53" s="44"/>
      <c r="BB53" s="44"/>
      <c r="BC53" s="44"/>
      <c r="BD53" s="44"/>
      <c r="BE53" s="44"/>
      <c r="BF53" s="46" t="str">
        <f t="shared" si="18"/>
        <v/>
      </c>
      <c r="BG53" s="44"/>
      <c r="BH53" s="44"/>
      <c r="BI53" s="44"/>
      <c r="BJ53" s="44"/>
      <c r="BK53" s="44"/>
      <c r="BL53" s="44"/>
      <c r="BM53" s="44"/>
      <c r="BN53" s="46" t="str">
        <f t="shared" si="19"/>
        <v/>
      </c>
      <c r="BO53" s="44"/>
      <c r="BP53" s="44"/>
      <c r="BQ53" s="44"/>
      <c r="BR53" s="44"/>
      <c r="BS53" s="44"/>
      <c r="BT53" s="44"/>
      <c r="BU53" s="44"/>
      <c r="BV53" s="46" t="str">
        <f t="shared" si="20"/>
        <v/>
      </c>
      <c r="BW53" s="50"/>
      <c r="BX53" s="50"/>
      <c r="BY53" s="50"/>
      <c r="BZ53" s="50"/>
      <c r="CA53" s="50"/>
      <c r="CB53" s="50"/>
      <c r="CC53" s="50"/>
      <c r="CD53" s="46" t="str">
        <f t="shared" si="21"/>
        <v/>
      </c>
      <c r="CE53" s="44"/>
      <c r="CF53" s="44"/>
      <c r="CG53" s="44"/>
      <c r="CH53" s="44"/>
      <c r="CI53" s="44"/>
      <c r="CJ53" s="44"/>
      <c r="CK53" s="44"/>
      <c r="CL53" s="46" t="str">
        <f t="shared" si="22"/>
        <v/>
      </c>
      <c r="CM53" s="44"/>
      <c r="CN53" s="44"/>
      <c r="CO53" s="44"/>
      <c r="CP53" s="44"/>
      <c r="CQ53" s="44"/>
      <c r="CR53" s="44"/>
      <c r="CS53" s="44"/>
      <c r="CT53" s="48" t="str">
        <f t="shared" si="23"/>
        <v/>
      </c>
    </row>
    <row r="54" spans="1:98" ht="40" customHeight="1" x14ac:dyDescent="0.15">
      <c r="A54" s="124" t="s">
        <v>143</v>
      </c>
      <c r="B54" s="51" t="s">
        <v>144</v>
      </c>
      <c r="C54" s="70"/>
      <c r="D54" s="44"/>
      <c r="E54" s="44"/>
      <c r="F54" s="44"/>
      <c r="G54" s="44"/>
      <c r="H54" s="44"/>
      <c r="I54" s="44"/>
      <c r="J54" s="45" t="str">
        <f t="shared" si="12"/>
        <v/>
      </c>
      <c r="K54" s="44"/>
      <c r="L54" s="44"/>
      <c r="M54" s="44"/>
      <c r="N54" s="44"/>
      <c r="O54" s="44"/>
      <c r="P54" s="44"/>
      <c r="Q54" s="44"/>
      <c r="R54" s="45" t="str">
        <f t="shared" si="13"/>
        <v/>
      </c>
      <c r="S54" s="44"/>
      <c r="T54" s="44"/>
      <c r="U54" s="44"/>
      <c r="V54" s="44"/>
      <c r="W54" s="44"/>
      <c r="X54" s="44"/>
      <c r="Y54" s="44"/>
      <c r="Z54" s="46" t="str">
        <f t="shared" si="14"/>
        <v/>
      </c>
      <c r="AA54" s="44"/>
      <c r="AB54" s="44"/>
      <c r="AC54" s="44"/>
      <c r="AD54" s="44"/>
      <c r="AE54" s="44"/>
      <c r="AF54" s="44"/>
      <c r="AG54" s="44"/>
      <c r="AH54" s="46" t="str">
        <f t="shared" si="15"/>
        <v/>
      </c>
      <c r="AI54" s="44"/>
      <c r="AJ54" s="44"/>
      <c r="AK54" s="44"/>
      <c r="AL54" s="44"/>
      <c r="AM54" s="44"/>
      <c r="AN54" s="44"/>
      <c r="AO54" s="44"/>
      <c r="AP54" s="46" t="str">
        <f t="shared" si="16"/>
        <v/>
      </c>
      <c r="AQ54" s="44"/>
      <c r="AR54" s="44"/>
      <c r="AS54" s="44"/>
      <c r="AT54" s="44"/>
      <c r="AU54" s="44"/>
      <c r="AV54" s="44"/>
      <c r="AW54" s="44"/>
      <c r="AX54" s="46" t="str">
        <f t="shared" si="17"/>
        <v/>
      </c>
      <c r="AY54" s="44"/>
      <c r="AZ54" s="44"/>
      <c r="BA54" s="44"/>
      <c r="BB54" s="44"/>
      <c r="BC54" s="44"/>
      <c r="BD54" s="44"/>
      <c r="BE54" s="44"/>
      <c r="BF54" s="46" t="str">
        <f t="shared" si="18"/>
        <v/>
      </c>
      <c r="BG54" s="44"/>
      <c r="BH54" s="44"/>
      <c r="BI54" s="44"/>
      <c r="BJ54" s="44"/>
      <c r="BK54" s="44"/>
      <c r="BL54" s="44"/>
      <c r="BM54" s="44"/>
      <c r="BN54" s="46" t="str">
        <f t="shared" si="19"/>
        <v/>
      </c>
      <c r="BO54" s="44"/>
      <c r="BP54" s="44"/>
      <c r="BQ54" s="44"/>
      <c r="BR54" s="44"/>
      <c r="BS54" s="44"/>
      <c r="BT54" s="44"/>
      <c r="BU54" s="44"/>
      <c r="BV54" s="46" t="str">
        <f t="shared" si="20"/>
        <v/>
      </c>
      <c r="BW54" s="50"/>
      <c r="BX54" s="50"/>
      <c r="BY54" s="50"/>
      <c r="BZ54" s="50"/>
      <c r="CA54" s="50"/>
      <c r="CB54" s="50"/>
      <c r="CC54" s="50"/>
      <c r="CD54" s="46" t="str">
        <f t="shared" si="21"/>
        <v/>
      </c>
      <c r="CE54" s="44"/>
      <c r="CF54" s="44"/>
      <c r="CG54" s="44"/>
      <c r="CH54" s="44"/>
      <c r="CI54" s="44"/>
      <c r="CJ54" s="44"/>
      <c r="CK54" s="44"/>
      <c r="CL54" s="46" t="str">
        <f t="shared" si="22"/>
        <v/>
      </c>
      <c r="CM54" s="44"/>
      <c r="CN54" s="44"/>
      <c r="CO54" s="44"/>
      <c r="CP54" s="44"/>
      <c r="CQ54" s="44"/>
      <c r="CR54" s="44"/>
      <c r="CS54" s="44"/>
      <c r="CT54" s="48" t="str">
        <f t="shared" si="23"/>
        <v/>
      </c>
    </row>
    <row r="55" spans="1:98" ht="40" customHeight="1" x14ac:dyDescent="0.15">
      <c r="A55" s="123" t="s">
        <v>146</v>
      </c>
      <c r="B55" s="49" t="s">
        <v>147</v>
      </c>
      <c r="C55" s="70"/>
      <c r="D55" s="44"/>
      <c r="E55" s="44"/>
      <c r="F55" s="44"/>
      <c r="G55" s="44"/>
      <c r="H55" s="44"/>
      <c r="I55" s="44"/>
      <c r="J55" s="45" t="str">
        <f t="shared" si="12"/>
        <v/>
      </c>
      <c r="K55" s="44"/>
      <c r="L55" s="44"/>
      <c r="M55" s="44"/>
      <c r="N55" s="44"/>
      <c r="O55" s="44"/>
      <c r="P55" s="44"/>
      <c r="Q55" s="44"/>
      <c r="R55" s="45" t="str">
        <f t="shared" si="13"/>
        <v/>
      </c>
      <c r="S55" s="44"/>
      <c r="T55" s="44"/>
      <c r="U55" s="44"/>
      <c r="V55" s="44"/>
      <c r="W55" s="44"/>
      <c r="X55" s="44"/>
      <c r="Y55" s="44"/>
      <c r="Z55" s="46" t="str">
        <f t="shared" si="14"/>
        <v/>
      </c>
      <c r="AA55" s="44"/>
      <c r="AB55" s="44"/>
      <c r="AC55" s="44"/>
      <c r="AD55" s="44"/>
      <c r="AE55" s="44"/>
      <c r="AF55" s="44"/>
      <c r="AG55" s="44"/>
      <c r="AH55" s="46" t="str">
        <f t="shared" si="15"/>
        <v/>
      </c>
      <c r="AI55" s="44"/>
      <c r="AJ55" s="44"/>
      <c r="AK55" s="44"/>
      <c r="AL55" s="44"/>
      <c r="AM55" s="44"/>
      <c r="AN55" s="44"/>
      <c r="AO55" s="44"/>
      <c r="AP55" s="46" t="str">
        <f t="shared" si="16"/>
        <v/>
      </c>
      <c r="AQ55" s="44"/>
      <c r="AR55" s="44"/>
      <c r="AS55" s="44"/>
      <c r="AT55" s="44"/>
      <c r="AU55" s="44"/>
      <c r="AV55" s="44"/>
      <c r="AW55" s="44"/>
      <c r="AX55" s="46" t="str">
        <f t="shared" si="17"/>
        <v/>
      </c>
      <c r="AY55" s="44"/>
      <c r="AZ55" s="44"/>
      <c r="BA55" s="44"/>
      <c r="BB55" s="44"/>
      <c r="BC55" s="44"/>
      <c r="BD55" s="44"/>
      <c r="BE55" s="44"/>
      <c r="BF55" s="46" t="str">
        <f t="shared" si="18"/>
        <v/>
      </c>
      <c r="BG55" s="44"/>
      <c r="BH55" s="44"/>
      <c r="BI55" s="44"/>
      <c r="BJ55" s="44"/>
      <c r="BK55" s="44"/>
      <c r="BL55" s="44"/>
      <c r="BM55" s="44"/>
      <c r="BN55" s="46" t="str">
        <f t="shared" si="19"/>
        <v/>
      </c>
      <c r="BO55" s="44"/>
      <c r="BP55" s="44"/>
      <c r="BQ55" s="44"/>
      <c r="BR55" s="44"/>
      <c r="BS55" s="44"/>
      <c r="BT55" s="44"/>
      <c r="BU55" s="44"/>
      <c r="BV55" s="46" t="str">
        <f t="shared" si="20"/>
        <v/>
      </c>
      <c r="BW55" s="50"/>
      <c r="BX55" s="50"/>
      <c r="BY55" s="50"/>
      <c r="BZ55" s="50"/>
      <c r="CA55" s="50"/>
      <c r="CB55" s="50"/>
      <c r="CC55" s="50"/>
      <c r="CD55" s="46" t="str">
        <f t="shared" si="21"/>
        <v/>
      </c>
      <c r="CE55" s="44"/>
      <c r="CF55" s="44"/>
      <c r="CG55" s="44"/>
      <c r="CH55" s="44"/>
      <c r="CI55" s="44"/>
      <c r="CJ55" s="44"/>
      <c r="CK55" s="44"/>
      <c r="CL55" s="46" t="str">
        <f t="shared" si="22"/>
        <v/>
      </c>
      <c r="CM55" s="44"/>
      <c r="CN55" s="44"/>
      <c r="CO55" s="44"/>
      <c r="CP55" s="44"/>
      <c r="CQ55" s="44"/>
      <c r="CR55" s="44"/>
      <c r="CS55" s="44"/>
      <c r="CT55" s="48" t="str">
        <f t="shared" si="23"/>
        <v/>
      </c>
    </row>
    <row r="56" spans="1:98" ht="40" customHeight="1" x14ac:dyDescent="0.15">
      <c r="A56" s="124" t="s">
        <v>149</v>
      </c>
      <c r="B56" s="51" t="s">
        <v>150</v>
      </c>
      <c r="C56" s="70"/>
      <c r="D56" s="44"/>
      <c r="E56" s="44"/>
      <c r="F56" s="44"/>
      <c r="G56" s="44"/>
      <c r="H56" s="44"/>
      <c r="I56" s="44"/>
      <c r="J56" s="45" t="str">
        <f t="shared" si="12"/>
        <v/>
      </c>
      <c r="K56" s="44"/>
      <c r="L56" s="44"/>
      <c r="M56" s="44"/>
      <c r="N56" s="44"/>
      <c r="O56" s="44"/>
      <c r="P56" s="44"/>
      <c r="Q56" s="44"/>
      <c r="R56" s="45" t="str">
        <f t="shared" si="13"/>
        <v/>
      </c>
      <c r="S56" s="44"/>
      <c r="T56" s="44"/>
      <c r="U56" s="44"/>
      <c r="V56" s="44"/>
      <c r="W56" s="44"/>
      <c r="X56" s="44"/>
      <c r="Y56" s="44"/>
      <c r="Z56" s="46" t="str">
        <f t="shared" si="14"/>
        <v/>
      </c>
      <c r="AA56" s="44"/>
      <c r="AB56" s="44"/>
      <c r="AC56" s="44"/>
      <c r="AD56" s="44"/>
      <c r="AE56" s="44"/>
      <c r="AF56" s="44"/>
      <c r="AG56" s="44"/>
      <c r="AH56" s="46" t="str">
        <f t="shared" si="15"/>
        <v/>
      </c>
      <c r="AI56" s="44"/>
      <c r="AJ56" s="44"/>
      <c r="AK56" s="44"/>
      <c r="AL56" s="44"/>
      <c r="AM56" s="44"/>
      <c r="AN56" s="44"/>
      <c r="AO56" s="44"/>
      <c r="AP56" s="46" t="str">
        <f t="shared" si="16"/>
        <v/>
      </c>
      <c r="AQ56" s="44"/>
      <c r="AR56" s="44"/>
      <c r="AS56" s="44"/>
      <c r="AT56" s="44"/>
      <c r="AU56" s="44"/>
      <c r="AV56" s="44"/>
      <c r="AW56" s="44"/>
      <c r="AX56" s="46" t="str">
        <f t="shared" si="17"/>
        <v/>
      </c>
      <c r="AY56" s="44"/>
      <c r="AZ56" s="44"/>
      <c r="BA56" s="44"/>
      <c r="BB56" s="44"/>
      <c r="BC56" s="44"/>
      <c r="BD56" s="44"/>
      <c r="BE56" s="44"/>
      <c r="BF56" s="46" t="str">
        <f t="shared" si="18"/>
        <v/>
      </c>
      <c r="BG56" s="44"/>
      <c r="BH56" s="44"/>
      <c r="BI56" s="44"/>
      <c r="BJ56" s="44"/>
      <c r="BK56" s="44"/>
      <c r="BL56" s="44"/>
      <c r="BM56" s="44"/>
      <c r="BN56" s="46" t="str">
        <f t="shared" si="19"/>
        <v/>
      </c>
      <c r="BO56" s="44"/>
      <c r="BP56" s="44"/>
      <c r="BQ56" s="44"/>
      <c r="BR56" s="44"/>
      <c r="BS56" s="44"/>
      <c r="BT56" s="44"/>
      <c r="BU56" s="44"/>
      <c r="BV56" s="46" t="str">
        <f t="shared" si="20"/>
        <v/>
      </c>
      <c r="BW56" s="50"/>
      <c r="BX56" s="50"/>
      <c r="BY56" s="50"/>
      <c r="BZ56" s="50"/>
      <c r="CA56" s="50"/>
      <c r="CB56" s="50"/>
      <c r="CC56" s="50"/>
      <c r="CD56" s="46" t="str">
        <f t="shared" si="21"/>
        <v/>
      </c>
      <c r="CE56" s="44"/>
      <c r="CF56" s="44"/>
      <c r="CG56" s="44"/>
      <c r="CH56" s="44"/>
      <c r="CI56" s="44"/>
      <c r="CJ56" s="44"/>
      <c r="CK56" s="44"/>
      <c r="CL56" s="46" t="str">
        <f t="shared" si="22"/>
        <v/>
      </c>
      <c r="CM56" s="44"/>
      <c r="CN56" s="44"/>
      <c r="CO56" s="44"/>
      <c r="CP56" s="44"/>
      <c r="CQ56" s="44"/>
      <c r="CR56" s="44"/>
      <c r="CS56" s="44"/>
      <c r="CT56" s="48" t="str">
        <f t="shared" si="23"/>
        <v/>
      </c>
    </row>
    <row r="57" spans="1:98" ht="40" customHeight="1" x14ac:dyDescent="0.15">
      <c r="A57" s="123" t="s">
        <v>152</v>
      </c>
      <c r="B57" s="49" t="s">
        <v>153</v>
      </c>
      <c r="C57" s="70"/>
      <c r="D57" s="44"/>
      <c r="E57" s="44"/>
      <c r="F57" s="44"/>
      <c r="G57" s="44"/>
      <c r="H57" s="44"/>
      <c r="I57" s="44"/>
      <c r="J57" s="45" t="str">
        <f t="shared" si="12"/>
        <v/>
      </c>
      <c r="K57" s="44"/>
      <c r="L57" s="44"/>
      <c r="M57" s="44"/>
      <c r="N57" s="44"/>
      <c r="O57" s="44"/>
      <c r="P57" s="44"/>
      <c r="Q57" s="44"/>
      <c r="R57" s="45" t="str">
        <f t="shared" si="13"/>
        <v/>
      </c>
      <c r="S57" s="44"/>
      <c r="T57" s="44"/>
      <c r="U57" s="44"/>
      <c r="V57" s="44"/>
      <c r="W57" s="44"/>
      <c r="X57" s="44"/>
      <c r="Y57" s="44"/>
      <c r="Z57" s="46" t="str">
        <f t="shared" si="14"/>
        <v/>
      </c>
      <c r="AA57" s="44"/>
      <c r="AB57" s="44"/>
      <c r="AC57" s="44"/>
      <c r="AD57" s="44"/>
      <c r="AE57" s="44"/>
      <c r="AF57" s="44"/>
      <c r="AG57" s="44"/>
      <c r="AH57" s="46" t="str">
        <f t="shared" si="15"/>
        <v/>
      </c>
      <c r="AI57" s="44"/>
      <c r="AJ57" s="44"/>
      <c r="AK57" s="44"/>
      <c r="AL57" s="44"/>
      <c r="AM57" s="44"/>
      <c r="AN57" s="44"/>
      <c r="AO57" s="44"/>
      <c r="AP57" s="46" t="str">
        <f t="shared" si="16"/>
        <v/>
      </c>
      <c r="AQ57" s="44"/>
      <c r="AR57" s="44"/>
      <c r="AS57" s="44"/>
      <c r="AT57" s="44"/>
      <c r="AU57" s="44"/>
      <c r="AV57" s="44"/>
      <c r="AW57" s="44"/>
      <c r="AX57" s="46" t="str">
        <f t="shared" si="17"/>
        <v/>
      </c>
      <c r="AY57" s="44"/>
      <c r="AZ57" s="44"/>
      <c r="BA57" s="44"/>
      <c r="BB57" s="44"/>
      <c r="BC57" s="44"/>
      <c r="BD57" s="44"/>
      <c r="BE57" s="44"/>
      <c r="BF57" s="46" t="str">
        <f t="shared" si="18"/>
        <v/>
      </c>
      <c r="BG57" s="44"/>
      <c r="BH57" s="44"/>
      <c r="BI57" s="44"/>
      <c r="BJ57" s="44"/>
      <c r="BK57" s="44"/>
      <c r="BL57" s="44"/>
      <c r="BM57" s="44"/>
      <c r="BN57" s="46" t="str">
        <f t="shared" si="19"/>
        <v/>
      </c>
      <c r="BO57" s="44"/>
      <c r="BP57" s="44"/>
      <c r="BQ57" s="44"/>
      <c r="BR57" s="44"/>
      <c r="BS57" s="44"/>
      <c r="BT57" s="44"/>
      <c r="BU57" s="44"/>
      <c r="BV57" s="46" t="str">
        <f t="shared" si="20"/>
        <v/>
      </c>
      <c r="BW57" s="50"/>
      <c r="BX57" s="50"/>
      <c r="BY57" s="50"/>
      <c r="BZ57" s="50"/>
      <c r="CA57" s="50"/>
      <c r="CB57" s="50"/>
      <c r="CC57" s="50"/>
      <c r="CD57" s="46" t="str">
        <f t="shared" si="21"/>
        <v/>
      </c>
      <c r="CE57" s="44"/>
      <c r="CF57" s="44"/>
      <c r="CG57" s="44"/>
      <c r="CH57" s="44"/>
      <c r="CI57" s="44"/>
      <c r="CJ57" s="44"/>
      <c r="CK57" s="44"/>
      <c r="CL57" s="46" t="str">
        <f t="shared" si="22"/>
        <v/>
      </c>
      <c r="CM57" s="44"/>
      <c r="CN57" s="44"/>
      <c r="CO57" s="44"/>
      <c r="CP57" s="44"/>
      <c r="CQ57" s="44"/>
      <c r="CR57" s="44"/>
      <c r="CS57" s="44"/>
      <c r="CT57" s="48" t="str">
        <f t="shared" si="23"/>
        <v/>
      </c>
    </row>
    <row r="58" spans="1:98" ht="40" customHeight="1" x14ac:dyDescent="0.15">
      <c r="A58" s="124" t="s">
        <v>154</v>
      </c>
      <c r="B58" s="51" t="s">
        <v>155</v>
      </c>
      <c r="C58" s="70"/>
      <c r="D58" s="44"/>
      <c r="E58" s="44"/>
      <c r="F58" s="44"/>
      <c r="G58" s="44"/>
      <c r="H58" s="44"/>
      <c r="I58" s="44"/>
      <c r="J58" s="45" t="str">
        <f t="shared" si="12"/>
        <v/>
      </c>
      <c r="K58" s="44"/>
      <c r="L58" s="44"/>
      <c r="M58" s="44"/>
      <c r="N58" s="44"/>
      <c r="O58" s="44"/>
      <c r="P58" s="44"/>
      <c r="Q58" s="44"/>
      <c r="R58" s="45" t="str">
        <f t="shared" si="13"/>
        <v/>
      </c>
      <c r="S58" s="44"/>
      <c r="T58" s="44"/>
      <c r="U58" s="44"/>
      <c r="V58" s="44"/>
      <c r="W58" s="44"/>
      <c r="X58" s="44"/>
      <c r="Y58" s="44"/>
      <c r="Z58" s="46" t="str">
        <f t="shared" si="14"/>
        <v/>
      </c>
      <c r="AA58" s="44"/>
      <c r="AB58" s="44"/>
      <c r="AC58" s="44"/>
      <c r="AD58" s="44"/>
      <c r="AE58" s="44"/>
      <c r="AF58" s="44"/>
      <c r="AG58" s="44"/>
      <c r="AH58" s="46" t="str">
        <f t="shared" si="15"/>
        <v/>
      </c>
      <c r="AI58" s="44"/>
      <c r="AJ58" s="44"/>
      <c r="AK58" s="44"/>
      <c r="AL58" s="44"/>
      <c r="AM58" s="44"/>
      <c r="AN58" s="44"/>
      <c r="AO58" s="44"/>
      <c r="AP58" s="46" t="str">
        <f t="shared" si="16"/>
        <v/>
      </c>
      <c r="AQ58" s="44"/>
      <c r="AR58" s="44"/>
      <c r="AS58" s="44"/>
      <c r="AT58" s="44"/>
      <c r="AU58" s="44"/>
      <c r="AV58" s="44"/>
      <c r="AW58" s="44"/>
      <c r="AX58" s="46" t="str">
        <f t="shared" si="17"/>
        <v/>
      </c>
      <c r="AY58" s="44"/>
      <c r="AZ58" s="44"/>
      <c r="BA58" s="44"/>
      <c r="BB58" s="44"/>
      <c r="BC58" s="44"/>
      <c r="BD58" s="44"/>
      <c r="BE58" s="44"/>
      <c r="BF58" s="46" t="str">
        <f t="shared" si="18"/>
        <v/>
      </c>
      <c r="BG58" s="44"/>
      <c r="BH58" s="44"/>
      <c r="BI58" s="44"/>
      <c r="BJ58" s="44"/>
      <c r="BK58" s="44"/>
      <c r="BL58" s="44"/>
      <c r="BM58" s="44"/>
      <c r="BN58" s="46" t="str">
        <f t="shared" si="19"/>
        <v/>
      </c>
      <c r="BO58" s="44"/>
      <c r="BP58" s="44"/>
      <c r="BQ58" s="44"/>
      <c r="BR58" s="44"/>
      <c r="BS58" s="44"/>
      <c r="BT58" s="44"/>
      <c r="BU58" s="44"/>
      <c r="BV58" s="46" t="str">
        <f t="shared" si="20"/>
        <v/>
      </c>
      <c r="BW58" s="50"/>
      <c r="BX58" s="50"/>
      <c r="BY58" s="50"/>
      <c r="BZ58" s="50"/>
      <c r="CA58" s="50"/>
      <c r="CB58" s="50"/>
      <c r="CC58" s="50"/>
      <c r="CD58" s="46" t="str">
        <f t="shared" si="21"/>
        <v/>
      </c>
      <c r="CE58" s="44"/>
      <c r="CF58" s="44"/>
      <c r="CG58" s="44"/>
      <c r="CH58" s="44"/>
      <c r="CI58" s="44"/>
      <c r="CJ58" s="44"/>
      <c r="CK58" s="44"/>
      <c r="CL58" s="46" t="str">
        <f t="shared" si="22"/>
        <v/>
      </c>
      <c r="CM58" s="44"/>
      <c r="CN58" s="44"/>
      <c r="CO58" s="44"/>
      <c r="CP58" s="44"/>
      <c r="CQ58" s="44"/>
      <c r="CR58" s="44"/>
      <c r="CS58" s="44"/>
      <c r="CT58" s="48" t="str">
        <f t="shared" si="23"/>
        <v/>
      </c>
    </row>
    <row r="59" spans="1:98" ht="40" customHeight="1" x14ac:dyDescent="0.15">
      <c r="A59" s="123" t="s">
        <v>157</v>
      </c>
      <c r="B59" s="49" t="s">
        <v>158</v>
      </c>
      <c r="C59" s="70"/>
      <c r="D59" s="44"/>
      <c r="E59" s="44"/>
      <c r="F59" s="44"/>
      <c r="G59" s="44"/>
      <c r="H59" s="44"/>
      <c r="I59" s="44"/>
      <c r="J59" s="45" t="str">
        <f t="shared" si="12"/>
        <v/>
      </c>
      <c r="K59" s="44"/>
      <c r="L59" s="44"/>
      <c r="M59" s="44"/>
      <c r="N59" s="44"/>
      <c r="O59" s="44"/>
      <c r="P59" s="44"/>
      <c r="Q59" s="44"/>
      <c r="R59" s="45" t="str">
        <f t="shared" si="13"/>
        <v/>
      </c>
      <c r="S59" s="44"/>
      <c r="T59" s="44"/>
      <c r="U59" s="44"/>
      <c r="V59" s="44"/>
      <c r="W59" s="44"/>
      <c r="X59" s="44"/>
      <c r="Y59" s="44"/>
      <c r="Z59" s="46" t="str">
        <f t="shared" si="14"/>
        <v/>
      </c>
      <c r="AA59" s="44"/>
      <c r="AB59" s="44"/>
      <c r="AC59" s="44"/>
      <c r="AD59" s="44"/>
      <c r="AE59" s="44"/>
      <c r="AF59" s="44"/>
      <c r="AG59" s="44"/>
      <c r="AH59" s="46" t="str">
        <f t="shared" si="15"/>
        <v/>
      </c>
      <c r="AI59" s="44"/>
      <c r="AJ59" s="44"/>
      <c r="AK59" s="44"/>
      <c r="AL59" s="44"/>
      <c r="AM59" s="44"/>
      <c r="AN59" s="44"/>
      <c r="AO59" s="44"/>
      <c r="AP59" s="46" t="str">
        <f t="shared" si="16"/>
        <v/>
      </c>
      <c r="AQ59" s="44"/>
      <c r="AR59" s="44"/>
      <c r="AS59" s="44"/>
      <c r="AT59" s="44"/>
      <c r="AU59" s="44"/>
      <c r="AV59" s="44"/>
      <c r="AW59" s="44"/>
      <c r="AX59" s="46" t="str">
        <f t="shared" si="17"/>
        <v/>
      </c>
      <c r="AY59" s="44"/>
      <c r="AZ59" s="44"/>
      <c r="BA59" s="44"/>
      <c r="BB59" s="44"/>
      <c r="BC59" s="44"/>
      <c r="BD59" s="44"/>
      <c r="BE59" s="44"/>
      <c r="BF59" s="46" t="str">
        <f t="shared" si="18"/>
        <v/>
      </c>
      <c r="BG59" s="44"/>
      <c r="BH59" s="44"/>
      <c r="BI59" s="44"/>
      <c r="BJ59" s="44"/>
      <c r="BK59" s="44"/>
      <c r="BL59" s="44"/>
      <c r="BM59" s="44"/>
      <c r="BN59" s="46" t="str">
        <f t="shared" si="19"/>
        <v/>
      </c>
      <c r="BO59" s="44"/>
      <c r="BP59" s="44"/>
      <c r="BQ59" s="44"/>
      <c r="BR59" s="44"/>
      <c r="BS59" s="44"/>
      <c r="BT59" s="44"/>
      <c r="BU59" s="44"/>
      <c r="BV59" s="46" t="str">
        <f t="shared" si="20"/>
        <v/>
      </c>
      <c r="BW59" s="50"/>
      <c r="BX59" s="50"/>
      <c r="BY59" s="50"/>
      <c r="BZ59" s="50"/>
      <c r="CA59" s="50"/>
      <c r="CB59" s="50"/>
      <c r="CC59" s="50"/>
      <c r="CD59" s="46" t="str">
        <f t="shared" si="21"/>
        <v/>
      </c>
      <c r="CE59" s="44"/>
      <c r="CF59" s="44"/>
      <c r="CG59" s="44"/>
      <c r="CH59" s="44"/>
      <c r="CI59" s="44"/>
      <c r="CJ59" s="44"/>
      <c r="CK59" s="44"/>
      <c r="CL59" s="46" t="str">
        <f t="shared" si="22"/>
        <v/>
      </c>
      <c r="CM59" s="44"/>
      <c r="CN59" s="44"/>
      <c r="CO59" s="44"/>
      <c r="CP59" s="44"/>
      <c r="CQ59" s="44"/>
      <c r="CR59" s="44"/>
      <c r="CS59" s="44"/>
      <c r="CT59" s="48" t="str">
        <f t="shared" si="23"/>
        <v/>
      </c>
    </row>
    <row r="60" spans="1:98" ht="40" customHeight="1" x14ac:dyDescent="0.15">
      <c r="A60" s="124" t="s">
        <v>160</v>
      </c>
      <c r="B60" s="51" t="s">
        <v>161</v>
      </c>
      <c r="C60" s="70"/>
      <c r="D60" s="44"/>
      <c r="E60" s="44"/>
      <c r="F60" s="44"/>
      <c r="G60" s="44"/>
      <c r="H60" s="44"/>
      <c r="I60" s="44"/>
      <c r="J60" s="45" t="str">
        <f t="shared" si="12"/>
        <v/>
      </c>
      <c r="K60" s="44"/>
      <c r="L60" s="44"/>
      <c r="M60" s="44"/>
      <c r="N60" s="44"/>
      <c r="O60" s="44"/>
      <c r="P60" s="44"/>
      <c r="Q60" s="44"/>
      <c r="R60" s="45" t="str">
        <f t="shared" si="13"/>
        <v/>
      </c>
      <c r="S60" s="44"/>
      <c r="T60" s="44"/>
      <c r="U60" s="44"/>
      <c r="V60" s="44"/>
      <c r="W60" s="44"/>
      <c r="X60" s="44"/>
      <c r="Y60" s="44"/>
      <c r="Z60" s="46" t="str">
        <f t="shared" si="14"/>
        <v/>
      </c>
      <c r="AA60" s="44"/>
      <c r="AB60" s="44"/>
      <c r="AC60" s="44"/>
      <c r="AD60" s="44"/>
      <c r="AE60" s="44"/>
      <c r="AF60" s="44"/>
      <c r="AG60" s="44"/>
      <c r="AH60" s="46" t="str">
        <f t="shared" si="15"/>
        <v/>
      </c>
      <c r="AI60" s="44"/>
      <c r="AJ60" s="44"/>
      <c r="AK60" s="44"/>
      <c r="AL60" s="44"/>
      <c r="AM60" s="44"/>
      <c r="AN60" s="44"/>
      <c r="AO60" s="44"/>
      <c r="AP60" s="46" t="str">
        <f t="shared" si="16"/>
        <v/>
      </c>
      <c r="AQ60" s="44"/>
      <c r="AR60" s="44"/>
      <c r="AS60" s="44"/>
      <c r="AT60" s="44"/>
      <c r="AU60" s="44"/>
      <c r="AV60" s="44"/>
      <c r="AW60" s="44"/>
      <c r="AX60" s="46" t="str">
        <f t="shared" si="17"/>
        <v/>
      </c>
      <c r="AY60" s="44"/>
      <c r="AZ60" s="44"/>
      <c r="BA60" s="44"/>
      <c r="BB60" s="44"/>
      <c r="BC60" s="44"/>
      <c r="BD60" s="44"/>
      <c r="BE60" s="44"/>
      <c r="BF60" s="46" t="str">
        <f t="shared" si="18"/>
        <v/>
      </c>
      <c r="BG60" s="44"/>
      <c r="BH60" s="44"/>
      <c r="BI60" s="44"/>
      <c r="BJ60" s="44"/>
      <c r="BK60" s="44"/>
      <c r="BL60" s="44"/>
      <c r="BM60" s="44"/>
      <c r="BN60" s="46" t="str">
        <f t="shared" si="19"/>
        <v/>
      </c>
      <c r="BO60" s="44"/>
      <c r="BP60" s="44"/>
      <c r="BQ60" s="44"/>
      <c r="BR60" s="44"/>
      <c r="BS60" s="44"/>
      <c r="BT60" s="44"/>
      <c r="BU60" s="44"/>
      <c r="BV60" s="46" t="str">
        <f t="shared" si="20"/>
        <v/>
      </c>
      <c r="BW60" s="50"/>
      <c r="BX60" s="50"/>
      <c r="BY60" s="50"/>
      <c r="BZ60" s="50"/>
      <c r="CA60" s="50"/>
      <c r="CB60" s="50"/>
      <c r="CC60" s="50"/>
      <c r="CD60" s="46" t="str">
        <f t="shared" si="21"/>
        <v/>
      </c>
      <c r="CE60" s="44"/>
      <c r="CF60" s="44"/>
      <c r="CG60" s="44"/>
      <c r="CH60" s="44"/>
      <c r="CI60" s="44"/>
      <c r="CJ60" s="44"/>
      <c r="CK60" s="44"/>
      <c r="CL60" s="46" t="str">
        <f t="shared" si="22"/>
        <v/>
      </c>
      <c r="CM60" s="44"/>
      <c r="CN60" s="44"/>
      <c r="CO60" s="44"/>
      <c r="CP60" s="44"/>
      <c r="CQ60" s="44"/>
      <c r="CR60" s="44"/>
      <c r="CS60" s="44"/>
      <c r="CT60" s="48" t="str">
        <f t="shared" si="23"/>
        <v/>
      </c>
    </row>
    <row r="61" spans="1:98" ht="40" customHeight="1" x14ac:dyDescent="0.15">
      <c r="A61" s="123" t="s">
        <v>163</v>
      </c>
      <c r="B61" s="49" t="s">
        <v>164</v>
      </c>
      <c r="C61" s="70"/>
      <c r="D61" s="44"/>
      <c r="E61" s="44"/>
      <c r="F61" s="44"/>
      <c r="G61" s="44"/>
      <c r="H61" s="44"/>
      <c r="I61" s="44"/>
      <c r="J61" s="45" t="str">
        <f t="shared" si="12"/>
        <v/>
      </c>
      <c r="K61" s="44"/>
      <c r="L61" s="44"/>
      <c r="M61" s="44"/>
      <c r="N61" s="44"/>
      <c r="O61" s="44"/>
      <c r="P61" s="44"/>
      <c r="Q61" s="44"/>
      <c r="R61" s="45" t="str">
        <f t="shared" si="13"/>
        <v/>
      </c>
      <c r="S61" s="44"/>
      <c r="T61" s="44"/>
      <c r="U61" s="44"/>
      <c r="V61" s="44"/>
      <c r="W61" s="44"/>
      <c r="X61" s="44"/>
      <c r="Y61" s="44"/>
      <c r="Z61" s="46" t="str">
        <f t="shared" si="14"/>
        <v/>
      </c>
      <c r="AA61" s="44"/>
      <c r="AB61" s="44"/>
      <c r="AC61" s="44"/>
      <c r="AD61" s="44"/>
      <c r="AE61" s="44"/>
      <c r="AF61" s="44"/>
      <c r="AG61" s="44"/>
      <c r="AH61" s="46" t="str">
        <f t="shared" si="15"/>
        <v/>
      </c>
      <c r="AI61" s="44"/>
      <c r="AJ61" s="44"/>
      <c r="AK61" s="44"/>
      <c r="AL61" s="44"/>
      <c r="AM61" s="44"/>
      <c r="AN61" s="44"/>
      <c r="AO61" s="44"/>
      <c r="AP61" s="46" t="str">
        <f t="shared" si="16"/>
        <v/>
      </c>
      <c r="AQ61" s="44"/>
      <c r="AR61" s="44"/>
      <c r="AS61" s="44"/>
      <c r="AT61" s="44"/>
      <c r="AU61" s="44"/>
      <c r="AV61" s="44"/>
      <c r="AW61" s="44"/>
      <c r="AX61" s="46" t="str">
        <f t="shared" si="17"/>
        <v/>
      </c>
      <c r="AY61" s="44"/>
      <c r="AZ61" s="44"/>
      <c r="BA61" s="44"/>
      <c r="BB61" s="44"/>
      <c r="BC61" s="44"/>
      <c r="BD61" s="44"/>
      <c r="BE61" s="44"/>
      <c r="BF61" s="46" t="str">
        <f t="shared" si="18"/>
        <v/>
      </c>
      <c r="BG61" s="44"/>
      <c r="BH61" s="44"/>
      <c r="BI61" s="44"/>
      <c r="BJ61" s="44"/>
      <c r="BK61" s="44"/>
      <c r="BL61" s="44"/>
      <c r="BM61" s="44"/>
      <c r="BN61" s="46" t="str">
        <f t="shared" si="19"/>
        <v/>
      </c>
      <c r="BO61" s="44"/>
      <c r="BP61" s="44"/>
      <c r="BQ61" s="44"/>
      <c r="BR61" s="44"/>
      <c r="BS61" s="44"/>
      <c r="BT61" s="44"/>
      <c r="BU61" s="44"/>
      <c r="BV61" s="46" t="str">
        <f t="shared" si="20"/>
        <v/>
      </c>
      <c r="BW61" s="50"/>
      <c r="BX61" s="50"/>
      <c r="BY61" s="50"/>
      <c r="BZ61" s="50"/>
      <c r="CA61" s="50"/>
      <c r="CB61" s="50"/>
      <c r="CC61" s="50"/>
      <c r="CD61" s="46" t="str">
        <f t="shared" si="21"/>
        <v/>
      </c>
      <c r="CE61" s="44"/>
      <c r="CF61" s="44"/>
      <c r="CG61" s="44"/>
      <c r="CH61" s="44"/>
      <c r="CI61" s="44"/>
      <c r="CJ61" s="44"/>
      <c r="CK61" s="44"/>
      <c r="CL61" s="46" t="str">
        <f t="shared" si="22"/>
        <v/>
      </c>
      <c r="CM61" s="44"/>
      <c r="CN61" s="44"/>
      <c r="CO61" s="44"/>
      <c r="CP61" s="44"/>
      <c r="CQ61" s="44"/>
      <c r="CR61" s="44"/>
      <c r="CS61" s="44"/>
      <c r="CT61" s="48" t="str">
        <f t="shared" si="23"/>
        <v/>
      </c>
    </row>
    <row r="62" spans="1:98" ht="40" customHeight="1" x14ac:dyDescent="0.15">
      <c r="A62" s="124" t="s">
        <v>166</v>
      </c>
      <c r="B62" s="51" t="s">
        <v>167</v>
      </c>
      <c r="C62" s="70"/>
      <c r="D62" s="44"/>
      <c r="E62" s="44"/>
      <c r="F62" s="44"/>
      <c r="G62" s="44"/>
      <c r="H62" s="44"/>
      <c r="I62" s="44"/>
      <c r="J62" s="45" t="str">
        <f t="shared" si="12"/>
        <v/>
      </c>
      <c r="K62" s="44"/>
      <c r="L62" s="44"/>
      <c r="M62" s="44"/>
      <c r="N62" s="44"/>
      <c r="O62" s="44"/>
      <c r="P62" s="44"/>
      <c r="Q62" s="44"/>
      <c r="R62" s="45" t="str">
        <f t="shared" si="13"/>
        <v/>
      </c>
      <c r="S62" s="44"/>
      <c r="T62" s="44"/>
      <c r="U62" s="44"/>
      <c r="V62" s="44"/>
      <c r="W62" s="44"/>
      <c r="X62" s="44"/>
      <c r="Y62" s="44"/>
      <c r="Z62" s="46" t="str">
        <f t="shared" si="14"/>
        <v/>
      </c>
      <c r="AA62" s="44"/>
      <c r="AB62" s="44"/>
      <c r="AC62" s="44"/>
      <c r="AD62" s="44"/>
      <c r="AE62" s="44"/>
      <c r="AF62" s="44"/>
      <c r="AG62" s="44"/>
      <c r="AH62" s="46" t="str">
        <f t="shared" si="15"/>
        <v/>
      </c>
      <c r="AI62" s="44"/>
      <c r="AJ62" s="44"/>
      <c r="AK62" s="44"/>
      <c r="AL62" s="44"/>
      <c r="AM62" s="44"/>
      <c r="AN62" s="44"/>
      <c r="AO62" s="44"/>
      <c r="AP62" s="46" t="str">
        <f t="shared" si="16"/>
        <v/>
      </c>
      <c r="AQ62" s="44"/>
      <c r="AR62" s="44"/>
      <c r="AS62" s="44"/>
      <c r="AT62" s="44"/>
      <c r="AU62" s="44"/>
      <c r="AV62" s="44"/>
      <c r="AW62" s="44"/>
      <c r="AX62" s="46" t="str">
        <f t="shared" si="17"/>
        <v/>
      </c>
      <c r="AY62" s="44"/>
      <c r="AZ62" s="44"/>
      <c r="BA62" s="44"/>
      <c r="BB62" s="44"/>
      <c r="BC62" s="44"/>
      <c r="BD62" s="44"/>
      <c r="BE62" s="44"/>
      <c r="BF62" s="46" t="str">
        <f t="shared" si="18"/>
        <v/>
      </c>
      <c r="BG62" s="44"/>
      <c r="BH62" s="44"/>
      <c r="BI62" s="44"/>
      <c r="BJ62" s="44"/>
      <c r="BK62" s="44"/>
      <c r="BL62" s="44"/>
      <c r="BM62" s="44"/>
      <c r="BN62" s="46" t="str">
        <f t="shared" si="19"/>
        <v/>
      </c>
      <c r="BO62" s="44"/>
      <c r="BP62" s="44"/>
      <c r="BQ62" s="44"/>
      <c r="BR62" s="44"/>
      <c r="BS62" s="44"/>
      <c r="BT62" s="44"/>
      <c r="BU62" s="44"/>
      <c r="BV62" s="46" t="str">
        <f t="shared" si="20"/>
        <v/>
      </c>
      <c r="BW62" s="50"/>
      <c r="BX62" s="50"/>
      <c r="BY62" s="50"/>
      <c r="BZ62" s="50"/>
      <c r="CA62" s="50"/>
      <c r="CB62" s="50"/>
      <c r="CC62" s="50"/>
      <c r="CD62" s="46" t="str">
        <f t="shared" si="21"/>
        <v/>
      </c>
      <c r="CE62" s="44"/>
      <c r="CF62" s="44"/>
      <c r="CG62" s="44"/>
      <c r="CH62" s="44"/>
      <c r="CI62" s="44"/>
      <c r="CJ62" s="44"/>
      <c r="CK62" s="44"/>
      <c r="CL62" s="46" t="str">
        <f t="shared" si="22"/>
        <v/>
      </c>
      <c r="CM62" s="44"/>
      <c r="CN62" s="44"/>
      <c r="CO62" s="44"/>
      <c r="CP62" s="44"/>
      <c r="CQ62" s="44"/>
      <c r="CR62" s="44"/>
      <c r="CS62" s="44"/>
      <c r="CT62" s="48" t="str">
        <f t="shared" si="23"/>
        <v/>
      </c>
    </row>
    <row r="63" spans="1:98" ht="40" customHeight="1" x14ac:dyDescent="0.15">
      <c r="A63" s="123" t="s">
        <v>168</v>
      </c>
      <c r="B63" s="49" t="s">
        <v>169</v>
      </c>
      <c r="C63" s="70"/>
      <c r="D63" s="44"/>
      <c r="E63" s="44"/>
      <c r="F63" s="44"/>
      <c r="G63" s="44"/>
      <c r="H63" s="44"/>
      <c r="I63" s="44"/>
      <c r="J63" s="45" t="str">
        <f t="shared" si="12"/>
        <v/>
      </c>
      <c r="K63" s="44"/>
      <c r="L63" s="44"/>
      <c r="M63" s="44"/>
      <c r="N63" s="44"/>
      <c r="O63" s="44"/>
      <c r="P63" s="44"/>
      <c r="Q63" s="44"/>
      <c r="R63" s="45" t="str">
        <f t="shared" si="13"/>
        <v/>
      </c>
      <c r="S63" s="44"/>
      <c r="T63" s="44"/>
      <c r="U63" s="44"/>
      <c r="V63" s="44"/>
      <c r="W63" s="44"/>
      <c r="X63" s="44"/>
      <c r="Y63" s="44"/>
      <c r="Z63" s="46" t="str">
        <f t="shared" si="14"/>
        <v/>
      </c>
      <c r="AA63" s="44"/>
      <c r="AB63" s="44"/>
      <c r="AC63" s="44"/>
      <c r="AD63" s="44"/>
      <c r="AE63" s="44"/>
      <c r="AF63" s="44"/>
      <c r="AG63" s="44"/>
      <c r="AH63" s="46" t="str">
        <f t="shared" si="15"/>
        <v/>
      </c>
      <c r="AI63" s="44"/>
      <c r="AJ63" s="44"/>
      <c r="AK63" s="44"/>
      <c r="AL63" s="44"/>
      <c r="AM63" s="44"/>
      <c r="AN63" s="44"/>
      <c r="AO63" s="44"/>
      <c r="AP63" s="46" t="str">
        <f t="shared" si="16"/>
        <v/>
      </c>
      <c r="AQ63" s="44"/>
      <c r="AR63" s="44"/>
      <c r="AS63" s="44"/>
      <c r="AT63" s="44"/>
      <c r="AU63" s="44"/>
      <c r="AV63" s="44"/>
      <c r="AW63" s="44"/>
      <c r="AX63" s="46" t="str">
        <f t="shared" si="17"/>
        <v/>
      </c>
      <c r="AY63" s="44"/>
      <c r="AZ63" s="44"/>
      <c r="BA63" s="44"/>
      <c r="BB63" s="44"/>
      <c r="BC63" s="44"/>
      <c r="BD63" s="44"/>
      <c r="BE63" s="44"/>
      <c r="BF63" s="46" t="str">
        <f t="shared" si="18"/>
        <v/>
      </c>
      <c r="BG63" s="44"/>
      <c r="BH63" s="44"/>
      <c r="BI63" s="44"/>
      <c r="BJ63" s="44"/>
      <c r="BK63" s="44"/>
      <c r="BL63" s="44"/>
      <c r="BM63" s="44"/>
      <c r="BN63" s="46" t="str">
        <f t="shared" si="19"/>
        <v/>
      </c>
      <c r="BO63" s="44"/>
      <c r="BP63" s="44"/>
      <c r="BQ63" s="44"/>
      <c r="BR63" s="44"/>
      <c r="BS63" s="44"/>
      <c r="BT63" s="44"/>
      <c r="BU63" s="44"/>
      <c r="BV63" s="46" t="str">
        <f t="shared" si="20"/>
        <v/>
      </c>
      <c r="BW63" s="50"/>
      <c r="BX63" s="50"/>
      <c r="BY63" s="50"/>
      <c r="BZ63" s="50"/>
      <c r="CA63" s="50"/>
      <c r="CB63" s="50"/>
      <c r="CC63" s="50"/>
      <c r="CD63" s="46" t="str">
        <f t="shared" si="21"/>
        <v/>
      </c>
      <c r="CE63" s="44"/>
      <c r="CF63" s="44"/>
      <c r="CG63" s="44"/>
      <c r="CH63" s="44"/>
      <c r="CI63" s="44"/>
      <c r="CJ63" s="44"/>
      <c r="CK63" s="44"/>
      <c r="CL63" s="46" t="str">
        <f t="shared" si="22"/>
        <v/>
      </c>
      <c r="CM63" s="44"/>
      <c r="CN63" s="44"/>
      <c r="CO63" s="44"/>
      <c r="CP63" s="44"/>
      <c r="CQ63" s="44"/>
      <c r="CR63" s="44"/>
      <c r="CS63" s="44"/>
      <c r="CT63" s="48" t="str">
        <f t="shared" si="23"/>
        <v/>
      </c>
    </row>
    <row r="64" spans="1:98" ht="40" customHeight="1" x14ac:dyDescent="0.15">
      <c r="A64" s="124" t="s">
        <v>170</v>
      </c>
      <c r="B64" s="51" t="s">
        <v>171</v>
      </c>
      <c r="C64" s="70"/>
      <c r="D64" s="44"/>
      <c r="E64" s="44"/>
      <c r="F64" s="44"/>
      <c r="G64" s="44"/>
      <c r="H64" s="44"/>
      <c r="I64" s="44"/>
      <c r="J64" s="45" t="str">
        <f t="shared" si="12"/>
        <v/>
      </c>
      <c r="K64" s="44"/>
      <c r="L64" s="44"/>
      <c r="M64" s="44"/>
      <c r="N64" s="44"/>
      <c r="O64" s="44"/>
      <c r="P64" s="44"/>
      <c r="Q64" s="44"/>
      <c r="R64" s="45" t="str">
        <f t="shared" si="13"/>
        <v/>
      </c>
      <c r="S64" s="44"/>
      <c r="T64" s="44"/>
      <c r="U64" s="44"/>
      <c r="V64" s="44"/>
      <c r="W64" s="44"/>
      <c r="X64" s="44"/>
      <c r="Y64" s="44"/>
      <c r="Z64" s="46" t="str">
        <f t="shared" si="14"/>
        <v/>
      </c>
      <c r="AA64" s="44"/>
      <c r="AB64" s="44"/>
      <c r="AC64" s="44"/>
      <c r="AD64" s="44"/>
      <c r="AE64" s="44"/>
      <c r="AF64" s="44"/>
      <c r="AG64" s="44"/>
      <c r="AH64" s="46" t="str">
        <f t="shared" si="15"/>
        <v/>
      </c>
      <c r="AI64" s="44"/>
      <c r="AJ64" s="44"/>
      <c r="AK64" s="44"/>
      <c r="AL64" s="44"/>
      <c r="AM64" s="44"/>
      <c r="AN64" s="44"/>
      <c r="AO64" s="44"/>
      <c r="AP64" s="46" t="str">
        <f t="shared" si="16"/>
        <v/>
      </c>
      <c r="AQ64" s="44"/>
      <c r="AR64" s="44"/>
      <c r="AS64" s="44"/>
      <c r="AT64" s="44"/>
      <c r="AU64" s="44"/>
      <c r="AV64" s="44"/>
      <c r="AW64" s="44"/>
      <c r="AX64" s="46" t="str">
        <f t="shared" si="17"/>
        <v/>
      </c>
      <c r="AY64" s="44"/>
      <c r="AZ64" s="44"/>
      <c r="BA64" s="44"/>
      <c r="BB64" s="44"/>
      <c r="BC64" s="44"/>
      <c r="BD64" s="44"/>
      <c r="BE64" s="44"/>
      <c r="BF64" s="46" t="str">
        <f t="shared" si="18"/>
        <v/>
      </c>
      <c r="BG64" s="44"/>
      <c r="BH64" s="44"/>
      <c r="BI64" s="44"/>
      <c r="BJ64" s="44"/>
      <c r="BK64" s="44"/>
      <c r="BL64" s="44"/>
      <c r="BM64" s="44"/>
      <c r="BN64" s="46" t="str">
        <f t="shared" si="19"/>
        <v/>
      </c>
      <c r="BO64" s="44"/>
      <c r="BP64" s="44"/>
      <c r="BQ64" s="44"/>
      <c r="BR64" s="44"/>
      <c r="BS64" s="44"/>
      <c r="BT64" s="44"/>
      <c r="BU64" s="44"/>
      <c r="BV64" s="46" t="str">
        <f t="shared" si="20"/>
        <v/>
      </c>
      <c r="BW64" s="50"/>
      <c r="BX64" s="50"/>
      <c r="BY64" s="50"/>
      <c r="BZ64" s="50"/>
      <c r="CA64" s="50"/>
      <c r="CB64" s="50"/>
      <c r="CC64" s="50"/>
      <c r="CD64" s="46" t="str">
        <f t="shared" si="21"/>
        <v/>
      </c>
      <c r="CE64" s="44"/>
      <c r="CF64" s="44"/>
      <c r="CG64" s="44"/>
      <c r="CH64" s="44"/>
      <c r="CI64" s="44"/>
      <c r="CJ64" s="44"/>
      <c r="CK64" s="44"/>
      <c r="CL64" s="46" t="str">
        <f t="shared" si="22"/>
        <v/>
      </c>
      <c r="CM64" s="44"/>
      <c r="CN64" s="44"/>
      <c r="CO64" s="44"/>
      <c r="CP64" s="44"/>
      <c r="CQ64" s="44"/>
      <c r="CR64" s="44"/>
      <c r="CS64" s="44"/>
      <c r="CT64" s="48" t="str">
        <f t="shared" si="23"/>
        <v/>
      </c>
    </row>
    <row r="65" spans="1:98" ht="40" customHeight="1" x14ac:dyDescent="0.15">
      <c r="A65" s="123" t="s">
        <v>172</v>
      </c>
      <c r="B65" s="49" t="s">
        <v>173</v>
      </c>
      <c r="C65" s="70"/>
      <c r="D65" s="44"/>
      <c r="E65" s="44"/>
      <c r="F65" s="44"/>
      <c r="G65" s="44"/>
      <c r="H65" s="44"/>
      <c r="I65" s="44"/>
      <c r="J65" s="45" t="str">
        <f t="shared" si="12"/>
        <v/>
      </c>
      <c r="K65" s="44"/>
      <c r="L65" s="44"/>
      <c r="M65" s="44"/>
      <c r="N65" s="44"/>
      <c r="O65" s="44"/>
      <c r="P65" s="44"/>
      <c r="Q65" s="44"/>
      <c r="R65" s="45" t="str">
        <f t="shared" si="13"/>
        <v/>
      </c>
      <c r="S65" s="44"/>
      <c r="T65" s="44"/>
      <c r="U65" s="44"/>
      <c r="V65" s="44"/>
      <c r="W65" s="44"/>
      <c r="X65" s="44"/>
      <c r="Y65" s="44"/>
      <c r="Z65" s="46" t="str">
        <f t="shared" si="14"/>
        <v/>
      </c>
      <c r="AA65" s="44"/>
      <c r="AB65" s="44"/>
      <c r="AC65" s="44"/>
      <c r="AD65" s="44"/>
      <c r="AE65" s="44"/>
      <c r="AF65" s="44"/>
      <c r="AG65" s="44"/>
      <c r="AH65" s="46" t="str">
        <f t="shared" si="15"/>
        <v/>
      </c>
      <c r="AI65" s="44"/>
      <c r="AJ65" s="44"/>
      <c r="AK65" s="44"/>
      <c r="AL65" s="44"/>
      <c r="AM65" s="44"/>
      <c r="AN65" s="44"/>
      <c r="AO65" s="44"/>
      <c r="AP65" s="46" t="str">
        <f t="shared" si="16"/>
        <v/>
      </c>
      <c r="AQ65" s="44"/>
      <c r="AR65" s="44"/>
      <c r="AS65" s="44"/>
      <c r="AT65" s="44"/>
      <c r="AU65" s="44"/>
      <c r="AV65" s="44"/>
      <c r="AW65" s="44"/>
      <c r="AX65" s="46" t="str">
        <f t="shared" si="17"/>
        <v/>
      </c>
      <c r="AY65" s="44"/>
      <c r="AZ65" s="44"/>
      <c r="BA65" s="44"/>
      <c r="BB65" s="44"/>
      <c r="BC65" s="44"/>
      <c r="BD65" s="44"/>
      <c r="BE65" s="44"/>
      <c r="BF65" s="46" t="str">
        <f t="shared" si="18"/>
        <v/>
      </c>
      <c r="BG65" s="44"/>
      <c r="BH65" s="44"/>
      <c r="BI65" s="44"/>
      <c r="BJ65" s="44"/>
      <c r="BK65" s="44"/>
      <c r="BL65" s="44"/>
      <c r="BM65" s="44"/>
      <c r="BN65" s="46" t="str">
        <f t="shared" si="19"/>
        <v/>
      </c>
      <c r="BO65" s="44"/>
      <c r="BP65" s="44"/>
      <c r="BQ65" s="44"/>
      <c r="BR65" s="44"/>
      <c r="BS65" s="44"/>
      <c r="BT65" s="44"/>
      <c r="BU65" s="44"/>
      <c r="BV65" s="46" t="str">
        <f t="shared" si="20"/>
        <v/>
      </c>
      <c r="BW65" s="50"/>
      <c r="BX65" s="50"/>
      <c r="BY65" s="50"/>
      <c r="BZ65" s="50"/>
      <c r="CA65" s="50"/>
      <c r="CB65" s="50"/>
      <c r="CC65" s="50"/>
      <c r="CD65" s="46" t="str">
        <f t="shared" si="21"/>
        <v/>
      </c>
      <c r="CE65" s="44"/>
      <c r="CF65" s="44"/>
      <c r="CG65" s="44"/>
      <c r="CH65" s="44"/>
      <c r="CI65" s="44"/>
      <c r="CJ65" s="44"/>
      <c r="CK65" s="44"/>
      <c r="CL65" s="46" t="str">
        <f t="shared" si="22"/>
        <v/>
      </c>
      <c r="CM65" s="44"/>
      <c r="CN65" s="44"/>
      <c r="CO65" s="44"/>
      <c r="CP65" s="44"/>
      <c r="CQ65" s="44"/>
      <c r="CR65" s="44"/>
      <c r="CS65" s="44"/>
      <c r="CT65" s="48" t="str">
        <f t="shared" si="23"/>
        <v/>
      </c>
    </row>
    <row r="66" spans="1:98" ht="40" customHeight="1" x14ac:dyDescent="0.15">
      <c r="A66" s="123" t="s">
        <v>174</v>
      </c>
      <c r="B66" s="49" t="s">
        <v>175</v>
      </c>
      <c r="C66" s="70"/>
      <c r="D66" s="44"/>
      <c r="E66" s="44"/>
      <c r="F66" s="44"/>
      <c r="G66" s="44"/>
      <c r="H66" s="44"/>
      <c r="I66" s="44"/>
      <c r="J66" s="45" t="str">
        <f t="shared" si="12"/>
        <v/>
      </c>
      <c r="K66" s="44"/>
      <c r="L66" s="44"/>
      <c r="M66" s="44"/>
      <c r="N66" s="44"/>
      <c r="O66" s="44"/>
      <c r="P66" s="44"/>
      <c r="Q66" s="44"/>
      <c r="R66" s="45" t="str">
        <f t="shared" si="13"/>
        <v/>
      </c>
      <c r="S66" s="44"/>
      <c r="T66" s="44"/>
      <c r="U66" s="44"/>
      <c r="V66" s="44"/>
      <c r="W66" s="44"/>
      <c r="X66" s="44"/>
      <c r="Y66" s="44"/>
      <c r="Z66" s="46" t="str">
        <f t="shared" si="14"/>
        <v/>
      </c>
      <c r="AA66" s="44"/>
      <c r="AB66" s="44"/>
      <c r="AC66" s="44"/>
      <c r="AD66" s="44"/>
      <c r="AE66" s="44"/>
      <c r="AF66" s="44"/>
      <c r="AG66" s="44"/>
      <c r="AH66" s="46" t="str">
        <f t="shared" si="15"/>
        <v/>
      </c>
      <c r="AI66" s="44"/>
      <c r="AJ66" s="44"/>
      <c r="AK66" s="44"/>
      <c r="AL66" s="44"/>
      <c r="AM66" s="44"/>
      <c r="AN66" s="44"/>
      <c r="AO66" s="44"/>
      <c r="AP66" s="46" t="str">
        <f t="shared" si="16"/>
        <v/>
      </c>
      <c r="AQ66" s="44"/>
      <c r="AR66" s="44"/>
      <c r="AS66" s="44"/>
      <c r="AT66" s="44"/>
      <c r="AU66" s="44"/>
      <c r="AV66" s="44"/>
      <c r="AW66" s="44"/>
      <c r="AX66" s="46" t="str">
        <f t="shared" si="17"/>
        <v/>
      </c>
      <c r="AY66" s="44"/>
      <c r="AZ66" s="44"/>
      <c r="BA66" s="44"/>
      <c r="BB66" s="44"/>
      <c r="BC66" s="44"/>
      <c r="BD66" s="44"/>
      <c r="BE66" s="44"/>
      <c r="BF66" s="46" t="str">
        <f t="shared" si="18"/>
        <v/>
      </c>
      <c r="BG66" s="44"/>
      <c r="BH66" s="44"/>
      <c r="BI66" s="44"/>
      <c r="BJ66" s="44"/>
      <c r="BK66" s="44"/>
      <c r="BL66" s="44"/>
      <c r="BM66" s="44"/>
      <c r="BN66" s="46" t="str">
        <f t="shared" si="19"/>
        <v/>
      </c>
      <c r="BO66" s="44"/>
      <c r="BP66" s="44"/>
      <c r="BQ66" s="44"/>
      <c r="BR66" s="44"/>
      <c r="BS66" s="44"/>
      <c r="BT66" s="44"/>
      <c r="BU66" s="44"/>
      <c r="BV66" s="46" t="str">
        <f t="shared" si="20"/>
        <v/>
      </c>
      <c r="BW66" s="50"/>
      <c r="BX66" s="50"/>
      <c r="BY66" s="50"/>
      <c r="BZ66" s="50"/>
      <c r="CA66" s="50"/>
      <c r="CB66" s="50"/>
      <c r="CC66" s="50"/>
      <c r="CD66" s="46" t="str">
        <f t="shared" si="21"/>
        <v/>
      </c>
      <c r="CE66" s="44"/>
      <c r="CF66" s="44"/>
      <c r="CG66" s="44"/>
      <c r="CH66" s="44"/>
      <c r="CI66" s="44"/>
      <c r="CJ66" s="44"/>
      <c r="CK66" s="44"/>
      <c r="CL66" s="46" t="str">
        <f t="shared" si="22"/>
        <v/>
      </c>
      <c r="CM66" s="44"/>
      <c r="CN66" s="44"/>
      <c r="CO66" s="44"/>
      <c r="CP66" s="44"/>
      <c r="CQ66" s="44"/>
      <c r="CR66" s="44"/>
      <c r="CS66" s="44"/>
      <c r="CT66" s="48" t="str">
        <f t="shared" si="23"/>
        <v/>
      </c>
    </row>
    <row r="67" spans="1:98" ht="40" customHeight="1" x14ac:dyDescent="0.15">
      <c r="A67" s="124" t="s">
        <v>176</v>
      </c>
      <c r="B67" s="51" t="s">
        <v>177</v>
      </c>
      <c r="C67" s="70"/>
      <c r="D67" s="44"/>
      <c r="E67" s="44"/>
      <c r="F67" s="44"/>
      <c r="G67" s="44"/>
      <c r="H67" s="44"/>
      <c r="I67" s="44"/>
      <c r="J67" s="45" t="str">
        <f t="shared" si="12"/>
        <v/>
      </c>
      <c r="K67" s="44"/>
      <c r="L67" s="44"/>
      <c r="M67" s="44"/>
      <c r="N67" s="44"/>
      <c r="O67" s="44"/>
      <c r="P67" s="44"/>
      <c r="Q67" s="44"/>
      <c r="R67" s="45" t="str">
        <f t="shared" si="13"/>
        <v/>
      </c>
      <c r="S67" s="44"/>
      <c r="T67" s="44"/>
      <c r="U67" s="44"/>
      <c r="V67" s="44"/>
      <c r="W67" s="44"/>
      <c r="X67" s="44"/>
      <c r="Y67" s="44"/>
      <c r="Z67" s="46" t="str">
        <f t="shared" si="14"/>
        <v/>
      </c>
      <c r="AA67" s="44"/>
      <c r="AB67" s="44"/>
      <c r="AC67" s="44"/>
      <c r="AD67" s="44"/>
      <c r="AE67" s="44"/>
      <c r="AF67" s="44"/>
      <c r="AG67" s="44"/>
      <c r="AH67" s="46" t="str">
        <f t="shared" si="15"/>
        <v/>
      </c>
      <c r="AI67" s="44"/>
      <c r="AJ67" s="44"/>
      <c r="AK67" s="44"/>
      <c r="AL67" s="44"/>
      <c r="AM67" s="44"/>
      <c r="AN67" s="44"/>
      <c r="AO67" s="44"/>
      <c r="AP67" s="46" t="str">
        <f t="shared" si="16"/>
        <v/>
      </c>
      <c r="AQ67" s="44"/>
      <c r="AR67" s="44"/>
      <c r="AS67" s="44"/>
      <c r="AT67" s="44"/>
      <c r="AU67" s="44"/>
      <c r="AV67" s="44"/>
      <c r="AW67" s="44"/>
      <c r="AX67" s="46" t="str">
        <f t="shared" si="17"/>
        <v/>
      </c>
      <c r="AY67" s="44"/>
      <c r="AZ67" s="44"/>
      <c r="BA67" s="44"/>
      <c r="BB67" s="44"/>
      <c r="BC67" s="44"/>
      <c r="BD67" s="44"/>
      <c r="BE67" s="44"/>
      <c r="BF67" s="46" t="str">
        <f t="shared" si="18"/>
        <v/>
      </c>
      <c r="BG67" s="44"/>
      <c r="BH67" s="44"/>
      <c r="BI67" s="44"/>
      <c r="BJ67" s="44"/>
      <c r="BK67" s="44"/>
      <c r="BL67" s="44"/>
      <c r="BM67" s="44"/>
      <c r="BN67" s="46" t="str">
        <f t="shared" si="19"/>
        <v/>
      </c>
      <c r="BO67" s="44"/>
      <c r="BP67" s="44"/>
      <c r="BQ67" s="44"/>
      <c r="BR67" s="44"/>
      <c r="BS67" s="44"/>
      <c r="BT67" s="44"/>
      <c r="BU67" s="44"/>
      <c r="BV67" s="46" t="str">
        <f t="shared" si="20"/>
        <v/>
      </c>
      <c r="BW67" s="50"/>
      <c r="BX67" s="50"/>
      <c r="BY67" s="50"/>
      <c r="BZ67" s="50"/>
      <c r="CA67" s="50"/>
      <c r="CB67" s="50"/>
      <c r="CC67" s="50"/>
      <c r="CD67" s="46" t="str">
        <f t="shared" si="21"/>
        <v/>
      </c>
      <c r="CE67" s="44"/>
      <c r="CF67" s="44"/>
      <c r="CG67" s="44"/>
      <c r="CH67" s="44"/>
      <c r="CI67" s="44"/>
      <c r="CJ67" s="44"/>
      <c r="CK67" s="44"/>
      <c r="CL67" s="46" t="str">
        <f t="shared" si="22"/>
        <v/>
      </c>
      <c r="CM67" s="44"/>
      <c r="CN67" s="44"/>
      <c r="CO67" s="44"/>
      <c r="CP67" s="44"/>
      <c r="CQ67" s="44"/>
      <c r="CR67" s="44"/>
      <c r="CS67" s="44"/>
      <c r="CT67" s="48" t="str">
        <f t="shared" si="23"/>
        <v/>
      </c>
    </row>
    <row r="68" spans="1:98" ht="40" customHeight="1" x14ac:dyDescent="0.15">
      <c r="A68" s="124" t="s">
        <v>178</v>
      </c>
      <c r="B68" s="51" t="s">
        <v>179</v>
      </c>
      <c r="C68" s="70"/>
      <c r="D68" s="44"/>
      <c r="E68" s="44"/>
      <c r="F68" s="44"/>
      <c r="G68" s="44"/>
      <c r="H68" s="44"/>
      <c r="I68" s="44"/>
      <c r="J68" s="45" t="str">
        <f t="shared" si="12"/>
        <v/>
      </c>
      <c r="K68" s="44"/>
      <c r="L68" s="44"/>
      <c r="M68" s="44"/>
      <c r="N68" s="44"/>
      <c r="O68" s="44"/>
      <c r="P68" s="44"/>
      <c r="Q68" s="44"/>
      <c r="R68" s="45" t="str">
        <f t="shared" si="13"/>
        <v/>
      </c>
      <c r="S68" s="44"/>
      <c r="T68" s="44"/>
      <c r="U68" s="44"/>
      <c r="V68" s="44"/>
      <c r="W68" s="44"/>
      <c r="X68" s="44"/>
      <c r="Y68" s="44"/>
      <c r="Z68" s="46" t="str">
        <f t="shared" si="14"/>
        <v/>
      </c>
      <c r="AA68" s="44"/>
      <c r="AB68" s="44"/>
      <c r="AC68" s="44"/>
      <c r="AD68" s="44"/>
      <c r="AE68" s="44"/>
      <c r="AF68" s="44"/>
      <c r="AG68" s="44"/>
      <c r="AH68" s="46" t="str">
        <f t="shared" si="15"/>
        <v/>
      </c>
      <c r="AI68" s="44"/>
      <c r="AJ68" s="44"/>
      <c r="AK68" s="44"/>
      <c r="AL68" s="44"/>
      <c r="AM68" s="44"/>
      <c r="AN68" s="44"/>
      <c r="AO68" s="44"/>
      <c r="AP68" s="46" t="str">
        <f t="shared" si="16"/>
        <v/>
      </c>
      <c r="AQ68" s="44"/>
      <c r="AR68" s="44"/>
      <c r="AS68" s="44"/>
      <c r="AT68" s="44"/>
      <c r="AU68" s="44"/>
      <c r="AV68" s="44"/>
      <c r="AW68" s="44"/>
      <c r="AX68" s="46" t="str">
        <f t="shared" si="17"/>
        <v/>
      </c>
      <c r="AY68" s="44"/>
      <c r="AZ68" s="44"/>
      <c r="BA68" s="44"/>
      <c r="BB68" s="44"/>
      <c r="BC68" s="44"/>
      <c r="BD68" s="44"/>
      <c r="BE68" s="44"/>
      <c r="BF68" s="46" t="str">
        <f t="shared" si="18"/>
        <v/>
      </c>
      <c r="BG68" s="44"/>
      <c r="BH68" s="44"/>
      <c r="BI68" s="44"/>
      <c r="BJ68" s="44"/>
      <c r="BK68" s="44"/>
      <c r="BL68" s="44"/>
      <c r="BM68" s="44"/>
      <c r="BN68" s="46" t="str">
        <f t="shared" si="19"/>
        <v/>
      </c>
      <c r="BO68" s="44"/>
      <c r="BP68" s="44"/>
      <c r="BQ68" s="44"/>
      <c r="BR68" s="44"/>
      <c r="BS68" s="44"/>
      <c r="BT68" s="44"/>
      <c r="BU68" s="44"/>
      <c r="BV68" s="46" t="str">
        <f t="shared" si="20"/>
        <v/>
      </c>
      <c r="BW68" s="50"/>
      <c r="BX68" s="50"/>
      <c r="BY68" s="50"/>
      <c r="BZ68" s="50"/>
      <c r="CA68" s="50"/>
      <c r="CB68" s="50"/>
      <c r="CC68" s="50"/>
      <c r="CD68" s="46" t="str">
        <f t="shared" si="21"/>
        <v/>
      </c>
      <c r="CE68" s="44"/>
      <c r="CF68" s="44"/>
      <c r="CG68" s="44"/>
      <c r="CH68" s="44"/>
      <c r="CI68" s="44"/>
      <c r="CJ68" s="44"/>
      <c r="CK68" s="44"/>
      <c r="CL68" s="46" t="str">
        <f t="shared" si="22"/>
        <v/>
      </c>
      <c r="CM68" s="44"/>
      <c r="CN68" s="44"/>
      <c r="CO68" s="44"/>
      <c r="CP68" s="44"/>
      <c r="CQ68" s="44"/>
      <c r="CR68" s="44"/>
      <c r="CS68" s="44"/>
      <c r="CT68" s="48" t="str">
        <f t="shared" si="23"/>
        <v/>
      </c>
    </row>
    <row r="69" spans="1:98" ht="40" customHeight="1" x14ac:dyDescent="0.15">
      <c r="A69" s="124" t="s">
        <v>180</v>
      </c>
      <c r="B69" s="51" t="s">
        <v>181</v>
      </c>
      <c r="C69" s="70"/>
      <c r="D69" s="44"/>
      <c r="E69" s="44"/>
      <c r="F69" s="44"/>
      <c r="G69" s="44"/>
      <c r="H69" s="44"/>
      <c r="I69" s="44"/>
      <c r="J69" s="45" t="str">
        <f t="shared" si="12"/>
        <v/>
      </c>
      <c r="K69" s="44"/>
      <c r="L69" s="44"/>
      <c r="M69" s="44"/>
      <c r="N69" s="44"/>
      <c r="O69" s="44"/>
      <c r="P69" s="44"/>
      <c r="Q69" s="44"/>
      <c r="R69" s="45" t="str">
        <f t="shared" si="13"/>
        <v/>
      </c>
      <c r="S69" s="44"/>
      <c r="T69" s="44"/>
      <c r="U69" s="44"/>
      <c r="V69" s="44"/>
      <c r="W69" s="44"/>
      <c r="X69" s="44"/>
      <c r="Y69" s="44"/>
      <c r="Z69" s="46" t="str">
        <f t="shared" si="14"/>
        <v/>
      </c>
      <c r="AA69" s="44"/>
      <c r="AB69" s="44"/>
      <c r="AC69" s="44"/>
      <c r="AD69" s="44"/>
      <c r="AE69" s="44"/>
      <c r="AF69" s="44"/>
      <c r="AG69" s="44"/>
      <c r="AH69" s="46" t="str">
        <f t="shared" si="15"/>
        <v/>
      </c>
      <c r="AI69" s="44"/>
      <c r="AJ69" s="44"/>
      <c r="AK69" s="44"/>
      <c r="AL69" s="44"/>
      <c r="AM69" s="44"/>
      <c r="AN69" s="44"/>
      <c r="AO69" s="44"/>
      <c r="AP69" s="46" t="str">
        <f t="shared" si="16"/>
        <v/>
      </c>
      <c r="AQ69" s="44"/>
      <c r="AR69" s="44"/>
      <c r="AS69" s="44"/>
      <c r="AT69" s="44"/>
      <c r="AU69" s="44"/>
      <c r="AV69" s="44"/>
      <c r="AW69" s="44"/>
      <c r="AX69" s="46" t="str">
        <f t="shared" si="17"/>
        <v/>
      </c>
      <c r="AY69" s="44"/>
      <c r="AZ69" s="44"/>
      <c r="BA69" s="44"/>
      <c r="BB69" s="44"/>
      <c r="BC69" s="44"/>
      <c r="BD69" s="44"/>
      <c r="BE69" s="44"/>
      <c r="BF69" s="46" t="str">
        <f t="shared" si="18"/>
        <v/>
      </c>
      <c r="BG69" s="44"/>
      <c r="BH69" s="44"/>
      <c r="BI69" s="44"/>
      <c r="BJ69" s="44"/>
      <c r="BK69" s="44"/>
      <c r="BL69" s="44"/>
      <c r="BM69" s="44"/>
      <c r="BN69" s="46" t="str">
        <f t="shared" si="19"/>
        <v/>
      </c>
      <c r="BO69" s="44"/>
      <c r="BP69" s="44"/>
      <c r="BQ69" s="44"/>
      <c r="BR69" s="44"/>
      <c r="BS69" s="44"/>
      <c r="BT69" s="44"/>
      <c r="BU69" s="44"/>
      <c r="BV69" s="46" t="str">
        <f t="shared" si="20"/>
        <v/>
      </c>
      <c r="BW69" s="50"/>
      <c r="BX69" s="50"/>
      <c r="BY69" s="50"/>
      <c r="BZ69" s="50"/>
      <c r="CA69" s="50"/>
      <c r="CB69" s="50"/>
      <c r="CC69" s="50"/>
      <c r="CD69" s="46" t="str">
        <f t="shared" si="21"/>
        <v/>
      </c>
      <c r="CE69" s="44"/>
      <c r="CF69" s="44"/>
      <c r="CG69" s="44"/>
      <c r="CH69" s="44"/>
      <c r="CI69" s="44"/>
      <c r="CJ69" s="44"/>
      <c r="CK69" s="44"/>
      <c r="CL69" s="46" t="str">
        <f t="shared" si="22"/>
        <v/>
      </c>
      <c r="CM69" s="44"/>
      <c r="CN69" s="44"/>
      <c r="CO69" s="44"/>
      <c r="CP69" s="44"/>
      <c r="CQ69" s="44"/>
      <c r="CR69" s="44"/>
      <c r="CS69" s="44"/>
      <c r="CT69" s="48" t="str">
        <f t="shared" si="23"/>
        <v/>
      </c>
    </row>
    <row r="70" spans="1:98" ht="40" customHeight="1" x14ac:dyDescent="0.15">
      <c r="A70" s="123" t="s">
        <v>182</v>
      </c>
      <c r="B70" s="49" t="s">
        <v>183</v>
      </c>
      <c r="C70" s="70"/>
      <c r="D70" s="44"/>
      <c r="E70" s="44"/>
      <c r="F70" s="44"/>
      <c r="G70" s="44"/>
      <c r="H70" s="44"/>
      <c r="I70" s="44"/>
      <c r="J70" s="45" t="str">
        <f t="shared" si="12"/>
        <v/>
      </c>
      <c r="K70" s="44"/>
      <c r="L70" s="44"/>
      <c r="M70" s="44"/>
      <c r="N70" s="44"/>
      <c r="O70" s="44"/>
      <c r="P70" s="44"/>
      <c r="Q70" s="44"/>
      <c r="R70" s="45" t="str">
        <f t="shared" si="13"/>
        <v/>
      </c>
      <c r="S70" s="44"/>
      <c r="T70" s="44"/>
      <c r="U70" s="44"/>
      <c r="V70" s="44"/>
      <c r="W70" s="44"/>
      <c r="X70" s="44"/>
      <c r="Y70" s="44"/>
      <c r="Z70" s="46" t="str">
        <f t="shared" si="14"/>
        <v/>
      </c>
      <c r="AA70" s="44"/>
      <c r="AB70" s="44"/>
      <c r="AC70" s="44"/>
      <c r="AD70" s="44"/>
      <c r="AE70" s="44"/>
      <c r="AF70" s="44"/>
      <c r="AG70" s="44"/>
      <c r="AH70" s="46" t="str">
        <f t="shared" si="15"/>
        <v/>
      </c>
      <c r="AI70" s="44"/>
      <c r="AJ70" s="44"/>
      <c r="AK70" s="44"/>
      <c r="AL70" s="44"/>
      <c r="AM70" s="44"/>
      <c r="AN70" s="44"/>
      <c r="AO70" s="44"/>
      <c r="AP70" s="46" t="str">
        <f t="shared" si="16"/>
        <v/>
      </c>
      <c r="AQ70" s="44"/>
      <c r="AR70" s="44"/>
      <c r="AS70" s="44"/>
      <c r="AT70" s="44"/>
      <c r="AU70" s="44"/>
      <c r="AV70" s="44"/>
      <c r="AW70" s="44"/>
      <c r="AX70" s="46" t="str">
        <f t="shared" si="17"/>
        <v/>
      </c>
      <c r="AY70" s="44"/>
      <c r="AZ70" s="44"/>
      <c r="BA70" s="44"/>
      <c r="BB70" s="44"/>
      <c r="BC70" s="44"/>
      <c r="BD70" s="44"/>
      <c r="BE70" s="44"/>
      <c r="BF70" s="46" t="str">
        <f t="shared" si="18"/>
        <v/>
      </c>
      <c r="BG70" s="44"/>
      <c r="BH70" s="44"/>
      <c r="BI70" s="44"/>
      <c r="BJ70" s="44"/>
      <c r="BK70" s="44"/>
      <c r="BL70" s="44"/>
      <c r="BM70" s="44"/>
      <c r="BN70" s="46" t="str">
        <f t="shared" si="19"/>
        <v/>
      </c>
      <c r="BO70" s="44"/>
      <c r="BP70" s="44"/>
      <c r="BQ70" s="44"/>
      <c r="BR70" s="44"/>
      <c r="BS70" s="44"/>
      <c r="BT70" s="44"/>
      <c r="BU70" s="44"/>
      <c r="BV70" s="46" t="str">
        <f t="shared" si="20"/>
        <v/>
      </c>
      <c r="BW70" s="50"/>
      <c r="BX70" s="50"/>
      <c r="BY70" s="50"/>
      <c r="BZ70" s="50"/>
      <c r="CA70" s="50"/>
      <c r="CB70" s="50"/>
      <c r="CC70" s="50"/>
      <c r="CD70" s="46" t="str">
        <f t="shared" si="21"/>
        <v/>
      </c>
      <c r="CE70" s="44"/>
      <c r="CF70" s="44"/>
      <c r="CG70" s="44"/>
      <c r="CH70" s="44"/>
      <c r="CI70" s="44"/>
      <c r="CJ70" s="44"/>
      <c r="CK70" s="44"/>
      <c r="CL70" s="46" t="str">
        <f t="shared" si="22"/>
        <v/>
      </c>
      <c r="CM70" s="44"/>
      <c r="CN70" s="44"/>
      <c r="CO70" s="44"/>
      <c r="CP70" s="44"/>
      <c r="CQ70" s="44"/>
      <c r="CR70" s="44"/>
      <c r="CS70" s="44"/>
      <c r="CT70" s="48" t="str">
        <f t="shared" si="23"/>
        <v/>
      </c>
    </row>
    <row r="71" spans="1:98" ht="40" customHeight="1" x14ac:dyDescent="0.15">
      <c r="A71" s="123" t="s">
        <v>184</v>
      </c>
      <c r="B71" s="49" t="s">
        <v>185</v>
      </c>
      <c r="C71" s="70"/>
      <c r="D71" s="44"/>
      <c r="E71" s="44"/>
      <c r="F71" s="44"/>
      <c r="G71" s="44"/>
      <c r="H71" s="44"/>
      <c r="I71" s="44"/>
      <c r="J71" s="45" t="str">
        <f t="shared" si="12"/>
        <v/>
      </c>
      <c r="K71" s="44"/>
      <c r="L71" s="44"/>
      <c r="M71" s="44"/>
      <c r="N71" s="44"/>
      <c r="O71" s="44"/>
      <c r="P71" s="44"/>
      <c r="Q71" s="44"/>
      <c r="R71" s="45" t="str">
        <f t="shared" si="13"/>
        <v/>
      </c>
      <c r="S71" s="44"/>
      <c r="T71" s="44"/>
      <c r="U71" s="44"/>
      <c r="V71" s="44"/>
      <c r="W71" s="44"/>
      <c r="X71" s="44"/>
      <c r="Y71" s="44"/>
      <c r="Z71" s="46" t="str">
        <f t="shared" si="14"/>
        <v/>
      </c>
      <c r="AA71" s="44"/>
      <c r="AB71" s="44"/>
      <c r="AC71" s="44"/>
      <c r="AD71" s="44"/>
      <c r="AE71" s="44"/>
      <c r="AF71" s="44"/>
      <c r="AG71" s="44"/>
      <c r="AH71" s="46" t="str">
        <f t="shared" si="15"/>
        <v/>
      </c>
      <c r="AI71" s="44"/>
      <c r="AJ71" s="44"/>
      <c r="AK71" s="44"/>
      <c r="AL71" s="44"/>
      <c r="AM71" s="44"/>
      <c r="AN71" s="44"/>
      <c r="AO71" s="44"/>
      <c r="AP71" s="46" t="str">
        <f t="shared" si="16"/>
        <v/>
      </c>
      <c r="AQ71" s="44"/>
      <c r="AR71" s="44"/>
      <c r="AS71" s="44"/>
      <c r="AT71" s="44"/>
      <c r="AU71" s="44"/>
      <c r="AV71" s="44"/>
      <c r="AW71" s="44"/>
      <c r="AX71" s="46" t="str">
        <f t="shared" si="17"/>
        <v/>
      </c>
      <c r="AY71" s="44"/>
      <c r="AZ71" s="44"/>
      <c r="BA71" s="44"/>
      <c r="BB71" s="44"/>
      <c r="BC71" s="44"/>
      <c r="BD71" s="44"/>
      <c r="BE71" s="44"/>
      <c r="BF71" s="46" t="str">
        <f t="shared" si="18"/>
        <v/>
      </c>
      <c r="BG71" s="44"/>
      <c r="BH71" s="44"/>
      <c r="BI71" s="44"/>
      <c r="BJ71" s="44"/>
      <c r="BK71" s="44"/>
      <c r="BL71" s="44"/>
      <c r="BM71" s="44"/>
      <c r="BN71" s="46" t="str">
        <f t="shared" si="19"/>
        <v/>
      </c>
      <c r="BO71" s="44"/>
      <c r="BP71" s="44"/>
      <c r="BQ71" s="44"/>
      <c r="BR71" s="44"/>
      <c r="BS71" s="44"/>
      <c r="BT71" s="44"/>
      <c r="BU71" s="44"/>
      <c r="BV71" s="46" t="str">
        <f t="shared" si="20"/>
        <v/>
      </c>
      <c r="BW71" s="50"/>
      <c r="BX71" s="50"/>
      <c r="BY71" s="50"/>
      <c r="BZ71" s="50"/>
      <c r="CA71" s="50"/>
      <c r="CB71" s="50"/>
      <c r="CC71" s="50"/>
      <c r="CD71" s="46" t="str">
        <f t="shared" si="21"/>
        <v/>
      </c>
      <c r="CE71" s="44"/>
      <c r="CF71" s="44"/>
      <c r="CG71" s="44"/>
      <c r="CH71" s="44"/>
      <c r="CI71" s="44"/>
      <c r="CJ71" s="44"/>
      <c r="CK71" s="44"/>
      <c r="CL71" s="46" t="str">
        <f t="shared" si="22"/>
        <v/>
      </c>
      <c r="CM71" s="44"/>
      <c r="CN71" s="44"/>
      <c r="CO71" s="44"/>
      <c r="CP71" s="44"/>
      <c r="CQ71" s="44"/>
      <c r="CR71" s="44"/>
      <c r="CS71" s="44"/>
      <c r="CT71" s="48" t="str">
        <f t="shared" si="23"/>
        <v/>
      </c>
    </row>
    <row r="72" spans="1:98" ht="40" customHeight="1" x14ac:dyDescent="0.15">
      <c r="A72" s="68" t="s">
        <v>186</v>
      </c>
      <c r="B72" s="122"/>
      <c r="C72" s="70"/>
      <c r="D72" s="44"/>
      <c r="E72" s="44"/>
      <c r="F72" s="44"/>
      <c r="G72" s="44"/>
      <c r="H72" s="44"/>
      <c r="I72" s="44"/>
      <c r="J72" s="45" t="str">
        <f t="shared" si="12"/>
        <v/>
      </c>
      <c r="K72" s="44"/>
      <c r="L72" s="44"/>
      <c r="M72" s="44"/>
      <c r="N72" s="44"/>
      <c r="O72" s="44"/>
      <c r="P72" s="44"/>
      <c r="Q72" s="44"/>
      <c r="R72" s="45" t="str">
        <f t="shared" si="13"/>
        <v/>
      </c>
      <c r="S72" s="44"/>
      <c r="T72" s="44"/>
      <c r="U72" s="44"/>
      <c r="V72" s="44"/>
      <c r="W72" s="44"/>
      <c r="X72" s="44"/>
      <c r="Y72" s="44"/>
      <c r="Z72" s="46" t="str">
        <f t="shared" si="14"/>
        <v/>
      </c>
      <c r="AA72" s="44"/>
      <c r="AB72" s="44"/>
      <c r="AC72" s="44"/>
      <c r="AD72" s="44"/>
      <c r="AE72" s="44"/>
      <c r="AF72" s="44"/>
      <c r="AG72" s="44"/>
      <c r="AH72" s="46" t="str">
        <f t="shared" si="15"/>
        <v/>
      </c>
      <c r="AI72" s="44"/>
      <c r="AJ72" s="44"/>
      <c r="AK72" s="44"/>
      <c r="AL72" s="44"/>
      <c r="AM72" s="44"/>
      <c r="AN72" s="44"/>
      <c r="AO72" s="44"/>
      <c r="AP72" s="46" t="str">
        <f t="shared" si="16"/>
        <v/>
      </c>
      <c r="AQ72" s="44"/>
      <c r="AR72" s="44"/>
      <c r="AS72" s="44"/>
      <c r="AT72" s="44"/>
      <c r="AU72" s="44"/>
      <c r="AV72" s="44"/>
      <c r="AW72" s="44"/>
      <c r="AX72" s="46" t="str">
        <f t="shared" si="17"/>
        <v/>
      </c>
      <c r="AY72" s="44"/>
      <c r="AZ72" s="44"/>
      <c r="BA72" s="44"/>
      <c r="BB72" s="44"/>
      <c r="BC72" s="44"/>
      <c r="BD72" s="44"/>
      <c r="BE72" s="44"/>
      <c r="BF72" s="46" t="str">
        <f t="shared" si="18"/>
        <v/>
      </c>
      <c r="BG72" s="44"/>
      <c r="BH72" s="44"/>
      <c r="BI72" s="44"/>
      <c r="BJ72" s="44"/>
      <c r="BK72" s="44"/>
      <c r="BL72" s="44"/>
      <c r="BM72" s="44"/>
      <c r="BN72" s="46" t="str">
        <f t="shared" si="19"/>
        <v/>
      </c>
      <c r="BO72" s="44"/>
      <c r="BP72" s="44"/>
      <c r="BQ72" s="44"/>
      <c r="BR72" s="44"/>
      <c r="BS72" s="44"/>
      <c r="BT72" s="44"/>
      <c r="BU72" s="44"/>
      <c r="BV72" s="46" t="str">
        <f t="shared" si="20"/>
        <v/>
      </c>
      <c r="BW72" s="50"/>
      <c r="BX72" s="50"/>
      <c r="BY72" s="50"/>
      <c r="BZ72" s="50"/>
      <c r="CA72" s="50"/>
      <c r="CB72" s="50"/>
      <c r="CC72" s="50"/>
      <c r="CD72" s="46" t="str">
        <f t="shared" si="21"/>
        <v/>
      </c>
      <c r="CE72" s="44"/>
      <c r="CF72" s="44"/>
      <c r="CG72" s="44"/>
      <c r="CH72" s="44"/>
      <c r="CI72" s="44"/>
      <c r="CJ72" s="44"/>
      <c r="CK72" s="44"/>
      <c r="CL72" s="46" t="str">
        <f t="shared" si="22"/>
        <v/>
      </c>
      <c r="CM72" s="44"/>
      <c r="CN72" s="44"/>
      <c r="CO72" s="44"/>
      <c r="CP72" s="44"/>
      <c r="CQ72" s="44"/>
      <c r="CR72" s="44"/>
      <c r="CS72" s="44"/>
      <c r="CT72" s="48" t="str">
        <f t="shared" si="23"/>
        <v/>
      </c>
    </row>
    <row r="73" spans="1:98" ht="40" customHeight="1" x14ac:dyDescent="0.15">
      <c r="A73" s="123" t="s">
        <v>187</v>
      </c>
      <c r="B73" s="49" t="s">
        <v>188</v>
      </c>
      <c r="C73" s="70"/>
      <c r="D73" s="44"/>
      <c r="E73" s="44"/>
      <c r="F73" s="44"/>
      <c r="G73" s="44"/>
      <c r="H73" s="44"/>
      <c r="I73" s="44"/>
      <c r="J73" s="45" t="str">
        <f t="shared" ref="J73:J104" si="24">IFERROR((SUM(C73:I73)/SUM($C$7:$I$7))*100,"")</f>
        <v/>
      </c>
      <c r="K73" s="44"/>
      <c r="L73" s="44"/>
      <c r="M73" s="44"/>
      <c r="N73" s="44"/>
      <c r="O73" s="44"/>
      <c r="P73" s="44"/>
      <c r="Q73" s="44"/>
      <c r="R73" s="45" t="str">
        <f t="shared" ref="R73:R104" si="25">IFERROR((SUM(K73:Q73)/SUM($K$7:$Q$7))*100,"")</f>
        <v/>
      </c>
      <c r="S73" s="44"/>
      <c r="T73" s="44"/>
      <c r="U73" s="44"/>
      <c r="V73" s="44"/>
      <c r="W73" s="44"/>
      <c r="X73" s="44"/>
      <c r="Y73" s="44"/>
      <c r="Z73" s="46" t="str">
        <f t="shared" ref="Z73:Z104" si="26">IFERROR((SUM(S73:Y73)/SUM($S$7:$Y$7))*100,"")</f>
        <v/>
      </c>
      <c r="AA73" s="44"/>
      <c r="AB73" s="44"/>
      <c r="AC73" s="44"/>
      <c r="AD73" s="44"/>
      <c r="AE73" s="44"/>
      <c r="AF73" s="44"/>
      <c r="AG73" s="44"/>
      <c r="AH73" s="46" t="str">
        <f t="shared" ref="AH73:AH104" si="27">IFERROR(SUM(AA73:AG73)/SUM($AA$7:$AG$7)*100,"")</f>
        <v/>
      </c>
      <c r="AI73" s="44"/>
      <c r="AJ73" s="44"/>
      <c r="AK73" s="44"/>
      <c r="AL73" s="44"/>
      <c r="AM73" s="44"/>
      <c r="AN73" s="44"/>
      <c r="AO73" s="44"/>
      <c r="AP73" s="46" t="str">
        <f t="shared" ref="AP73:AP104" si="28">IFERROR(SUM(AI73:AO73)/SUM($AI$7:$AO$7)*100,"")</f>
        <v/>
      </c>
      <c r="AQ73" s="44"/>
      <c r="AR73" s="44"/>
      <c r="AS73" s="44"/>
      <c r="AT73" s="44"/>
      <c r="AU73" s="44"/>
      <c r="AV73" s="44"/>
      <c r="AW73" s="44"/>
      <c r="AX73" s="46" t="str">
        <f t="shared" ref="AX73:AX104" si="29">IFERROR((SUM(AQ73:AW73)/SUM($AQ$7:$AW$7))*100,"")</f>
        <v/>
      </c>
      <c r="AY73" s="44"/>
      <c r="AZ73" s="44"/>
      <c r="BA73" s="44"/>
      <c r="BB73" s="44"/>
      <c r="BC73" s="44"/>
      <c r="BD73" s="44"/>
      <c r="BE73" s="44"/>
      <c r="BF73" s="46" t="str">
        <f t="shared" ref="BF73:BF104" si="30">IFERROR((SUM(AY73:BE73)/SUM($AY$7:$BE$7))*100,"")</f>
        <v/>
      </c>
      <c r="BG73" s="44"/>
      <c r="BH73" s="44"/>
      <c r="BI73" s="44"/>
      <c r="BJ73" s="44"/>
      <c r="BK73" s="44"/>
      <c r="BL73" s="44"/>
      <c r="BM73" s="44"/>
      <c r="BN73" s="46" t="str">
        <f t="shared" ref="BN73:BN104" si="31">IFERROR((SUM(BG73:BM73)/SUM($BG$7:$BM$7))*100,"")</f>
        <v/>
      </c>
      <c r="BO73" s="44"/>
      <c r="BP73" s="44"/>
      <c r="BQ73" s="44"/>
      <c r="BR73" s="44"/>
      <c r="BS73" s="44"/>
      <c r="BT73" s="44"/>
      <c r="BU73" s="44"/>
      <c r="BV73" s="46" t="str">
        <f t="shared" ref="BV73:BV104" si="32">IFERROR((SUM(BO73:BU73)/SUM($BO$7:$BU$7))*100,"")</f>
        <v/>
      </c>
      <c r="BW73" s="50"/>
      <c r="BX73" s="50"/>
      <c r="BY73" s="50"/>
      <c r="BZ73" s="50"/>
      <c r="CA73" s="50"/>
      <c r="CB73" s="50"/>
      <c r="CC73" s="50"/>
      <c r="CD73" s="46" t="str">
        <f t="shared" ref="CD73:CD104" si="33">IFERROR((SUM(BW73:CC73)/SUM($BW$7:$CC$7))*100,"")</f>
        <v/>
      </c>
      <c r="CE73" s="44"/>
      <c r="CF73" s="44"/>
      <c r="CG73" s="44"/>
      <c r="CH73" s="44"/>
      <c r="CI73" s="44"/>
      <c r="CJ73" s="44"/>
      <c r="CK73" s="44"/>
      <c r="CL73" s="46" t="str">
        <f t="shared" ref="CL73:CL104" si="34">IFERROR((SUM(CE73:CK73)/SUM($CE$7:$CK$7))*100,"")</f>
        <v/>
      </c>
      <c r="CM73" s="44"/>
      <c r="CN73" s="44"/>
      <c r="CO73" s="44"/>
      <c r="CP73" s="44"/>
      <c r="CQ73" s="44"/>
      <c r="CR73" s="44"/>
      <c r="CS73" s="44"/>
      <c r="CT73" s="48" t="str">
        <f t="shared" ref="CT73:CT104" si="35">IFERROR((SUM(CM73:CS73)/SUM($CM$7:$CS$7))*100,"")</f>
        <v/>
      </c>
    </row>
    <row r="74" spans="1:98" ht="40" customHeight="1" x14ac:dyDescent="0.15">
      <c r="A74" s="124" t="s">
        <v>189</v>
      </c>
      <c r="B74" s="51" t="s">
        <v>190</v>
      </c>
      <c r="C74" s="70"/>
      <c r="D74" s="44"/>
      <c r="E74" s="44"/>
      <c r="F74" s="44"/>
      <c r="G74" s="44"/>
      <c r="H74" s="44"/>
      <c r="I74" s="44"/>
      <c r="J74" s="45" t="str">
        <f t="shared" si="24"/>
        <v/>
      </c>
      <c r="K74" s="44"/>
      <c r="L74" s="44"/>
      <c r="M74" s="44"/>
      <c r="N74" s="44"/>
      <c r="O74" s="44"/>
      <c r="P74" s="44"/>
      <c r="Q74" s="44"/>
      <c r="R74" s="45" t="str">
        <f t="shared" si="25"/>
        <v/>
      </c>
      <c r="S74" s="44"/>
      <c r="T74" s="44"/>
      <c r="U74" s="44"/>
      <c r="V74" s="44"/>
      <c r="W74" s="44"/>
      <c r="X74" s="44"/>
      <c r="Y74" s="44"/>
      <c r="Z74" s="46" t="str">
        <f t="shared" si="26"/>
        <v/>
      </c>
      <c r="AA74" s="44"/>
      <c r="AB74" s="44"/>
      <c r="AC74" s="44"/>
      <c r="AD74" s="44"/>
      <c r="AE74" s="44"/>
      <c r="AF74" s="44"/>
      <c r="AG74" s="44"/>
      <c r="AH74" s="46" t="str">
        <f t="shared" si="27"/>
        <v/>
      </c>
      <c r="AI74" s="44"/>
      <c r="AJ74" s="44"/>
      <c r="AK74" s="44"/>
      <c r="AL74" s="44"/>
      <c r="AM74" s="44"/>
      <c r="AN74" s="44"/>
      <c r="AO74" s="44"/>
      <c r="AP74" s="46" t="str">
        <f t="shared" si="28"/>
        <v/>
      </c>
      <c r="AQ74" s="44"/>
      <c r="AR74" s="44"/>
      <c r="AS74" s="44"/>
      <c r="AT74" s="44"/>
      <c r="AU74" s="44"/>
      <c r="AV74" s="44"/>
      <c r="AW74" s="44"/>
      <c r="AX74" s="46" t="str">
        <f t="shared" si="29"/>
        <v/>
      </c>
      <c r="AY74" s="44"/>
      <c r="AZ74" s="44"/>
      <c r="BA74" s="44"/>
      <c r="BB74" s="44"/>
      <c r="BC74" s="44"/>
      <c r="BD74" s="44"/>
      <c r="BE74" s="44"/>
      <c r="BF74" s="46" t="str">
        <f t="shared" si="30"/>
        <v/>
      </c>
      <c r="BG74" s="44"/>
      <c r="BH74" s="44"/>
      <c r="BI74" s="44"/>
      <c r="BJ74" s="44"/>
      <c r="BK74" s="44"/>
      <c r="BL74" s="44"/>
      <c r="BM74" s="44"/>
      <c r="BN74" s="46" t="str">
        <f t="shared" si="31"/>
        <v/>
      </c>
      <c r="BO74" s="44"/>
      <c r="BP74" s="44"/>
      <c r="BQ74" s="44"/>
      <c r="BR74" s="44"/>
      <c r="BS74" s="44"/>
      <c r="BT74" s="44"/>
      <c r="BU74" s="44"/>
      <c r="BV74" s="46" t="str">
        <f t="shared" si="32"/>
        <v/>
      </c>
      <c r="BW74" s="50"/>
      <c r="BX74" s="50"/>
      <c r="BY74" s="50"/>
      <c r="BZ74" s="50"/>
      <c r="CA74" s="50"/>
      <c r="CB74" s="50"/>
      <c r="CC74" s="50"/>
      <c r="CD74" s="46" t="str">
        <f t="shared" si="33"/>
        <v/>
      </c>
      <c r="CE74" s="44"/>
      <c r="CF74" s="44"/>
      <c r="CG74" s="44"/>
      <c r="CH74" s="44"/>
      <c r="CI74" s="44"/>
      <c r="CJ74" s="44"/>
      <c r="CK74" s="44"/>
      <c r="CL74" s="46" t="str">
        <f t="shared" si="34"/>
        <v/>
      </c>
      <c r="CM74" s="44"/>
      <c r="CN74" s="44"/>
      <c r="CO74" s="44"/>
      <c r="CP74" s="44"/>
      <c r="CQ74" s="44"/>
      <c r="CR74" s="44"/>
      <c r="CS74" s="44"/>
      <c r="CT74" s="48" t="str">
        <f t="shared" si="35"/>
        <v/>
      </c>
    </row>
    <row r="75" spans="1:98" ht="40" customHeight="1" x14ac:dyDescent="0.15">
      <c r="A75" s="123" t="s">
        <v>191</v>
      </c>
      <c r="B75" s="49" t="s">
        <v>192</v>
      </c>
      <c r="C75" s="70"/>
      <c r="D75" s="44"/>
      <c r="E75" s="44"/>
      <c r="F75" s="44"/>
      <c r="G75" s="44"/>
      <c r="H75" s="44"/>
      <c r="I75" s="44"/>
      <c r="J75" s="45" t="str">
        <f t="shared" si="24"/>
        <v/>
      </c>
      <c r="K75" s="44"/>
      <c r="L75" s="44"/>
      <c r="M75" s="44"/>
      <c r="N75" s="44"/>
      <c r="O75" s="44"/>
      <c r="P75" s="44"/>
      <c r="Q75" s="44"/>
      <c r="R75" s="45" t="str">
        <f t="shared" si="25"/>
        <v/>
      </c>
      <c r="S75" s="44"/>
      <c r="T75" s="44"/>
      <c r="U75" s="44"/>
      <c r="V75" s="44"/>
      <c r="W75" s="44"/>
      <c r="X75" s="44"/>
      <c r="Y75" s="44"/>
      <c r="Z75" s="46" t="str">
        <f t="shared" si="26"/>
        <v/>
      </c>
      <c r="AA75" s="44"/>
      <c r="AB75" s="44"/>
      <c r="AC75" s="44"/>
      <c r="AD75" s="44"/>
      <c r="AE75" s="44"/>
      <c r="AF75" s="44"/>
      <c r="AG75" s="44"/>
      <c r="AH75" s="46" t="str">
        <f t="shared" si="27"/>
        <v/>
      </c>
      <c r="AI75" s="44"/>
      <c r="AJ75" s="44"/>
      <c r="AK75" s="44"/>
      <c r="AL75" s="44"/>
      <c r="AM75" s="44"/>
      <c r="AN75" s="44"/>
      <c r="AO75" s="44"/>
      <c r="AP75" s="46" t="str">
        <f t="shared" si="28"/>
        <v/>
      </c>
      <c r="AQ75" s="44"/>
      <c r="AR75" s="44"/>
      <c r="AS75" s="44"/>
      <c r="AT75" s="44"/>
      <c r="AU75" s="44"/>
      <c r="AV75" s="44"/>
      <c r="AW75" s="44"/>
      <c r="AX75" s="46" t="str">
        <f t="shared" si="29"/>
        <v/>
      </c>
      <c r="AY75" s="44"/>
      <c r="AZ75" s="44"/>
      <c r="BA75" s="44"/>
      <c r="BB75" s="44"/>
      <c r="BC75" s="44"/>
      <c r="BD75" s="44"/>
      <c r="BE75" s="44"/>
      <c r="BF75" s="46" t="str">
        <f t="shared" si="30"/>
        <v/>
      </c>
      <c r="BG75" s="44"/>
      <c r="BH75" s="44"/>
      <c r="BI75" s="44"/>
      <c r="BJ75" s="44"/>
      <c r="BK75" s="44"/>
      <c r="BL75" s="44"/>
      <c r="BM75" s="44"/>
      <c r="BN75" s="46" t="str">
        <f t="shared" si="31"/>
        <v/>
      </c>
      <c r="BO75" s="44"/>
      <c r="BP75" s="44"/>
      <c r="BQ75" s="44"/>
      <c r="BR75" s="44"/>
      <c r="BS75" s="44"/>
      <c r="BT75" s="44"/>
      <c r="BU75" s="44"/>
      <c r="BV75" s="46" t="str">
        <f t="shared" si="32"/>
        <v/>
      </c>
      <c r="BW75" s="50"/>
      <c r="BX75" s="50"/>
      <c r="BY75" s="50"/>
      <c r="BZ75" s="50"/>
      <c r="CA75" s="50"/>
      <c r="CB75" s="50"/>
      <c r="CC75" s="50"/>
      <c r="CD75" s="46" t="str">
        <f t="shared" si="33"/>
        <v/>
      </c>
      <c r="CE75" s="44"/>
      <c r="CF75" s="44"/>
      <c r="CG75" s="44"/>
      <c r="CH75" s="44"/>
      <c r="CI75" s="44"/>
      <c r="CJ75" s="44"/>
      <c r="CK75" s="44"/>
      <c r="CL75" s="46" t="str">
        <f t="shared" si="34"/>
        <v/>
      </c>
      <c r="CM75" s="44"/>
      <c r="CN75" s="44"/>
      <c r="CO75" s="44"/>
      <c r="CP75" s="44"/>
      <c r="CQ75" s="44"/>
      <c r="CR75" s="44"/>
      <c r="CS75" s="44"/>
      <c r="CT75" s="48" t="str">
        <f t="shared" si="35"/>
        <v/>
      </c>
    </row>
    <row r="76" spans="1:98" ht="40" customHeight="1" x14ac:dyDescent="0.15">
      <c r="A76" s="124" t="s">
        <v>193</v>
      </c>
      <c r="B76" s="51" t="s">
        <v>194</v>
      </c>
      <c r="C76" s="70"/>
      <c r="D76" s="44"/>
      <c r="E76" s="44"/>
      <c r="F76" s="44"/>
      <c r="G76" s="44"/>
      <c r="H76" s="44"/>
      <c r="I76" s="44"/>
      <c r="J76" s="45" t="str">
        <f t="shared" si="24"/>
        <v/>
      </c>
      <c r="K76" s="44"/>
      <c r="L76" s="44"/>
      <c r="M76" s="44"/>
      <c r="N76" s="44"/>
      <c r="O76" s="44"/>
      <c r="P76" s="44"/>
      <c r="Q76" s="44"/>
      <c r="R76" s="45" t="str">
        <f t="shared" si="25"/>
        <v/>
      </c>
      <c r="S76" s="44"/>
      <c r="T76" s="44"/>
      <c r="U76" s="44"/>
      <c r="V76" s="44"/>
      <c r="W76" s="44"/>
      <c r="X76" s="44"/>
      <c r="Y76" s="44"/>
      <c r="Z76" s="46" t="str">
        <f t="shared" si="26"/>
        <v/>
      </c>
      <c r="AA76" s="44"/>
      <c r="AB76" s="44"/>
      <c r="AC76" s="44"/>
      <c r="AD76" s="44"/>
      <c r="AE76" s="44"/>
      <c r="AF76" s="44"/>
      <c r="AG76" s="44"/>
      <c r="AH76" s="46" t="str">
        <f t="shared" si="27"/>
        <v/>
      </c>
      <c r="AI76" s="44"/>
      <c r="AJ76" s="44"/>
      <c r="AK76" s="44"/>
      <c r="AL76" s="44"/>
      <c r="AM76" s="44"/>
      <c r="AN76" s="44"/>
      <c r="AO76" s="44"/>
      <c r="AP76" s="46" t="str">
        <f t="shared" si="28"/>
        <v/>
      </c>
      <c r="AQ76" s="44"/>
      <c r="AR76" s="44"/>
      <c r="AS76" s="44"/>
      <c r="AT76" s="44"/>
      <c r="AU76" s="44"/>
      <c r="AV76" s="44"/>
      <c r="AW76" s="44"/>
      <c r="AX76" s="46" t="str">
        <f t="shared" si="29"/>
        <v/>
      </c>
      <c r="AY76" s="44"/>
      <c r="AZ76" s="44"/>
      <c r="BA76" s="44"/>
      <c r="BB76" s="44"/>
      <c r="BC76" s="44"/>
      <c r="BD76" s="44"/>
      <c r="BE76" s="44"/>
      <c r="BF76" s="46" t="str">
        <f t="shared" si="30"/>
        <v/>
      </c>
      <c r="BG76" s="44"/>
      <c r="BH76" s="44"/>
      <c r="BI76" s="44"/>
      <c r="BJ76" s="44"/>
      <c r="BK76" s="44"/>
      <c r="BL76" s="44"/>
      <c r="BM76" s="44"/>
      <c r="BN76" s="46" t="str">
        <f t="shared" si="31"/>
        <v/>
      </c>
      <c r="BO76" s="44"/>
      <c r="BP76" s="44"/>
      <c r="BQ76" s="44"/>
      <c r="BR76" s="44"/>
      <c r="BS76" s="44"/>
      <c r="BT76" s="44"/>
      <c r="BU76" s="44"/>
      <c r="BV76" s="46" t="str">
        <f t="shared" si="32"/>
        <v/>
      </c>
      <c r="BW76" s="50"/>
      <c r="BX76" s="50"/>
      <c r="BY76" s="50"/>
      <c r="BZ76" s="50"/>
      <c r="CA76" s="50"/>
      <c r="CB76" s="50"/>
      <c r="CC76" s="50"/>
      <c r="CD76" s="46" t="str">
        <f t="shared" si="33"/>
        <v/>
      </c>
      <c r="CE76" s="44"/>
      <c r="CF76" s="44"/>
      <c r="CG76" s="44"/>
      <c r="CH76" s="44"/>
      <c r="CI76" s="44"/>
      <c r="CJ76" s="44"/>
      <c r="CK76" s="44"/>
      <c r="CL76" s="46" t="str">
        <f t="shared" si="34"/>
        <v/>
      </c>
      <c r="CM76" s="44"/>
      <c r="CN76" s="44"/>
      <c r="CO76" s="44"/>
      <c r="CP76" s="44"/>
      <c r="CQ76" s="44"/>
      <c r="CR76" s="44"/>
      <c r="CS76" s="44"/>
      <c r="CT76" s="48" t="str">
        <f t="shared" si="35"/>
        <v/>
      </c>
    </row>
    <row r="77" spans="1:98" ht="40" customHeight="1" x14ac:dyDescent="0.15">
      <c r="A77" s="124" t="s">
        <v>195</v>
      </c>
      <c r="B77" s="51" t="s">
        <v>196</v>
      </c>
      <c r="C77" s="70"/>
      <c r="D77" s="44"/>
      <c r="E77" s="44"/>
      <c r="F77" s="44"/>
      <c r="G77" s="44"/>
      <c r="H77" s="44"/>
      <c r="I77" s="44"/>
      <c r="J77" s="45" t="str">
        <f t="shared" si="24"/>
        <v/>
      </c>
      <c r="K77" s="44"/>
      <c r="L77" s="44"/>
      <c r="M77" s="44"/>
      <c r="N77" s="44"/>
      <c r="O77" s="44"/>
      <c r="P77" s="44"/>
      <c r="Q77" s="44"/>
      <c r="R77" s="45" t="str">
        <f t="shared" si="25"/>
        <v/>
      </c>
      <c r="S77" s="44"/>
      <c r="T77" s="44"/>
      <c r="U77" s="44"/>
      <c r="V77" s="44"/>
      <c r="W77" s="44"/>
      <c r="X77" s="44"/>
      <c r="Y77" s="44"/>
      <c r="Z77" s="46" t="str">
        <f t="shared" si="26"/>
        <v/>
      </c>
      <c r="AA77" s="44"/>
      <c r="AB77" s="44"/>
      <c r="AC77" s="44"/>
      <c r="AD77" s="44"/>
      <c r="AE77" s="44"/>
      <c r="AF77" s="44"/>
      <c r="AG77" s="44"/>
      <c r="AH77" s="46" t="str">
        <f t="shared" si="27"/>
        <v/>
      </c>
      <c r="AI77" s="44"/>
      <c r="AJ77" s="44"/>
      <c r="AK77" s="44"/>
      <c r="AL77" s="44"/>
      <c r="AM77" s="44"/>
      <c r="AN77" s="44"/>
      <c r="AO77" s="44"/>
      <c r="AP77" s="46" t="str">
        <f t="shared" si="28"/>
        <v/>
      </c>
      <c r="AQ77" s="44"/>
      <c r="AR77" s="44"/>
      <c r="AS77" s="44"/>
      <c r="AT77" s="44"/>
      <c r="AU77" s="44"/>
      <c r="AV77" s="44"/>
      <c r="AW77" s="44"/>
      <c r="AX77" s="46" t="str">
        <f t="shared" si="29"/>
        <v/>
      </c>
      <c r="AY77" s="44"/>
      <c r="AZ77" s="44"/>
      <c r="BA77" s="44"/>
      <c r="BB77" s="44"/>
      <c r="BC77" s="44"/>
      <c r="BD77" s="44"/>
      <c r="BE77" s="44"/>
      <c r="BF77" s="46" t="str">
        <f t="shared" si="30"/>
        <v/>
      </c>
      <c r="BG77" s="44"/>
      <c r="BH77" s="44"/>
      <c r="BI77" s="44"/>
      <c r="BJ77" s="44"/>
      <c r="BK77" s="44"/>
      <c r="BL77" s="44"/>
      <c r="BM77" s="44"/>
      <c r="BN77" s="46" t="str">
        <f t="shared" si="31"/>
        <v/>
      </c>
      <c r="BO77" s="44"/>
      <c r="BP77" s="44"/>
      <c r="BQ77" s="44"/>
      <c r="BR77" s="44"/>
      <c r="BS77" s="44"/>
      <c r="BT77" s="44"/>
      <c r="BU77" s="44"/>
      <c r="BV77" s="46" t="str">
        <f t="shared" si="32"/>
        <v/>
      </c>
      <c r="BW77" s="50"/>
      <c r="BX77" s="50"/>
      <c r="BY77" s="50"/>
      <c r="BZ77" s="50"/>
      <c r="CA77" s="50"/>
      <c r="CB77" s="50"/>
      <c r="CC77" s="50"/>
      <c r="CD77" s="46" t="str">
        <f t="shared" si="33"/>
        <v/>
      </c>
      <c r="CE77" s="44"/>
      <c r="CF77" s="44"/>
      <c r="CG77" s="44"/>
      <c r="CH77" s="44"/>
      <c r="CI77" s="44"/>
      <c r="CJ77" s="44"/>
      <c r="CK77" s="44"/>
      <c r="CL77" s="46" t="str">
        <f t="shared" si="34"/>
        <v/>
      </c>
      <c r="CM77" s="44"/>
      <c r="CN77" s="44"/>
      <c r="CO77" s="44"/>
      <c r="CP77" s="44"/>
      <c r="CQ77" s="44"/>
      <c r="CR77" s="44"/>
      <c r="CS77" s="44"/>
      <c r="CT77" s="48" t="str">
        <f t="shared" si="35"/>
        <v/>
      </c>
    </row>
    <row r="78" spans="1:98" ht="40" customHeight="1" x14ac:dyDescent="0.15">
      <c r="A78" s="68" t="s">
        <v>197</v>
      </c>
      <c r="B78" s="122"/>
      <c r="C78" s="70"/>
      <c r="D78" s="44"/>
      <c r="E78" s="44"/>
      <c r="F78" s="44"/>
      <c r="G78" s="44"/>
      <c r="H78" s="44"/>
      <c r="I78" s="44"/>
      <c r="J78" s="45" t="str">
        <f t="shared" si="24"/>
        <v/>
      </c>
      <c r="K78" s="44"/>
      <c r="L78" s="44"/>
      <c r="M78" s="44"/>
      <c r="N78" s="44"/>
      <c r="O78" s="44"/>
      <c r="P78" s="44"/>
      <c r="Q78" s="44"/>
      <c r="R78" s="45" t="str">
        <f t="shared" si="25"/>
        <v/>
      </c>
      <c r="S78" s="44"/>
      <c r="T78" s="44"/>
      <c r="U78" s="44"/>
      <c r="V78" s="44"/>
      <c r="W78" s="44"/>
      <c r="X78" s="44"/>
      <c r="Y78" s="44"/>
      <c r="Z78" s="46" t="str">
        <f t="shared" si="26"/>
        <v/>
      </c>
      <c r="AA78" s="44"/>
      <c r="AB78" s="44"/>
      <c r="AC78" s="44"/>
      <c r="AD78" s="44"/>
      <c r="AE78" s="44"/>
      <c r="AF78" s="44"/>
      <c r="AG78" s="44"/>
      <c r="AH78" s="46" t="str">
        <f t="shared" si="27"/>
        <v/>
      </c>
      <c r="AI78" s="44"/>
      <c r="AJ78" s="44"/>
      <c r="AK78" s="44"/>
      <c r="AL78" s="44"/>
      <c r="AM78" s="44"/>
      <c r="AN78" s="44"/>
      <c r="AO78" s="44"/>
      <c r="AP78" s="46" t="str">
        <f t="shared" si="28"/>
        <v/>
      </c>
      <c r="AQ78" s="44"/>
      <c r="AR78" s="44"/>
      <c r="AS78" s="44"/>
      <c r="AT78" s="44"/>
      <c r="AU78" s="44"/>
      <c r="AV78" s="44"/>
      <c r="AW78" s="44"/>
      <c r="AX78" s="46" t="str">
        <f t="shared" si="29"/>
        <v/>
      </c>
      <c r="AY78" s="44"/>
      <c r="AZ78" s="44"/>
      <c r="BA78" s="44"/>
      <c r="BB78" s="44"/>
      <c r="BC78" s="44"/>
      <c r="BD78" s="44"/>
      <c r="BE78" s="44"/>
      <c r="BF78" s="46" t="str">
        <f t="shared" si="30"/>
        <v/>
      </c>
      <c r="BG78" s="44"/>
      <c r="BH78" s="44"/>
      <c r="BI78" s="44"/>
      <c r="BJ78" s="44"/>
      <c r="BK78" s="44"/>
      <c r="BL78" s="44"/>
      <c r="BM78" s="44"/>
      <c r="BN78" s="46" t="str">
        <f t="shared" si="31"/>
        <v/>
      </c>
      <c r="BO78" s="44"/>
      <c r="BP78" s="44"/>
      <c r="BQ78" s="44"/>
      <c r="BR78" s="44"/>
      <c r="BS78" s="44"/>
      <c r="BT78" s="44"/>
      <c r="BU78" s="44"/>
      <c r="BV78" s="46" t="str">
        <f t="shared" si="32"/>
        <v/>
      </c>
      <c r="BW78" s="50"/>
      <c r="BX78" s="50"/>
      <c r="BY78" s="50"/>
      <c r="BZ78" s="50"/>
      <c r="CA78" s="50"/>
      <c r="CB78" s="50"/>
      <c r="CC78" s="50"/>
      <c r="CD78" s="46" t="str">
        <f t="shared" si="33"/>
        <v/>
      </c>
      <c r="CE78" s="44"/>
      <c r="CF78" s="44"/>
      <c r="CG78" s="44"/>
      <c r="CH78" s="44"/>
      <c r="CI78" s="44"/>
      <c r="CJ78" s="44"/>
      <c r="CK78" s="44"/>
      <c r="CL78" s="46" t="str">
        <f t="shared" si="34"/>
        <v/>
      </c>
      <c r="CM78" s="44"/>
      <c r="CN78" s="44"/>
      <c r="CO78" s="44"/>
      <c r="CP78" s="44"/>
      <c r="CQ78" s="44"/>
      <c r="CR78" s="44"/>
      <c r="CS78" s="44"/>
      <c r="CT78" s="48" t="str">
        <f t="shared" si="35"/>
        <v/>
      </c>
    </row>
    <row r="79" spans="1:98" ht="40" customHeight="1" x14ac:dyDescent="0.15">
      <c r="A79" s="124" t="s">
        <v>198</v>
      </c>
      <c r="B79" s="51" t="s">
        <v>199</v>
      </c>
      <c r="C79" s="70"/>
      <c r="D79" s="44"/>
      <c r="E79" s="44"/>
      <c r="F79" s="44"/>
      <c r="G79" s="44"/>
      <c r="H79" s="44"/>
      <c r="I79" s="44"/>
      <c r="J79" s="45" t="str">
        <f t="shared" si="24"/>
        <v/>
      </c>
      <c r="K79" s="44"/>
      <c r="L79" s="44"/>
      <c r="M79" s="44"/>
      <c r="N79" s="44"/>
      <c r="O79" s="44"/>
      <c r="P79" s="44"/>
      <c r="Q79" s="44"/>
      <c r="R79" s="45" t="str">
        <f t="shared" si="25"/>
        <v/>
      </c>
      <c r="S79" s="44"/>
      <c r="T79" s="44"/>
      <c r="U79" s="44"/>
      <c r="V79" s="44"/>
      <c r="W79" s="44"/>
      <c r="X79" s="44"/>
      <c r="Y79" s="44"/>
      <c r="Z79" s="46" t="str">
        <f t="shared" si="26"/>
        <v/>
      </c>
      <c r="AA79" s="44"/>
      <c r="AB79" s="44"/>
      <c r="AC79" s="44"/>
      <c r="AD79" s="44"/>
      <c r="AE79" s="44"/>
      <c r="AF79" s="44"/>
      <c r="AG79" s="44"/>
      <c r="AH79" s="46" t="str">
        <f t="shared" si="27"/>
        <v/>
      </c>
      <c r="AI79" s="44"/>
      <c r="AJ79" s="44"/>
      <c r="AK79" s="44"/>
      <c r="AL79" s="44"/>
      <c r="AM79" s="44"/>
      <c r="AN79" s="44"/>
      <c r="AO79" s="44"/>
      <c r="AP79" s="46" t="str">
        <f t="shared" si="28"/>
        <v/>
      </c>
      <c r="AQ79" s="44"/>
      <c r="AR79" s="44"/>
      <c r="AS79" s="44"/>
      <c r="AT79" s="44"/>
      <c r="AU79" s="44"/>
      <c r="AV79" s="44"/>
      <c r="AW79" s="44"/>
      <c r="AX79" s="46" t="str">
        <f t="shared" si="29"/>
        <v/>
      </c>
      <c r="AY79" s="44"/>
      <c r="AZ79" s="44"/>
      <c r="BA79" s="44"/>
      <c r="BB79" s="44"/>
      <c r="BC79" s="44"/>
      <c r="BD79" s="44"/>
      <c r="BE79" s="44"/>
      <c r="BF79" s="46" t="str">
        <f t="shared" si="30"/>
        <v/>
      </c>
      <c r="BG79" s="44"/>
      <c r="BH79" s="44"/>
      <c r="BI79" s="44"/>
      <c r="BJ79" s="44"/>
      <c r="BK79" s="44"/>
      <c r="BL79" s="44"/>
      <c r="BM79" s="44"/>
      <c r="BN79" s="46" t="str">
        <f t="shared" si="31"/>
        <v/>
      </c>
      <c r="BO79" s="44"/>
      <c r="BP79" s="44"/>
      <c r="BQ79" s="44"/>
      <c r="BR79" s="44"/>
      <c r="BS79" s="44"/>
      <c r="BT79" s="44"/>
      <c r="BU79" s="44"/>
      <c r="BV79" s="46" t="str">
        <f t="shared" si="32"/>
        <v/>
      </c>
      <c r="BW79" s="50"/>
      <c r="BX79" s="50"/>
      <c r="BY79" s="50"/>
      <c r="BZ79" s="50"/>
      <c r="CA79" s="50"/>
      <c r="CB79" s="50"/>
      <c r="CC79" s="50"/>
      <c r="CD79" s="46" t="str">
        <f t="shared" si="33"/>
        <v/>
      </c>
      <c r="CE79" s="44"/>
      <c r="CF79" s="44"/>
      <c r="CG79" s="44"/>
      <c r="CH79" s="44"/>
      <c r="CI79" s="44"/>
      <c r="CJ79" s="44"/>
      <c r="CK79" s="44"/>
      <c r="CL79" s="46" t="str">
        <f t="shared" si="34"/>
        <v/>
      </c>
      <c r="CM79" s="44"/>
      <c r="CN79" s="44"/>
      <c r="CO79" s="44"/>
      <c r="CP79" s="44"/>
      <c r="CQ79" s="44"/>
      <c r="CR79" s="44"/>
      <c r="CS79" s="44"/>
      <c r="CT79" s="48" t="str">
        <f t="shared" si="35"/>
        <v/>
      </c>
    </row>
    <row r="80" spans="1:98" ht="40" customHeight="1" x14ac:dyDescent="0.15">
      <c r="A80" s="123" t="s">
        <v>200</v>
      </c>
      <c r="B80" s="49" t="s">
        <v>201</v>
      </c>
      <c r="C80" s="70"/>
      <c r="D80" s="44"/>
      <c r="E80" s="44"/>
      <c r="F80" s="44"/>
      <c r="G80" s="44"/>
      <c r="H80" s="44"/>
      <c r="I80" s="44"/>
      <c r="J80" s="45" t="str">
        <f t="shared" si="24"/>
        <v/>
      </c>
      <c r="K80" s="44"/>
      <c r="L80" s="44"/>
      <c r="M80" s="44"/>
      <c r="N80" s="44"/>
      <c r="O80" s="44"/>
      <c r="P80" s="44"/>
      <c r="Q80" s="44"/>
      <c r="R80" s="45" t="str">
        <f t="shared" si="25"/>
        <v/>
      </c>
      <c r="S80" s="44"/>
      <c r="T80" s="44"/>
      <c r="U80" s="44"/>
      <c r="V80" s="44"/>
      <c r="W80" s="44"/>
      <c r="X80" s="44"/>
      <c r="Y80" s="44"/>
      <c r="Z80" s="46" t="str">
        <f t="shared" si="26"/>
        <v/>
      </c>
      <c r="AA80" s="44"/>
      <c r="AB80" s="44"/>
      <c r="AC80" s="44"/>
      <c r="AD80" s="44"/>
      <c r="AE80" s="44"/>
      <c r="AF80" s="44"/>
      <c r="AG80" s="44"/>
      <c r="AH80" s="46" t="str">
        <f t="shared" si="27"/>
        <v/>
      </c>
      <c r="AI80" s="44"/>
      <c r="AJ80" s="44"/>
      <c r="AK80" s="44"/>
      <c r="AL80" s="44"/>
      <c r="AM80" s="44"/>
      <c r="AN80" s="44"/>
      <c r="AO80" s="44"/>
      <c r="AP80" s="46" t="str">
        <f t="shared" si="28"/>
        <v/>
      </c>
      <c r="AQ80" s="44"/>
      <c r="AR80" s="44"/>
      <c r="AS80" s="44"/>
      <c r="AT80" s="44"/>
      <c r="AU80" s="44"/>
      <c r="AV80" s="44"/>
      <c r="AW80" s="44"/>
      <c r="AX80" s="46" t="str">
        <f t="shared" si="29"/>
        <v/>
      </c>
      <c r="AY80" s="44"/>
      <c r="AZ80" s="44"/>
      <c r="BA80" s="44"/>
      <c r="BB80" s="44"/>
      <c r="BC80" s="44"/>
      <c r="BD80" s="44"/>
      <c r="BE80" s="44"/>
      <c r="BF80" s="46" t="str">
        <f t="shared" si="30"/>
        <v/>
      </c>
      <c r="BG80" s="44"/>
      <c r="BH80" s="44"/>
      <c r="BI80" s="44"/>
      <c r="BJ80" s="44"/>
      <c r="BK80" s="44"/>
      <c r="BL80" s="44"/>
      <c r="BM80" s="44"/>
      <c r="BN80" s="46" t="str">
        <f t="shared" si="31"/>
        <v/>
      </c>
      <c r="BO80" s="44"/>
      <c r="BP80" s="44"/>
      <c r="BQ80" s="44"/>
      <c r="BR80" s="44"/>
      <c r="BS80" s="44"/>
      <c r="BT80" s="44"/>
      <c r="BU80" s="44"/>
      <c r="BV80" s="46" t="str">
        <f t="shared" si="32"/>
        <v/>
      </c>
      <c r="BW80" s="50"/>
      <c r="BX80" s="50"/>
      <c r="BY80" s="50"/>
      <c r="BZ80" s="50"/>
      <c r="CA80" s="50"/>
      <c r="CB80" s="50"/>
      <c r="CC80" s="50"/>
      <c r="CD80" s="46" t="str">
        <f t="shared" si="33"/>
        <v/>
      </c>
      <c r="CE80" s="44"/>
      <c r="CF80" s="44"/>
      <c r="CG80" s="44"/>
      <c r="CH80" s="44"/>
      <c r="CI80" s="44"/>
      <c r="CJ80" s="44"/>
      <c r="CK80" s="44"/>
      <c r="CL80" s="46" t="str">
        <f t="shared" si="34"/>
        <v/>
      </c>
      <c r="CM80" s="44"/>
      <c r="CN80" s="44"/>
      <c r="CO80" s="44"/>
      <c r="CP80" s="44"/>
      <c r="CQ80" s="44"/>
      <c r="CR80" s="44"/>
      <c r="CS80" s="44"/>
      <c r="CT80" s="48" t="str">
        <f t="shared" si="35"/>
        <v/>
      </c>
    </row>
    <row r="81" spans="1:98" ht="40" customHeight="1" x14ac:dyDescent="0.15">
      <c r="A81" s="124" t="s">
        <v>202</v>
      </c>
      <c r="B81" s="51" t="s">
        <v>203</v>
      </c>
      <c r="C81" s="70"/>
      <c r="D81" s="44"/>
      <c r="E81" s="44"/>
      <c r="F81" s="44"/>
      <c r="G81" s="44"/>
      <c r="H81" s="44"/>
      <c r="I81" s="44"/>
      <c r="J81" s="45" t="str">
        <f t="shared" si="24"/>
        <v/>
      </c>
      <c r="K81" s="44"/>
      <c r="L81" s="44"/>
      <c r="M81" s="44"/>
      <c r="N81" s="44"/>
      <c r="O81" s="44"/>
      <c r="P81" s="44"/>
      <c r="Q81" s="44"/>
      <c r="R81" s="45" t="str">
        <f t="shared" si="25"/>
        <v/>
      </c>
      <c r="S81" s="44"/>
      <c r="T81" s="44"/>
      <c r="U81" s="44"/>
      <c r="V81" s="44"/>
      <c r="W81" s="44"/>
      <c r="X81" s="44"/>
      <c r="Y81" s="44"/>
      <c r="Z81" s="46" t="str">
        <f t="shared" si="26"/>
        <v/>
      </c>
      <c r="AA81" s="44"/>
      <c r="AB81" s="44"/>
      <c r="AC81" s="44"/>
      <c r="AD81" s="44"/>
      <c r="AE81" s="44"/>
      <c r="AF81" s="44"/>
      <c r="AG81" s="44"/>
      <c r="AH81" s="46" t="str">
        <f t="shared" si="27"/>
        <v/>
      </c>
      <c r="AI81" s="44"/>
      <c r="AJ81" s="44"/>
      <c r="AK81" s="44"/>
      <c r="AL81" s="44"/>
      <c r="AM81" s="44"/>
      <c r="AN81" s="44"/>
      <c r="AO81" s="44"/>
      <c r="AP81" s="46" t="str">
        <f t="shared" si="28"/>
        <v/>
      </c>
      <c r="AQ81" s="44"/>
      <c r="AR81" s="44"/>
      <c r="AS81" s="44"/>
      <c r="AT81" s="44"/>
      <c r="AU81" s="44"/>
      <c r="AV81" s="44"/>
      <c r="AW81" s="44"/>
      <c r="AX81" s="46" t="str">
        <f t="shared" si="29"/>
        <v/>
      </c>
      <c r="AY81" s="44"/>
      <c r="AZ81" s="44"/>
      <c r="BA81" s="44"/>
      <c r="BB81" s="44"/>
      <c r="BC81" s="44"/>
      <c r="BD81" s="44"/>
      <c r="BE81" s="44"/>
      <c r="BF81" s="46" t="str">
        <f t="shared" si="30"/>
        <v/>
      </c>
      <c r="BG81" s="44"/>
      <c r="BH81" s="44"/>
      <c r="BI81" s="44"/>
      <c r="BJ81" s="44"/>
      <c r="BK81" s="44"/>
      <c r="BL81" s="44"/>
      <c r="BM81" s="44"/>
      <c r="BN81" s="46" t="str">
        <f t="shared" si="31"/>
        <v/>
      </c>
      <c r="BO81" s="44"/>
      <c r="BP81" s="44"/>
      <c r="BQ81" s="44"/>
      <c r="BR81" s="44"/>
      <c r="BS81" s="44"/>
      <c r="BT81" s="44"/>
      <c r="BU81" s="44"/>
      <c r="BV81" s="46" t="str">
        <f t="shared" si="32"/>
        <v/>
      </c>
      <c r="BW81" s="50"/>
      <c r="BX81" s="50"/>
      <c r="BY81" s="50"/>
      <c r="BZ81" s="50"/>
      <c r="CA81" s="50"/>
      <c r="CB81" s="50"/>
      <c r="CC81" s="50"/>
      <c r="CD81" s="46" t="str">
        <f t="shared" si="33"/>
        <v/>
      </c>
      <c r="CE81" s="44"/>
      <c r="CF81" s="44"/>
      <c r="CG81" s="44"/>
      <c r="CH81" s="44"/>
      <c r="CI81" s="44"/>
      <c r="CJ81" s="44"/>
      <c r="CK81" s="44"/>
      <c r="CL81" s="46" t="str">
        <f t="shared" si="34"/>
        <v/>
      </c>
      <c r="CM81" s="44"/>
      <c r="CN81" s="44"/>
      <c r="CO81" s="44"/>
      <c r="CP81" s="44"/>
      <c r="CQ81" s="44"/>
      <c r="CR81" s="44"/>
      <c r="CS81" s="44"/>
      <c r="CT81" s="48" t="str">
        <f t="shared" si="35"/>
        <v/>
      </c>
    </row>
    <row r="82" spans="1:98" ht="40" customHeight="1" x14ac:dyDescent="0.15">
      <c r="A82" s="123" t="s">
        <v>204</v>
      </c>
      <c r="B82" s="49" t="s">
        <v>205</v>
      </c>
      <c r="C82" s="70"/>
      <c r="D82" s="44"/>
      <c r="E82" s="44"/>
      <c r="F82" s="44"/>
      <c r="G82" s="44"/>
      <c r="H82" s="44"/>
      <c r="I82" s="44"/>
      <c r="J82" s="45" t="str">
        <f t="shared" si="24"/>
        <v/>
      </c>
      <c r="K82" s="44"/>
      <c r="L82" s="44"/>
      <c r="M82" s="44"/>
      <c r="N82" s="44"/>
      <c r="O82" s="44"/>
      <c r="P82" s="44"/>
      <c r="Q82" s="44"/>
      <c r="R82" s="45" t="str">
        <f t="shared" si="25"/>
        <v/>
      </c>
      <c r="S82" s="44"/>
      <c r="T82" s="44"/>
      <c r="U82" s="44"/>
      <c r="V82" s="44"/>
      <c r="W82" s="44"/>
      <c r="X82" s="44"/>
      <c r="Y82" s="44"/>
      <c r="Z82" s="46" t="str">
        <f t="shared" si="26"/>
        <v/>
      </c>
      <c r="AA82" s="44"/>
      <c r="AB82" s="44"/>
      <c r="AC82" s="44"/>
      <c r="AD82" s="44"/>
      <c r="AE82" s="44"/>
      <c r="AF82" s="44"/>
      <c r="AG82" s="44"/>
      <c r="AH82" s="46" t="str">
        <f t="shared" si="27"/>
        <v/>
      </c>
      <c r="AI82" s="44"/>
      <c r="AJ82" s="44"/>
      <c r="AK82" s="44"/>
      <c r="AL82" s="44"/>
      <c r="AM82" s="44"/>
      <c r="AN82" s="44"/>
      <c r="AO82" s="44"/>
      <c r="AP82" s="46" t="str">
        <f t="shared" si="28"/>
        <v/>
      </c>
      <c r="AQ82" s="44"/>
      <c r="AR82" s="44"/>
      <c r="AS82" s="44"/>
      <c r="AT82" s="44"/>
      <c r="AU82" s="44"/>
      <c r="AV82" s="44"/>
      <c r="AW82" s="44"/>
      <c r="AX82" s="46" t="str">
        <f t="shared" si="29"/>
        <v/>
      </c>
      <c r="AY82" s="44"/>
      <c r="AZ82" s="44"/>
      <c r="BA82" s="44"/>
      <c r="BB82" s="44"/>
      <c r="BC82" s="44"/>
      <c r="BD82" s="44"/>
      <c r="BE82" s="44"/>
      <c r="BF82" s="46" t="str">
        <f t="shared" si="30"/>
        <v/>
      </c>
      <c r="BG82" s="44"/>
      <c r="BH82" s="44"/>
      <c r="BI82" s="44"/>
      <c r="BJ82" s="44"/>
      <c r="BK82" s="44"/>
      <c r="BL82" s="44"/>
      <c r="BM82" s="44"/>
      <c r="BN82" s="46" t="str">
        <f t="shared" si="31"/>
        <v/>
      </c>
      <c r="BO82" s="44"/>
      <c r="BP82" s="44"/>
      <c r="BQ82" s="44"/>
      <c r="BR82" s="44"/>
      <c r="BS82" s="44"/>
      <c r="BT82" s="44"/>
      <c r="BU82" s="44"/>
      <c r="BV82" s="46" t="str">
        <f t="shared" si="32"/>
        <v/>
      </c>
      <c r="BW82" s="50"/>
      <c r="BX82" s="50"/>
      <c r="BY82" s="50"/>
      <c r="BZ82" s="50"/>
      <c r="CA82" s="50"/>
      <c r="CB82" s="50"/>
      <c r="CC82" s="50"/>
      <c r="CD82" s="46" t="str">
        <f t="shared" si="33"/>
        <v/>
      </c>
      <c r="CE82" s="44"/>
      <c r="CF82" s="44"/>
      <c r="CG82" s="44"/>
      <c r="CH82" s="44"/>
      <c r="CI82" s="44"/>
      <c r="CJ82" s="44"/>
      <c r="CK82" s="44"/>
      <c r="CL82" s="46" t="str">
        <f t="shared" si="34"/>
        <v/>
      </c>
      <c r="CM82" s="44"/>
      <c r="CN82" s="44"/>
      <c r="CO82" s="44"/>
      <c r="CP82" s="44"/>
      <c r="CQ82" s="44"/>
      <c r="CR82" s="44"/>
      <c r="CS82" s="44"/>
      <c r="CT82" s="48" t="str">
        <f t="shared" si="35"/>
        <v/>
      </c>
    </row>
    <row r="83" spans="1:98" ht="40" customHeight="1" x14ac:dyDescent="0.15">
      <c r="A83" s="124" t="s">
        <v>206</v>
      </c>
      <c r="B83" s="51" t="s">
        <v>207</v>
      </c>
      <c r="C83" s="70"/>
      <c r="D83" s="44"/>
      <c r="E83" s="44"/>
      <c r="F83" s="44"/>
      <c r="G83" s="44"/>
      <c r="H83" s="44"/>
      <c r="I83" s="44"/>
      <c r="J83" s="45" t="str">
        <f t="shared" si="24"/>
        <v/>
      </c>
      <c r="K83" s="44"/>
      <c r="L83" s="44"/>
      <c r="M83" s="44"/>
      <c r="N83" s="44"/>
      <c r="O83" s="44"/>
      <c r="P83" s="44"/>
      <c r="Q83" s="44"/>
      <c r="R83" s="45" t="str">
        <f t="shared" si="25"/>
        <v/>
      </c>
      <c r="S83" s="44"/>
      <c r="T83" s="44"/>
      <c r="U83" s="44"/>
      <c r="V83" s="44"/>
      <c r="W83" s="44"/>
      <c r="X83" s="44"/>
      <c r="Y83" s="44"/>
      <c r="Z83" s="46" t="str">
        <f t="shared" si="26"/>
        <v/>
      </c>
      <c r="AA83" s="44"/>
      <c r="AB83" s="44"/>
      <c r="AC83" s="44"/>
      <c r="AD83" s="44"/>
      <c r="AE83" s="44"/>
      <c r="AF83" s="44"/>
      <c r="AG83" s="44"/>
      <c r="AH83" s="46" t="str">
        <f t="shared" si="27"/>
        <v/>
      </c>
      <c r="AI83" s="44"/>
      <c r="AJ83" s="44"/>
      <c r="AK83" s="44"/>
      <c r="AL83" s="44"/>
      <c r="AM83" s="44"/>
      <c r="AN83" s="44"/>
      <c r="AO83" s="44"/>
      <c r="AP83" s="46" t="str">
        <f t="shared" si="28"/>
        <v/>
      </c>
      <c r="AQ83" s="44"/>
      <c r="AR83" s="44"/>
      <c r="AS83" s="44"/>
      <c r="AT83" s="44"/>
      <c r="AU83" s="44"/>
      <c r="AV83" s="44"/>
      <c r="AW83" s="44"/>
      <c r="AX83" s="46" t="str">
        <f t="shared" si="29"/>
        <v/>
      </c>
      <c r="AY83" s="44"/>
      <c r="AZ83" s="44"/>
      <c r="BA83" s="44"/>
      <c r="BB83" s="44"/>
      <c r="BC83" s="44"/>
      <c r="BD83" s="44"/>
      <c r="BE83" s="44"/>
      <c r="BF83" s="46" t="str">
        <f t="shared" si="30"/>
        <v/>
      </c>
      <c r="BG83" s="44"/>
      <c r="BH83" s="44"/>
      <c r="BI83" s="44"/>
      <c r="BJ83" s="44"/>
      <c r="BK83" s="44"/>
      <c r="BL83" s="44"/>
      <c r="BM83" s="44"/>
      <c r="BN83" s="46" t="str">
        <f t="shared" si="31"/>
        <v/>
      </c>
      <c r="BO83" s="44"/>
      <c r="BP83" s="44"/>
      <c r="BQ83" s="44"/>
      <c r="BR83" s="44"/>
      <c r="BS83" s="44"/>
      <c r="BT83" s="44"/>
      <c r="BU83" s="44"/>
      <c r="BV83" s="46" t="str">
        <f t="shared" si="32"/>
        <v/>
      </c>
      <c r="BW83" s="50"/>
      <c r="BX83" s="50"/>
      <c r="BY83" s="50"/>
      <c r="BZ83" s="50"/>
      <c r="CA83" s="50"/>
      <c r="CB83" s="50"/>
      <c r="CC83" s="50"/>
      <c r="CD83" s="46" t="str">
        <f t="shared" si="33"/>
        <v/>
      </c>
      <c r="CE83" s="44"/>
      <c r="CF83" s="44"/>
      <c r="CG83" s="44"/>
      <c r="CH83" s="44"/>
      <c r="CI83" s="44"/>
      <c r="CJ83" s="44"/>
      <c r="CK83" s="44"/>
      <c r="CL83" s="46" t="str">
        <f t="shared" si="34"/>
        <v/>
      </c>
      <c r="CM83" s="44"/>
      <c r="CN83" s="44"/>
      <c r="CO83" s="44"/>
      <c r="CP83" s="44"/>
      <c r="CQ83" s="44"/>
      <c r="CR83" s="44"/>
      <c r="CS83" s="44"/>
      <c r="CT83" s="48" t="str">
        <f t="shared" si="35"/>
        <v/>
      </c>
    </row>
    <row r="84" spans="1:98" ht="40" customHeight="1" x14ac:dyDescent="0.15">
      <c r="A84" s="123" t="s">
        <v>208</v>
      </c>
      <c r="B84" s="49" t="s">
        <v>209</v>
      </c>
      <c r="C84" s="70"/>
      <c r="D84" s="44"/>
      <c r="E84" s="44"/>
      <c r="F84" s="44"/>
      <c r="G84" s="44"/>
      <c r="H84" s="44"/>
      <c r="I84" s="44"/>
      <c r="J84" s="45" t="str">
        <f t="shared" si="24"/>
        <v/>
      </c>
      <c r="K84" s="44"/>
      <c r="L84" s="44"/>
      <c r="M84" s="44"/>
      <c r="N84" s="44"/>
      <c r="O84" s="44"/>
      <c r="P84" s="44"/>
      <c r="Q84" s="44"/>
      <c r="R84" s="45" t="str">
        <f t="shared" si="25"/>
        <v/>
      </c>
      <c r="S84" s="44"/>
      <c r="T84" s="44"/>
      <c r="U84" s="44"/>
      <c r="V84" s="44"/>
      <c r="W84" s="44"/>
      <c r="X84" s="44"/>
      <c r="Y84" s="44"/>
      <c r="Z84" s="46" t="str">
        <f t="shared" si="26"/>
        <v/>
      </c>
      <c r="AA84" s="44"/>
      <c r="AB84" s="44"/>
      <c r="AC84" s="44"/>
      <c r="AD84" s="44"/>
      <c r="AE84" s="44"/>
      <c r="AF84" s="44"/>
      <c r="AG84" s="44"/>
      <c r="AH84" s="46" t="str">
        <f t="shared" si="27"/>
        <v/>
      </c>
      <c r="AI84" s="44"/>
      <c r="AJ84" s="44"/>
      <c r="AK84" s="44"/>
      <c r="AL84" s="44"/>
      <c r="AM84" s="44"/>
      <c r="AN84" s="44"/>
      <c r="AO84" s="44"/>
      <c r="AP84" s="46" t="str">
        <f t="shared" si="28"/>
        <v/>
      </c>
      <c r="AQ84" s="44"/>
      <c r="AR84" s="44"/>
      <c r="AS84" s="44"/>
      <c r="AT84" s="44"/>
      <c r="AU84" s="44"/>
      <c r="AV84" s="44"/>
      <c r="AW84" s="44"/>
      <c r="AX84" s="46" t="str">
        <f t="shared" si="29"/>
        <v/>
      </c>
      <c r="AY84" s="44"/>
      <c r="AZ84" s="44"/>
      <c r="BA84" s="44"/>
      <c r="BB84" s="44"/>
      <c r="BC84" s="44"/>
      <c r="BD84" s="44"/>
      <c r="BE84" s="44"/>
      <c r="BF84" s="46" t="str">
        <f t="shared" si="30"/>
        <v/>
      </c>
      <c r="BG84" s="44"/>
      <c r="BH84" s="44"/>
      <c r="BI84" s="44"/>
      <c r="BJ84" s="44"/>
      <c r="BK84" s="44"/>
      <c r="BL84" s="44"/>
      <c r="BM84" s="44"/>
      <c r="BN84" s="46" t="str">
        <f t="shared" si="31"/>
        <v/>
      </c>
      <c r="BO84" s="44"/>
      <c r="BP84" s="44"/>
      <c r="BQ84" s="44"/>
      <c r="BR84" s="44"/>
      <c r="BS84" s="44"/>
      <c r="BT84" s="44"/>
      <c r="BU84" s="44"/>
      <c r="BV84" s="46" t="str">
        <f t="shared" si="32"/>
        <v/>
      </c>
      <c r="BW84" s="50"/>
      <c r="BX84" s="50"/>
      <c r="BY84" s="50"/>
      <c r="BZ84" s="50"/>
      <c r="CA84" s="50"/>
      <c r="CB84" s="50"/>
      <c r="CC84" s="50"/>
      <c r="CD84" s="46" t="str">
        <f t="shared" si="33"/>
        <v/>
      </c>
      <c r="CE84" s="44"/>
      <c r="CF84" s="44"/>
      <c r="CG84" s="44"/>
      <c r="CH84" s="44"/>
      <c r="CI84" s="44"/>
      <c r="CJ84" s="44"/>
      <c r="CK84" s="44"/>
      <c r="CL84" s="46" t="str">
        <f t="shared" si="34"/>
        <v/>
      </c>
      <c r="CM84" s="44"/>
      <c r="CN84" s="44"/>
      <c r="CO84" s="44"/>
      <c r="CP84" s="44"/>
      <c r="CQ84" s="44"/>
      <c r="CR84" s="44"/>
      <c r="CS84" s="44"/>
      <c r="CT84" s="48" t="str">
        <f t="shared" si="35"/>
        <v/>
      </c>
    </row>
    <row r="85" spans="1:98" ht="40" customHeight="1" x14ac:dyDescent="0.15">
      <c r="A85" s="124" t="s">
        <v>210</v>
      </c>
      <c r="B85" s="51" t="s">
        <v>211</v>
      </c>
      <c r="C85" s="70"/>
      <c r="D85" s="44"/>
      <c r="E85" s="44"/>
      <c r="F85" s="44"/>
      <c r="G85" s="44"/>
      <c r="H85" s="44"/>
      <c r="I85" s="44"/>
      <c r="J85" s="45" t="str">
        <f t="shared" si="24"/>
        <v/>
      </c>
      <c r="K85" s="44"/>
      <c r="L85" s="44"/>
      <c r="M85" s="44"/>
      <c r="N85" s="44"/>
      <c r="O85" s="44"/>
      <c r="P85" s="44"/>
      <c r="Q85" s="44"/>
      <c r="R85" s="45" t="str">
        <f t="shared" si="25"/>
        <v/>
      </c>
      <c r="S85" s="44"/>
      <c r="T85" s="44"/>
      <c r="U85" s="44"/>
      <c r="V85" s="44"/>
      <c r="W85" s="44"/>
      <c r="X85" s="44"/>
      <c r="Y85" s="44"/>
      <c r="Z85" s="46" t="str">
        <f t="shared" si="26"/>
        <v/>
      </c>
      <c r="AA85" s="44"/>
      <c r="AB85" s="44"/>
      <c r="AC85" s="44"/>
      <c r="AD85" s="44"/>
      <c r="AE85" s="44"/>
      <c r="AF85" s="44"/>
      <c r="AG85" s="44"/>
      <c r="AH85" s="46" t="str">
        <f t="shared" si="27"/>
        <v/>
      </c>
      <c r="AI85" s="44"/>
      <c r="AJ85" s="44"/>
      <c r="AK85" s="44"/>
      <c r="AL85" s="44"/>
      <c r="AM85" s="44"/>
      <c r="AN85" s="44"/>
      <c r="AO85" s="44"/>
      <c r="AP85" s="46" t="str">
        <f t="shared" si="28"/>
        <v/>
      </c>
      <c r="AQ85" s="44"/>
      <c r="AR85" s="44"/>
      <c r="AS85" s="44"/>
      <c r="AT85" s="44"/>
      <c r="AU85" s="44"/>
      <c r="AV85" s="44"/>
      <c r="AW85" s="44"/>
      <c r="AX85" s="46" t="str">
        <f t="shared" si="29"/>
        <v/>
      </c>
      <c r="AY85" s="44"/>
      <c r="AZ85" s="44"/>
      <c r="BA85" s="44"/>
      <c r="BB85" s="44"/>
      <c r="BC85" s="44"/>
      <c r="BD85" s="44"/>
      <c r="BE85" s="44"/>
      <c r="BF85" s="46" t="str">
        <f t="shared" si="30"/>
        <v/>
      </c>
      <c r="BG85" s="44"/>
      <c r="BH85" s="44"/>
      <c r="BI85" s="44"/>
      <c r="BJ85" s="44"/>
      <c r="BK85" s="44"/>
      <c r="BL85" s="44"/>
      <c r="BM85" s="44"/>
      <c r="BN85" s="46" t="str">
        <f t="shared" si="31"/>
        <v/>
      </c>
      <c r="BO85" s="44"/>
      <c r="BP85" s="44"/>
      <c r="BQ85" s="44"/>
      <c r="BR85" s="44"/>
      <c r="BS85" s="44"/>
      <c r="BT85" s="44"/>
      <c r="BU85" s="44"/>
      <c r="BV85" s="46" t="str">
        <f t="shared" si="32"/>
        <v/>
      </c>
      <c r="BW85" s="50"/>
      <c r="BX85" s="50"/>
      <c r="BY85" s="50"/>
      <c r="BZ85" s="50"/>
      <c r="CA85" s="50"/>
      <c r="CB85" s="50"/>
      <c r="CC85" s="50"/>
      <c r="CD85" s="46" t="str">
        <f t="shared" si="33"/>
        <v/>
      </c>
      <c r="CE85" s="44"/>
      <c r="CF85" s="44"/>
      <c r="CG85" s="44"/>
      <c r="CH85" s="44"/>
      <c r="CI85" s="44"/>
      <c r="CJ85" s="44"/>
      <c r="CK85" s="44"/>
      <c r="CL85" s="46" t="str">
        <f t="shared" si="34"/>
        <v/>
      </c>
      <c r="CM85" s="44"/>
      <c r="CN85" s="44"/>
      <c r="CO85" s="44"/>
      <c r="CP85" s="44"/>
      <c r="CQ85" s="44"/>
      <c r="CR85" s="44"/>
      <c r="CS85" s="44"/>
      <c r="CT85" s="48" t="str">
        <f t="shared" si="35"/>
        <v/>
      </c>
    </row>
    <row r="86" spans="1:98" ht="40" customHeight="1" x14ac:dyDescent="0.15">
      <c r="A86" s="123" t="s">
        <v>212</v>
      </c>
      <c r="B86" s="49" t="s">
        <v>213</v>
      </c>
      <c r="C86" s="70"/>
      <c r="D86" s="44"/>
      <c r="E86" s="44"/>
      <c r="F86" s="44"/>
      <c r="G86" s="44"/>
      <c r="H86" s="44"/>
      <c r="I86" s="44"/>
      <c r="J86" s="45" t="str">
        <f t="shared" si="24"/>
        <v/>
      </c>
      <c r="K86" s="44"/>
      <c r="L86" s="44"/>
      <c r="M86" s="44"/>
      <c r="N86" s="44"/>
      <c r="O86" s="44"/>
      <c r="P86" s="44"/>
      <c r="Q86" s="44"/>
      <c r="R86" s="45" t="str">
        <f t="shared" si="25"/>
        <v/>
      </c>
      <c r="S86" s="44"/>
      <c r="T86" s="44"/>
      <c r="U86" s="44"/>
      <c r="V86" s="44"/>
      <c r="W86" s="44"/>
      <c r="X86" s="44"/>
      <c r="Y86" s="44"/>
      <c r="Z86" s="46" t="str">
        <f t="shared" si="26"/>
        <v/>
      </c>
      <c r="AA86" s="44"/>
      <c r="AB86" s="44"/>
      <c r="AC86" s="44"/>
      <c r="AD86" s="44"/>
      <c r="AE86" s="44"/>
      <c r="AF86" s="44"/>
      <c r="AG86" s="44"/>
      <c r="AH86" s="46" t="str">
        <f t="shared" si="27"/>
        <v/>
      </c>
      <c r="AI86" s="44"/>
      <c r="AJ86" s="44"/>
      <c r="AK86" s="44"/>
      <c r="AL86" s="44"/>
      <c r="AM86" s="44"/>
      <c r="AN86" s="44"/>
      <c r="AO86" s="44"/>
      <c r="AP86" s="46" t="str">
        <f t="shared" si="28"/>
        <v/>
      </c>
      <c r="AQ86" s="44"/>
      <c r="AR86" s="44"/>
      <c r="AS86" s="44"/>
      <c r="AT86" s="44"/>
      <c r="AU86" s="44"/>
      <c r="AV86" s="44"/>
      <c r="AW86" s="44"/>
      <c r="AX86" s="46" t="str">
        <f t="shared" si="29"/>
        <v/>
      </c>
      <c r="AY86" s="44"/>
      <c r="AZ86" s="44"/>
      <c r="BA86" s="44"/>
      <c r="BB86" s="44"/>
      <c r="BC86" s="44"/>
      <c r="BD86" s="44"/>
      <c r="BE86" s="44"/>
      <c r="BF86" s="46" t="str">
        <f t="shared" si="30"/>
        <v/>
      </c>
      <c r="BG86" s="44"/>
      <c r="BH86" s="44"/>
      <c r="BI86" s="44"/>
      <c r="BJ86" s="44"/>
      <c r="BK86" s="44"/>
      <c r="BL86" s="44"/>
      <c r="BM86" s="44"/>
      <c r="BN86" s="46" t="str">
        <f t="shared" si="31"/>
        <v/>
      </c>
      <c r="BO86" s="44"/>
      <c r="BP86" s="44"/>
      <c r="BQ86" s="44"/>
      <c r="BR86" s="44"/>
      <c r="BS86" s="44"/>
      <c r="BT86" s="44"/>
      <c r="BU86" s="44"/>
      <c r="BV86" s="46" t="str">
        <f t="shared" si="32"/>
        <v/>
      </c>
      <c r="BW86" s="50"/>
      <c r="BX86" s="50"/>
      <c r="BY86" s="50"/>
      <c r="BZ86" s="50"/>
      <c r="CA86" s="50"/>
      <c r="CB86" s="50"/>
      <c r="CC86" s="50"/>
      <c r="CD86" s="46" t="str">
        <f t="shared" si="33"/>
        <v/>
      </c>
      <c r="CE86" s="44"/>
      <c r="CF86" s="44"/>
      <c r="CG86" s="44"/>
      <c r="CH86" s="44"/>
      <c r="CI86" s="44"/>
      <c r="CJ86" s="44"/>
      <c r="CK86" s="44"/>
      <c r="CL86" s="46" t="str">
        <f t="shared" si="34"/>
        <v/>
      </c>
      <c r="CM86" s="44"/>
      <c r="CN86" s="44"/>
      <c r="CO86" s="44"/>
      <c r="CP86" s="44"/>
      <c r="CQ86" s="44"/>
      <c r="CR86" s="44"/>
      <c r="CS86" s="44"/>
      <c r="CT86" s="48" t="str">
        <f t="shared" si="35"/>
        <v/>
      </c>
    </row>
    <row r="87" spans="1:98" ht="40" customHeight="1" x14ac:dyDescent="0.15">
      <c r="A87" s="123" t="s">
        <v>214</v>
      </c>
      <c r="B87" s="49" t="s">
        <v>215</v>
      </c>
      <c r="C87" s="70"/>
      <c r="D87" s="44"/>
      <c r="E87" s="44"/>
      <c r="F87" s="44"/>
      <c r="G87" s="44"/>
      <c r="H87" s="44"/>
      <c r="I87" s="44"/>
      <c r="J87" s="45" t="str">
        <f t="shared" si="24"/>
        <v/>
      </c>
      <c r="K87" s="44"/>
      <c r="L87" s="44"/>
      <c r="M87" s="44"/>
      <c r="N87" s="44"/>
      <c r="O87" s="44"/>
      <c r="P87" s="44"/>
      <c r="Q87" s="44"/>
      <c r="R87" s="45" t="str">
        <f t="shared" si="25"/>
        <v/>
      </c>
      <c r="S87" s="44"/>
      <c r="T87" s="44"/>
      <c r="U87" s="44"/>
      <c r="V87" s="44"/>
      <c r="W87" s="44"/>
      <c r="X87" s="44"/>
      <c r="Y87" s="44"/>
      <c r="Z87" s="46" t="str">
        <f t="shared" si="26"/>
        <v/>
      </c>
      <c r="AA87" s="44"/>
      <c r="AB87" s="44"/>
      <c r="AC87" s="44"/>
      <c r="AD87" s="44"/>
      <c r="AE87" s="44"/>
      <c r="AF87" s="44"/>
      <c r="AG87" s="44"/>
      <c r="AH87" s="46" t="str">
        <f t="shared" si="27"/>
        <v/>
      </c>
      <c r="AI87" s="44"/>
      <c r="AJ87" s="44"/>
      <c r="AK87" s="44"/>
      <c r="AL87" s="44"/>
      <c r="AM87" s="44"/>
      <c r="AN87" s="44"/>
      <c r="AO87" s="44"/>
      <c r="AP87" s="46" t="str">
        <f t="shared" si="28"/>
        <v/>
      </c>
      <c r="AQ87" s="44"/>
      <c r="AR87" s="44"/>
      <c r="AS87" s="44"/>
      <c r="AT87" s="44"/>
      <c r="AU87" s="44"/>
      <c r="AV87" s="44"/>
      <c r="AW87" s="44"/>
      <c r="AX87" s="46" t="str">
        <f t="shared" si="29"/>
        <v/>
      </c>
      <c r="AY87" s="44"/>
      <c r="AZ87" s="44"/>
      <c r="BA87" s="44"/>
      <c r="BB87" s="44"/>
      <c r="BC87" s="44"/>
      <c r="BD87" s="44"/>
      <c r="BE87" s="44"/>
      <c r="BF87" s="46" t="str">
        <f t="shared" si="30"/>
        <v/>
      </c>
      <c r="BG87" s="44"/>
      <c r="BH87" s="44"/>
      <c r="BI87" s="44"/>
      <c r="BJ87" s="44"/>
      <c r="BK87" s="44"/>
      <c r="BL87" s="44"/>
      <c r="BM87" s="44"/>
      <c r="BN87" s="46" t="str">
        <f t="shared" si="31"/>
        <v/>
      </c>
      <c r="BO87" s="44"/>
      <c r="BP87" s="44"/>
      <c r="BQ87" s="44"/>
      <c r="BR87" s="44"/>
      <c r="BS87" s="44"/>
      <c r="BT87" s="44"/>
      <c r="BU87" s="44"/>
      <c r="BV87" s="46" t="str">
        <f t="shared" si="32"/>
        <v/>
      </c>
      <c r="BW87" s="50"/>
      <c r="BX87" s="50"/>
      <c r="BY87" s="50"/>
      <c r="BZ87" s="50"/>
      <c r="CA87" s="50"/>
      <c r="CB87" s="50"/>
      <c r="CC87" s="50"/>
      <c r="CD87" s="46" t="str">
        <f t="shared" si="33"/>
        <v/>
      </c>
      <c r="CE87" s="44"/>
      <c r="CF87" s="44"/>
      <c r="CG87" s="44"/>
      <c r="CH87" s="44"/>
      <c r="CI87" s="44"/>
      <c r="CJ87" s="44"/>
      <c r="CK87" s="44"/>
      <c r="CL87" s="46" t="str">
        <f t="shared" si="34"/>
        <v/>
      </c>
      <c r="CM87" s="44"/>
      <c r="CN87" s="44"/>
      <c r="CO87" s="44"/>
      <c r="CP87" s="44"/>
      <c r="CQ87" s="44"/>
      <c r="CR87" s="44"/>
      <c r="CS87" s="44"/>
      <c r="CT87" s="48" t="str">
        <f t="shared" si="35"/>
        <v/>
      </c>
    </row>
    <row r="88" spans="1:98" ht="40" customHeight="1" x14ac:dyDescent="0.15">
      <c r="A88" s="68" t="s">
        <v>216</v>
      </c>
      <c r="B88" s="122"/>
      <c r="C88" s="70"/>
      <c r="D88" s="44"/>
      <c r="E88" s="44"/>
      <c r="F88" s="44"/>
      <c r="G88" s="44"/>
      <c r="H88" s="44"/>
      <c r="I88" s="44"/>
      <c r="J88" s="45" t="str">
        <f t="shared" si="24"/>
        <v/>
      </c>
      <c r="K88" s="44"/>
      <c r="L88" s="44"/>
      <c r="M88" s="44"/>
      <c r="N88" s="44"/>
      <c r="O88" s="44"/>
      <c r="P88" s="44"/>
      <c r="Q88" s="44"/>
      <c r="R88" s="45" t="str">
        <f t="shared" si="25"/>
        <v/>
      </c>
      <c r="S88" s="44"/>
      <c r="T88" s="44"/>
      <c r="U88" s="44"/>
      <c r="V88" s="44"/>
      <c r="W88" s="44"/>
      <c r="X88" s="44"/>
      <c r="Y88" s="44"/>
      <c r="Z88" s="46" t="str">
        <f t="shared" si="26"/>
        <v/>
      </c>
      <c r="AA88" s="44"/>
      <c r="AB88" s="44"/>
      <c r="AC88" s="44"/>
      <c r="AD88" s="44"/>
      <c r="AE88" s="44"/>
      <c r="AF88" s="44"/>
      <c r="AG88" s="44"/>
      <c r="AH88" s="46" t="str">
        <f t="shared" si="27"/>
        <v/>
      </c>
      <c r="AI88" s="44"/>
      <c r="AJ88" s="44"/>
      <c r="AK88" s="44"/>
      <c r="AL88" s="44"/>
      <c r="AM88" s="44"/>
      <c r="AN88" s="44"/>
      <c r="AO88" s="44"/>
      <c r="AP88" s="46" t="str">
        <f t="shared" si="28"/>
        <v/>
      </c>
      <c r="AQ88" s="44"/>
      <c r="AR88" s="44"/>
      <c r="AS88" s="44"/>
      <c r="AT88" s="44"/>
      <c r="AU88" s="44"/>
      <c r="AV88" s="44"/>
      <c r="AW88" s="44"/>
      <c r="AX88" s="46" t="str">
        <f t="shared" si="29"/>
        <v/>
      </c>
      <c r="AY88" s="44"/>
      <c r="AZ88" s="44"/>
      <c r="BA88" s="44"/>
      <c r="BB88" s="44"/>
      <c r="BC88" s="44"/>
      <c r="BD88" s="44"/>
      <c r="BE88" s="44"/>
      <c r="BF88" s="46" t="str">
        <f t="shared" si="30"/>
        <v/>
      </c>
      <c r="BG88" s="44"/>
      <c r="BH88" s="44"/>
      <c r="BI88" s="44"/>
      <c r="BJ88" s="44"/>
      <c r="BK88" s="44"/>
      <c r="BL88" s="44"/>
      <c r="BM88" s="44"/>
      <c r="BN88" s="46" t="str">
        <f t="shared" si="31"/>
        <v/>
      </c>
      <c r="BO88" s="44"/>
      <c r="BP88" s="44"/>
      <c r="BQ88" s="44"/>
      <c r="BR88" s="44"/>
      <c r="BS88" s="44"/>
      <c r="BT88" s="44"/>
      <c r="BU88" s="44"/>
      <c r="BV88" s="46" t="str">
        <f t="shared" si="32"/>
        <v/>
      </c>
      <c r="BW88" s="50"/>
      <c r="BX88" s="50"/>
      <c r="BY88" s="50"/>
      <c r="BZ88" s="50"/>
      <c r="CA88" s="50"/>
      <c r="CB88" s="50"/>
      <c r="CC88" s="50"/>
      <c r="CD88" s="46" t="str">
        <f t="shared" si="33"/>
        <v/>
      </c>
      <c r="CE88" s="44"/>
      <c r="CF88" s="44"/>
      <c r="CG88" s="44"/>
      <c r="CH88" s="44"/>
      <c r="CI88" s="44"/>
      <c r="CJ88" s="44"/>
      <c r="CK88" s="44"/>
      <c r="CL88" s="46" t="str">
        <f t="shared" si="34"/>
        <v/>
      </c>
      <c r="CM88" s="44"/>
      <c r="CN88" s="44"/>
      <c r="CO88" s="44"/>
      <c r="CP88" s="44"/>
      <c r="CQ88" s="44"/>
      <c r="CR88" s="44"/>
      <c r="CS88" s="44"/>
      <c r="CT88" s="48" t="str">
        <f t="shared" si="35"/>
        <v/>
      </c>
    </row>
    <row r="89" spans="1:98" ht="40" customHeight="1" x14ac:dyDescent="0.15">
      <c r="A89" s="123" t="s">
        <v>217</v>
      </c>
      <c r="B89" s="49" t="s">
        <v>218</v>
      </c>
      <c r="C89" s="70"/>
      <c r="D89" s="44"/>
      <c r="E89" s="44"/>
      <c r="F89" s="44"/>
      <c r="G89" s="44"/>
      <c r="H89" s="44"/>
      <c r="I89" s="44"/>
      <c r="J89" s="45" t="str">
        <f t="shared" si="24"/>
        <v/>
      </c>
      <c r="K89" s="44"/>
      <c r="L89" s="44"/>
      <c r="M89" s="44"/>
      <c r="N89" s="44"/>
      <c r="O89" s="44"/>
      <c r="P89" s="44"/>
      <c r="Q89" s="44"/>
      <c r="R89" s="45" t="str">
        <f t="shared" si="25"/>
        <v/>
      </c>
      <c r="S89" s="44"/>
      <c r="T89" s="44"/>
      <c r="U89" s="44"/>
      <c r="V89" s="44"/>
      <c r="W89" s="44"/>
      <c r="X89" s="44"/>
      <c r="Y89" s="44"/>
      <c r="Z89" s="46" t="str">
        <f t="shared" si="26"/>
        <v/>
      </c>
      <c r="AA89" s="44"/>
      <c r="AB89" s="44"/>
      <c r="AC89" s="44"/>
      <c r="AD89" s="44"/>
      <c r="AE89" s="44"/>
      <c r="AF89" s="44"/>
      <c r="AG89" s="44"/>
      <c r="AH89" s="46" t="str">
        <f t="shared" si="27"/>
        <v/>
      </c>
      <c r="AI89" s="44"/>
      <c r="AJ89" s="44"/>
      <c r="AK89" s="44"/>
      <c r="AL89" s="44"/>
      <c r="AM89" s="44"/>
      <c r="AN89" s="44"/>
      <c r="AO89" s="44"/>
      <c r="AP89" s="46" t="str">
        <f t="shared" si="28"/>
        <v/>
      </c>
      <c r="AQ89" s="44"/>
      <c r="AR89" s="44"/>
      <c r="AS89" s="44"/>
      <c r="AT89" s="44"/>
      <c r="AU89" s="44"/>
      <c r="AV89" s="44"/>
      <c r="AW89" s="44"/>
      <c r="AX89" s="46" t="str">
        <f t="shared" si="29"/>
        <v/>
      </c>
      <c r="AY89" s="44"/>
      <c r="AZ89" s="44"/>
      <c r="BA89" s="44"/>
      <c r="BB89" s="44"/>
      <c r="BC89" s="44"/>
      <c r="BD89" s="44"/>
      <c r="BE89" s="44"/>
      <c r="BF89" s="46" t="str">
        <f t="shared" si="30"/>
        <v/>
      </c>
      <c r="BG89" s="44"/>
      <c r="BH89" s="44"/>
      <c r="BI89" s="44"/>
      <c r="BJ89" s="44"/>
      <c r="BK89" s="44"/>
      <c r="BL89" s="44"/>
      <c r="BM89" s="44"/>
      <c r="BN89" s="46" t="str">
        <f t="shared" si="31"/>
        <v/>
      </c>
      <c r="BO89" s="44"/>
      <c r="BP89" s="44"/>
      <c r="BQ89" s="44"/>
      <c r="BR89" s="44"/>
      <c r="BS89" s="44"/>
      <c r="BT89" s="44"/>
      <c r="BU89" s="44"/>
      <c r="BV89" s="46" t="str">
        <f t="shared" si="32"/>
        <v/>
      </c>
      <c r="BW89" s="50"/>
      <c r="BX89" s="50"/>
      <c r="BY89" s="50"/>
      <c r="BZ89" s="50"/>
      <c r="CA89" s="50"/>
      <c r="CB89" s="50"/>
      <c r="CC89" s="50"/>
      <c r="CD89" s="46" t="str">
        <f t="shared" si="33"/>
        <v/>
      </c>
      <c r="CE89" s="44"/>
      <c r="CF89" s="44"/>
      <c r="CG89" s="44"/>
      <c r="CH89" s="44"/>
      <c r="CI89" s="44"/>
      <c r="CJ89" s="44"/>
      <c r="CK89" s="44"/>
      <c r="CL89" s="46" t="str">
        <f t="shared" si="34"/>
        <v/>
      </c>
      <c r="CM89" s="44"/>
      <c r="CN89" s="44"/>
      <c r="CO89" s="44"/>
      <c r="CP89" s="44"/>
      <c r="CQ89" s="44"/>
      <c r="CR89" s="44"/>
      <c r="CS89" s="44"/>
      <c r="CT89" s="48" t="str">
        <f t="shared" si="35"/>
        <v/>
      </c>
    </row>
    <row r="90" spans="1:98" ht="40" customHeight="1" x14ac:dyDescent="0.15">
      <c r="A90" s="124" t="s">
        <v>219</v>
      </c>
      <c r="B90" s="51" t="s">
        <v>220</v>
      </c>
      <c r="C90" s="70"/>
      <c r="D90" s="44"/>
      <c r="E90" s="44"/>
      <c r="F90" s="44"/>
      <c r="G90" s="44"/>
      <c r="H90" s="44"/>
      <c r="I90" s="44"/>
      <c r="J90" s="45" t="str">
        <f t="shared" si="24"/>
        <v/>
      </c>
      <c r="K90" s="44"/>
      <c r="L90" s="44"/>
      <c r="M90" s="44"/>
      <c r="N90" s="44"/>
      <c r="O90" s="44"/>
      <c r="P90" s="44"/>
      <c r="Q90" s="44"/>
      <c r="R90" s="45" t="str">
        <f t="shared" si="25"/>
        <v/>
      </c>
      <c r="S90" s="44"/>
      <c r="T90" s="44"/>
      <c r="U90" s="44"/>
      <c r="V90" s="44"/>
      <c r="W90" s="44"/>
      <c r="X90" s="44"/>
      <c r="Y90" s="44"/>
      <c r="Z90" s="46" t="str">
        <f t="shared" si="26"/>
        <v/>
      </c>
      <c r="AA90" s="44"/>
      <c r="AB90" s="44"/>
      <c r="AC90" s="44"/>
      <c r="AD90" s="44"/>
      <c r="AE90" s="44"/>
      <c r="AF90" s="44"/>
      <c r="AG90" s="44"/>
      <c r="AH90" s="46" t="str">
        <f t="shared" si="27"/>
        <v/>
      </c>
      <c r="AI90" s="44"/>
      <c r="AJ90" s="44"/>
      <c r="AK90" s="44"/>
      <c r="AL90" s="44"/>
      <c r="AM90" s="44"/>
      <c r="AN90" s="44"/>
      <c r="AO90" s="44"/>
      <c r="AP90" s="46" t="str">
        <f t="shared" si="28"/>
        <v/>
      </c>
      <c r="AQ90" s="44"/>
      <c r="AR90" s="44"/>
      <c r="AS90" s="44"/>
      <c r="AT90" s="44"/>
      <c r="AU90" s="44"/>
      <c r="AV90" s="44"/>
      <c r="AW90" s="44"/>
      <c r="AX90" s="46" t="str">
        <f t="shared" si="29"/>
        <v/>
      </c>
      <c r="AY90" s="44"/>
      <c r="AZ90" s="44"/>
      <c r="BA90" s="44"/>
      <c r="BB90" s="44"/>
      <c r="BC90" s="44"/>
      <c r="BD90" s="44"/>
      <c r="BE90" s="44"/>
      <c r="BF90" s="46" t="str">
        <f t="shared" si="30"/>
        <v/>
      </c>
      <c r="BG90" s="44"/>
      <c r="BH90" s="44"/>
      <c r="BI90" s="44"/>
      <c r="BJ90" s="44"/>
      <c r="BK90" s="44"/>
      <c r="BL90" s="44"/>
      <c r="BM90" s="44"/>
      <c r="BN90" s="46" t="str">
        <f t="shared" si="31"/>
        <v/>
      </c>
      <c r="BO90" s="44"/>
      <c r="BP90" s="44"/>
      <c r="BQ90" s="44"/>
      <c r="BR90" s="44"/>
      <c r="BS90" s="44"/>
      <c r="BT90" s="44"/>
      <c r="BU90" s="44"/>
      <c r="BV90" s="46" t="str">
        <f t="shared" si="32"/>
        <v/>
      </c>
      <c r="BW90" s="50"/>
      <c r="BX90" s="50"/>
      <c r="BY90" s="50"/>
      <c r="BZ90" s="50"/>
      <c r="CA90" s="50"/>
      <c r="CB90" s="50"/>
      <c r="CC90" s="50"/>
      <c r="CD90" s="46" t="str">
        <f t="shared" si="33"/>
        <v/>
      </c>
      <c r="CE90" s="44"/>
      <c r="CF90" s="44"/>
      <c r="CG90" s="44"/>
      <c r="CH90" s="44"/>
      <c r="CI90" s="44"/>
      <c r="CJ90" s="44"/>
      <c r="CK90" s="44"/>
      <c r="CL90" s="46" t="str">
        <f t="shared" si="34"/>
        <v/>
      </c>
      <c r="CM90" s="44"/>
      <c r="CN90" s="44"/>
      <c r="CO90" s="44"/>
      <c r="CP90" s="44"/>
      <c r="CQ90" s="44"/>
      <c r="CR90" s="44"/>
      <c r="CS90" s="44"/>
      <c r="CT90" s="48" t="str">
        <f t="shared" si="35"/>
        <v/>
      </c>
    </row>
    <row r="91" spans="1:98" ht="40" customHeight="1" x14ac:dyDescent="0.15">
      <c r="A91" s="123" t="s">
        <v>221</v>
      </c>
      <c r="B91" s="49" t="s">
        <v>222</v>
      </c>
      <c r="C91" s="70"/>
      <c r="D91" s="44"/>
      <c r="E91" s="44"/>
      <c r="F91" s="44"/>
      <c r="G91" s="44"/>
      <c r="H91" s="44"/>
      <c r="I91" s="44"/>
      <c r="J91" s="45" t="str">
        <f t="shared" si="24"/>
        <v/>
      </c>
      <c r="K91" s="44"/>
      <c r="L91" s="44"/>
      <c r="M91" s="44"/>
      <c r="N91" s="44"/>
      <c r="O91" s="44"/>
      <c r="P91" s="44"/>
      <c r="Q91" s="44"/>
      <c r="R91" s="45" t="str">
        <f t="shared" si="25"/>
        <v/>
      </c>
      <c r="S91" s="44"/>
      <c r="T91" s="44"/>
      <c r="U91" s="44"/>
      <c r="V91" s="44"/>
      <c r="W91" s="44"/>
      <c r="X91" s="44"/>
      <c r="Y91" s="44"/>
      <c r="Z91" s="46" t="str">
        <f t="shared" si="26"/>
        <v/>
      </c>
      <c r="AA91" s="44"/>
      <c r="AB91" s="44"/>
      <c r="AC91" s="44"/>
      <c r="AD91" s="44"/>
      <c r="AE91" s="44"/>
      <c r="AF91" s="44"/>
      <c r="AG91" s="44"/>
      <c r="AH91" s="46" t="str">
        <f t="shared" si="27"/>
        <v/>
      </c>
      <c r="AI91" s="44"/>
      <c r="AJ91" s="44"/>
      <c r="AK91" s="44"/>
      <c r="AL91" s="44"/>
      <c r="AM91" s="44"/>
      <c r="AN91" s="44"/>
      <c r="AO91" s="44"/>
      <c r="AP91" s="46" t="str">
        <f t="shared" si="28"/>
        <v/>
      </c>
      <c r="AQ91" s="44"/>
      <c r="AR91" s="44"/>
      <c r="AS91" s="44"/>
      <c r="AT91" s="44"/>
      <c r="AU91" s="44"/>
      <c r="AV91" s="44"/>
      <c r="AW91" s="44"/>
      <c r="AX91" s="46" t="str">
        <f t="shared" si="29"/>
        <v/>
      </c>
      <c r="AY91" s="44"/>
      <c r="AZ91" s="44"/>
      <c r="BA91" s="44"/>
      <c r="BB91" s="44"/>
      <c r="BC91" s="44"/>
      <c r="BD91" s="44"/>
      <c r="BE91" s="44"/>
      <c r="BF91" s="46" t="str">
        <f t="shared" si="30"/>
        <v/>
      </c>
      <c r="BG91" s="44"/>
      <c r="BH91" s="44"/>
      <c r="BI91" s="44"/>
      <c r="BJ91" s="44"/>
      <c r="BK91" s="44"/>
      <c r="BL91" s="44"/>
      <c r="BM91" s="44"/>
      <c r="BN91" s="46" t="str">
        <f t="shared" si="31"/>
        <v/>
      </c>
      <c r="BO91" s="44"/>
      <c r="BP91" s="44"/>
      <c r="BQ91" s="44"/>
      <c r="BR91" s="44"/>
      <c r="BS91" s="44"/>
      <c r="BT91" s="44"/>
      <c r="BU91" s="44"/>
      <c r="BV91" s="46" t="str">
        <f t="shared" si="32"/>
        <v/>
      </c>
      <c r="BW91" s="50"/>
      <c r="BX91" s="50"/>
      <c r="BY91" s="50"/>
      <c r="BZ91" s="50"/>
      <c r="CA91" s="50"/>
      <c r="CB91" s="50"/>
      <c r="CC91" s="50"/>
      <c r="CD91" s="46" t="str">
        <f t="shared" si="33"/>
        <v/>
      </c>
      <c r="CE91" s="44"/>
      <c r="CF91" s="44"/>
      <c r="CG91" s="44"/>
      <c r="CH91" s="44"/>
      <c r="CI91" s="44"/>
      <c r="CJ91" s="44"/>
      <c r="CK91" s="44"/>
      <c r="CL91" s="46" t="str">
        <f t="shared" si="34"/>
        <v/>
      </c>
      <c r="CM91" s="44"/>
      <c r="CN91" s="44"/>
      <c r="CO91" s="44"/>
      <c r="CP91" s="44"/>
      <c r="CQ91" s="44"/>
      <c r="CR91" s="44"/>
      <c r="CS91" s="44"/>
      <c r="CT91" s="48" t="str">
        <f t="shared" si="35"/>
        <v/>
      </c>
    </row>
    <row r="92" spans="1:98" ht="40" customHeight="1" x14ac:dyDescent="0.15">
      <c r="A92" s="124" t="s">
        <v>223</v>
      </c>
      <c r="B92" s="51" t="s">
        <v>224</v>
      </c>
      <c r="C92" s="70"/>
      <c r="D92" s="44"/>
      <c r="E92" s="44"/>
      <c r="F92" s="44"/>
      <c r="G92" s="44"/>
      <c r="H92" s="44"/>
      <c r="I92" s="44"/>
      <c r="J92" s="45" t="str">
        <f t="shared" si="24"/>
        <v/>
      </c>
      <c r="K92" s="44"/>
      <c r="L92" s="44"/>
      <c r="M92" s="44"/>
      <c r="N92" s="44"/>
      <c r="O92" s="44"/>
      <c r="P92" s="44"/>
      <c r="Q92" s="44"/>
      <c r="R92" s="45" t="str">
        <f t="shared" si="25"/>
        <v/>
      </c>
      <c r="S92" s="44"/>
      <c r="T92" s="44"/>
      <c r="U92" s="44"/>
      <c r="V92" s="44"/>
      <c r="W92" s="44"/>
      <c r="X92" s="44"/>
      <c r="Y92" s="44"/>
      <c r="Z92" s="46" t="str">
        <f t="shared" si="26"/>
        <v/>
      </c>
      <c r="AA92" s="44"/>
      <c r="AB92" s="44"/>
      <c r="AC92" s="44"/>
      <c r="AD92" s="44"/>
      <c r="AE92" s="44"/>
      <c r="AF92" s="44"/>
      <c r="AG92" s="44"/>
      <c r="AH92" s="46" t="str">
        <f t="shared" si="27"/>
        <v/>
      </c>
      <c r="AI92" s="44"/>
      <c r="AJ92" s="44"/>
      <c r="AK92" s="44"/>
      <c r="AL92" s="44"/>
      <c r="AM92" s="44"/>
      <c r="AN92" s="44"/>
      <c r="AO92" s="44"/>
      <c r="AP92" s="46" t="str">
        <f t="shared" si="28"/>
        <v/>
      </c>
      <c r="AQ92" s="44"/>
      <c r="AR92" s="44"/>
      <c r="AS92" s="44"/>
      <c r="AT92" s="44"/>
      <c r="AU92" s="44"/>
      <c r="AV92" s="44"/>
      <c r="AW92" s="44"/>
      <c r="AX92" s="46" t="str">
        <f t="shared" si="29"/>
        <v/>
      </c>
      <c r="AY92" s="44"/>
      <c r="AZ92" s="44"/>
      <c r="BA92" s="44"/>
      <c r="BB92" s="44"/>
      <c r="BC92" s="44"/>
      <c r="BD92" s="44"/>
      <c r="BE92" s="44"/>
      <c r="BF92" s="46" t="str">
        <f t="shared" si="30"/>
        <v/>
      </c>
      <c r="BG92" s="44"/>
      <c r="BH92" s="44"/>
      <c r="BI92" s="44"/>
      <c r="BJ92" s="44"/>
      <c r="BK92" s="44"/>
      <c r="BL92" s="44"/>
      <c r="BM92" s="44"/>
      <c r="BN92" s="46" t="str">
        <f t="shared" si="31"/>
        <v/>
      </c>
      <c r="BO92" s="44"/>
      <c r="BP92" s="44"/>
      <c r="BQ92" s="44"/>
      <c r="BR92" s="44"/>
      <c r="BS92" s="44"/>
      <c r="BT92" s="44"/>
      <c r="BU92" s="44"/>
      <c r="BV92" s="46" t="str">
        <f t="shared" si="32"/>
        <v/>
      </c>
      <c r="BW92" s="50"/>
      <c r="BX92" s="50"/>
      <c r="BY92" s="50"/>
      <c r="BZ92" s="50"/>
      <c r="CA92" s="50"/>
      <c r="CB92" s="50"/>
      <c r="CC92" s="50"/>
      <c r="CD92" s="46" t="str">
        <f t="shared" si="33"/>
        <v/>
      </c>
      <c r="CE92" s="44"/>
      <c r="CF92" s="44"/>
      <c r="CG92" s="44"/>
      <c r="CH92" s="44"/>
      <c r="CI92" s="44"/>
      <c r="CJ92" s="44"/>
      <c r="CK92" s="44"/>
      <c r="CL92" s="46" t="str">
        <f t="shared" si="34"/>
        <v/>
      </c>
      <c r="CM92" s="44"/>
      <c r="CN92" s="44"/>
      <c r="CO92" s="44"/>
      <c r="CP92" s="44"/>
      <c r="CQ92" s="44"/>
      <c r="CR92" s="44"/>
      <c r="CS92" s="44"/>
      <c r="CT92" s="48" t="str">
        <f t="shared" si="35"/>
        <v/>
      </c>
    </row>
    <row r="93" spans="1:98" ht="40" customHeight="1" x14ac:dyDescent="0.15">
      <c r="A93" s="123" t="s">
        <v>225</v>
      </c>
      <c r="B93" s="49" t="s">
        <v>226</v>
      </c>
      <c r="C93" s="70"/>
      <c r="D93" s="44"/>
      <c r="E93" s="44"/>
      <c r="F93" s="44"/>
      <c r="G93" s="44"/>
      <c r="H93" s="44"/>
      <c r="I93" s="44"/>
      <c r="J93" s="45" t="str">
        <f t="shared" si="24"/>
        <v/>
      </c>
      <c r="K93" s="44"/>
      <c r="L93" s="44"/>
      <c r="M93" s="44"/>
      <c r="N93" s="44"/>
      <c r="O93" s="44"/>
      <c r="P93" s="44"/>
      <c r="Q93" s="44"/>
      <c r="R93" s="45" t="str">
        <f t="shared" si="25"/>
        <v/>
      </c>
      <c r="S93" s="44"/>
      <c r="T93" s="44"/>
      <c r="U93" s="44"/>
      <c r="V93" s="44"/>
      <c r="W93" s="44"/>
      <c r="X93" s="44"/>
      <c r="Y93" s="44"/>
      <c r="Z93" s="46" t="str">
        <f t="shared" si="26"/>
        <v/>
      </c>
      <c r="AA93" s="44"/>
      <c r="AB93" s="44"/>
      <c r="AC93" s="44"/>
      <c r="AD93" s="44"/>
      <c r="AE93" s="44"/>
      <c r="AF93" s="44"/>
      <c r="AG93" s="44"/>
      <c r="AH93" s="46" t="str">
        <f t="shared" si="27"/>
        <v/>
      </c>
      <c r="AI93" s="44"/>
      <c r="AJ93" s="44"/>
      <c r="AK93" s="44"/>
      <c r="AL93" s="44"/>
      <c r="AM93" s="44"/>
      <c r="AN93" s="44"/>
      <c r="AO93" s="44"/>
      <c r="AP93" s="46" t="str">
        <f t="shared" si="28"/>
        <v/>
      </c>
      <c r="AQ93" s="44"/>
      <c r="AR93" s="44"/>
      <c r="AS93" s="44"/>
      <c r="AT93" s="44"/>
      <c r="AU93" s="44"/>
      <c r="AV93" s="44"/>
      <c r="AW93" s="44"/>
      <c r="AX93" s="46" t="str">
        <f t="shared" si="29"/>
        <v/>
      </c>
      <c r="AY93" s="44"/>
      <c r="AZ93" s="44"/>
      <c r="BA93" s="44"/>
      <c r="BB93" s="44"/>
      <c r="BC93" s="44"/>
      <c r="BD93" s="44"/>
      <c r="BE93" s="44"/>
      <c r="BF93" s="46" t="str">
        <f t="shared" si="30"/>
        <v/>
      </c>
      <c r="BG93" s="44"/>
      <c r="BH93" s="44"/>
      <c r="BI93" s="44"/>
      <c r="BJ93" s="44"/>
      <c r="BK93" s="44"/>
      <c r="BL93" s="44"/>
      <c r="BM93" s="44"/>
      <c r="BN93" s="46" t="str">
        <f t="shared" si="31"/>
        <v/>
      </c>
      <c r="BO93" s="44"/>
      <c r="BP93" s="44"/>
      <c r="BQ93" s="44"/>
      <c r="BR93" s="44"/>
      <c r="BS93" s="44"/>
      <c r="BT93" s="44"/>
      <c r="BU93" s="44"/>
      <c r="BV93" s="46" t="str">
        <f t="shared" si="32"/>
        <v/>
      </c>
      <c r="BW93" s="50"/>
      <c r="BX93" s="50"/>
      <c r="BY93" s="50"/>
      <c r="BZ93" s="50"/>
      <c r="CA93" s="50"/>
      <c r="CB93" s="50"/>
      <c r="CC93" s="50"/>
      <c r="CD93" s="46" t="str">
        <f t="shared" si="33"/>
        <v/>
      </c>
      <c r="CE93" s="44"/>
      <c r="CF93" s="44"/>
      <c r="CG93" s="44"/>
      <c r="CH93" s="44"/>
      <c r="CI93" s="44"/>
      <c r="CJ93" s="44"/>
      <c r="CK93" s="44"/>
      <c r="CL93" s="46" t="str">
        <f t="shared" si="34"/>
        <v/>
      </c>
      <c r="CM93" s="44"/>
      <c r="CN93" s="44"/>
      <c r="CO93" s="44"/>
      <c r="CP93" s="44"/>
      <c r="CQ93" s="44"/>
      <c r="CR93" s="44"/>
      <c r="CS93" s="44"/>
      <c r="CT93" s="48" t="str">
        <f t="shared" si="35"/>
        <v/>
      </c>
    </row>
    <row r="94" spans="1:98" ht="40" customHeight="1" x14ac:dyDescent="0.15">
      <c r="A94" s="123" t="s">
        <v>227</v>
      </c>
      <c r="B94" s="49" t="s">
        <v>228</v>
      </c>
      <c r="C94" s="70"/>
      <c r="D94" s="44"/>
      <c r="E94" s="44"/>
      <c r="F94" s="44"/>
      <c r="G94" s="44"/>
      <c r="H94" s="44"/>
      <c r="I94" s="44"/>
      <c r="J94" s="45" t="str">
        <f t="shared" si="24"/>
        <v/>
      </c>
      <c r="K94" s="44"/>
      <c r="L94" s="44"/>
      <c r="M94" s="44"/>
      <c r="N94" s="44"/>
      <c r="O94" s="44"/>
      <c r="P94" s="44"/>
      <c r="Q94" s="44"/>
      <c r="R94" s="45" t="str">
        <f t="shared" si="25"/>
        <v/>
      </c>
      <c r="S94" s="44"/>
      <c r="T94" s="44"/>
      <c r="U94" s="44"/>
      <c r="V94" s="44"/>
      <c r="W94" s="44"/>
      <c r="X94" s="44"/>
      <c r="Y94" s="44"/>
      <c r="Z94" s="46" t="str">
        <f t="shared" si="26"/>
        <v/>
      </c>
      <c r="AA94" s="44"/>
      <c r="AB94" s="44"/>
      <c r="AC94" s="44"/>
      <c r="AD94" s="44"/>
      <c r="AE94" s="44"/>
      <c r="AF94" s="44"/>
      <c r="AG94" s="44"/>
      <c r="AH94" s="46" t="str">
        <f t="shared" si="27"/>
        <v/>
      </c>
      <c r="AI94" s="44"/>
      <c r="AJ94" s="44"/>
      <c r="AK94" s="44"/>
      <c r="AL94" s="44"/>
      <c r="AM94" s="44"/>
      <c r="AN94" s="44"/>
      <c r="AO94" s="44"/>
      <c r="AP94" s="46" t="str">
        <f t="shared" si="28"/>
        <v/>
      </c>
      <c r="AQ94" s="44"/>
      <c r="AR94" s="44"/>
      <c r="AS94" s="44"/>
      <c r="AT94" s="44"/>
      <c r="AU94" s="44"/>
      <c r="AV94" s="44"/>
      <c r="AW94" s="44"/>
      <c r="AX94" s="46" t="str">
        <f t="shared" si="29"/>
        <v/>
      </c>
      <c r="AY94" s="44"/>
      <c r="AZ94" s="44"/>
      <c r="BA94" s="44"/>
      <c r="BB94" s="44"/>
      <c r="BC94" s="44"/>
      <c r="BD94" s="44"/>
      <c r="BE94" s="44"/>
      <c r="BF94" s="46" t="str">
        <f t="shared" si="30"/>
        <v/>
      </c>
      <c r="BG94" s="44"/>
      <c r="BH94" s="44"/>
      <c r="BI94" s="44"/>
      <c r="BJ94" s="44"/>
      <c r="BK94" s="44"/>
      <c r="BL94" s="44"/>
      <c r="BM94" s="44"/>
      <c r="BN94" s="46" t="str">
        <f t="shared" si="31"/>
        <v/>
      </c>
      <c r="BO94" s="44"/>
      <c r="BP94" s="44"/>
      <c r="BQ94" s="44"/>
      <c r="BR94" s="44"/>
      <c r="BS94" s="44"/>
      <c r="BT94" s="44"/>
      <c r="BU94" s="44"/>
      <c r="BV94" s="46" t="str">
        <f t="shared" si="32"/>
        <v/>
      </c>
      <c r="BW94" s="50"/>
      <c r="BX94" s="50"/>
      <c r="BY94" s="50"/>
      <c r="BZ94" s="50"/>
      <c r="CA94" s="50"/>
      <c r="CB94" s="50"/>
      <c r="CC94" s="50"/>
      <c r="CD94" s="46" t="str">
        <f t="shared" si="33"/>
        <v/>
      </c>
      <c r="CE94" s="44"/>
      <c r="CF94" s="44"/>
      <c r="CG94" s="44"/>
      <c r="CH94" s="44"/>
      <c r="CI94" s="44"/>
      <c r="CJ94" s="44"/>
      <c r="CK94" s="44"/>
      <c r="CL94" s="46" t="str">
        <f t="shared" si="34"/>
        <v/>
      </c>
      <c r="CM94" s="44"/>
      <c r="CN94" s="44"/>
      <c r="CO94" s="44"/>
      <c r="CP94" s="44"/>
      <c r="CQ94" s="44"/>
      <c r="CR94" s="44"/>
      <c r="CS94" s="44"/>
      <c r="CT94" s="48" t="str">
        <f t="shared" si="35"/>
        <v/>
      </c>
    </row>
    <row r="95" spans="1:98" ht="40" customHeight="1" x14ac:dyDescent="0.15">
      <c r="A95" s="68" t="s">
        <v>229</v>
      </c>
      <c r="B95" s="122"/>
      <c r="C95" s="70"/>
      <c r="D95" s="44"/>
      <c r="E95" s="44"/>
      <c r="F95" s="44"/>
      <c r="G95" s="44"/>
      <c r="H95" s="44"/>
      <c r="I95" s="44"/>
      <c r="J95" s="45" t="str">
        <f t="shared" si="24"/>
        <v/>
      </c>
      <c r="K95" s="44"/>
      <c r="L95" s="44"/>
      <c r="M95" s="44"/>
      <c r="N95" s="44"/>
      <c r="O95" s="44"/>
      <c r="P95" s="44"/>
      <c r="Q95" s="44"/>
      <c r="R95" s="45" t="str">
        <f t="shared" si="25"/>
        <v/>
      </c>
      <c r="S95" s="44"/>
      <c r="T95" s="44"/>
      <c r="U95" s="44"/>
      <c r="V95" s="44"/>
      <c r="W95" s="44"/>
      <c r="X95" s="44"/>
      <c r="Y95" s="44"/>
      <c r="Z95" s="46" t="str">
        <f t="shared" si="26"/>
        <v/>
      </c>
      <c r="AA95" s="44"/>
      <c r="AB95" s="44"/>
      <c r="AC95" s="44"/>
      <c r="AD95" s="44"/>
      <c r="AE95" s="44"/>
      <c r="AF95" s="44"/>
      <c r="AG95" s="44"/>
      <c r="AH95" s="46" t="str">
        <f t="shared" si="27"/>
        <v/>
      </c>
      <c r="AI95" s="44"/>
      <c r="AJ95" s="44"/>
      <c r="AK95" s="44"/>
      <c r="AL95" s="44"/>
      <c r="AM95" s="44"/>
      <c r="AN95" s="44"/>
      <c r="AO95" s="44"/>
      <c r="AP95" s="46" t="str">
        <f t="shared" si="28"/>
        <v/>
      </c>
      <c r="AQ95" s="44"/>
      <c r="AR95" s="44"/>
      <c r="AS95" s="44"/>
      <c r="AT95" s="44"/>
      <c r="AU95" s="44"/>
      <c r="AV95" s="44"/>
      <c r="AW95" s="44"/>
      <c r="AX95" s="46" t="str">
        <f t="shared" si="29"/>
        <v/>
      </c>
      <c r="AY95" s="44"/>
      <c r="AZ95" s="44"/>
      <c r="BA95" s="44"/>
      <c r="BB95" s="44"/>
      <c r="BC95" s="44"/>
      <c r="BD95" s="44"/>
      <c r="BE95" s="44"/>
      <c r="BF95" s="46" t="str">
        <f t="shared" si="30"/>
        <v/>
      </c>
      <c r="BG95" s="44"/>
      <c r="BH95" s="44"/>
      <c r="BI95" s="44"/>
      <c r="BJ95" s="44"/>
      <c r="BK95" s="44"/>
      <c r="BL95" s="44"/>
      <c r="BM95" s="44"/>
      <c r="BN95" s="46" t="str">
        <f t="shared" si="31"/>
        <v/>
      </c>
      <c r="BO95" s="44"/>
      <c r="BP95" s="44"/>
      <c r="BQ95" s="44"/>
      <c r="BR95" s="44"/>
      <c r="BS95" s="44"/>
      <c r="BT95" s="44"/>
      <c r="BU95" s="44"/>
      <c r="BV95" s="46" t="str">
        <f t="shared" si="32"/>
        <v/>
      </c>
      <c r="BW95" s="50"/>
      <c r="BX95" s="50"/>
      <c r="BY95" s="50"/>
      <c r="BZ95" s="50"/>
      <c r="CA95" s="50"/>
      <c r="CB95" s="50"/>
      <c r="CC95" s="50"/>
      <c r="CD95" s="46" t="str">
        <f t="shared" si="33"/>
        <v/>
      </c>
      <c r="CE95" s="44"/>
      <c r="CF95" s="44"/>
      <c r="CG95" s="44"/>
      <c r="CH95" s="44"/>
      <c r="CI95" s="44"/>
      <c r="CJ95" s="44"/>
      <c r="CK95" s="44"/>
      <c r="CL95" s="46" t="str">
        <f t="shared" si="34"/>
        <v/>
      </c>
      <c r="CM95" s="44"/>
      <c r="CN95" s="44"/>
      <c r="CO95" s="44"/>
      <c r="CP95" s="44"/>
      <c r="CQ95" s="44"/>
      <c r="CR95" s="44"/>
      <c r="CS95" s="44"/>
      <c r="CT95" s="48" t="str">
        <f t="shared" si="35"/>
        <v/>
      </c>
    </row>
    <row r="96" spans="1:98" ht="40" customHeight="1" x14ac:dyDescent="0.15">
      <c r="A96" s="123" t="s">
        <v>230</v>
      </c>
      <c r="B96" s="49" t="s">
        <v>231</v>
      </c>
      <c r="C96" s="70"/>
      <c r="D96" s="44"/>
      <c r="E96" s="44"/>
      <c r="F96" s="44"/>
      <c r="G96" s="44"/>
      <c r="H96" s="44"/>
      <c r="I96" s="44"/>
      <c r="J96" s="45" t="str">
        <f t="shared" si="24"/>
        <v/>
      </c>
      <c r="K96" s="44"/>
      <c r="L96" s="44"/>
      <c r="M96" s="44"/>
      <c r="N96" s="44"/>
      <c r="O96" s="44"/>
      <c r="P96" s="44"/>
      <c r="Q96" s="44"/>
      <c r="R96" s="45" t="str">
        <f t="shared" si="25"/>
        <v/>
      </c>
      <c r="S96" s="44"/>
      <c r="T96" s="44"/>
      <c r="U96" s="44"/>
      <c r="V96" s="44"/>
      <c r="W96" s="44"/>
      <c r="X96" s="44"/>
      <c r="Y96" s="44"/>
      <c r="Z96" s="46" t="str">
        <f t="shared" si="26"/>
        <v/>
      </c>
      <c r="AA96" s="44"/>
      <c r="AB96" s="44"/>
      <c r="AC96" s="44"/>
      <c r="AD96" s="44"/>
      <c r="AE96" s="44"/>
      <c r="AF96" s="44"/>
      <c r="AG96" s="44"/>
      <c r="AH96" s="46" t="str">
        <f t="shared" si="27"/>
        <v/>
      </c>
      <c r="AI96" s="44"/>
      <c r="AJ96" s="44"/>
      <c r="AK96" s="44"/>
      <c r="AL96" s="44"/>
      <c r="AM96" s="44"/>
      <c r="AN96" s="44"/>
      <c r="AO96" s="44"/>
      <c r="AP96" s="46" t="str">
        <f t="shared" si="28"/>
        <v/>
      </c>
      <c r="AQ96" s="44"/>
      <c r="AR96" s="44"/>
      <c r="AS96" s="44"/>
      <c r="AT96" s="44"/>
      <c r="AU96" s="44"/>
      <c r="AV96" s="44"/>
      <c r="AW96" s="44"/>
      <c r="AX96" s="46" t="str">
        <f t="shared" si="29"/>
        <v/>
      </c>
      <c r="AY96" s="44"/>
      <c r="AZ96" s="44"/>
      <c r="BA96" s="44"/>
      <c r="BB96" s="44"/>
      <c r="BC96" s="44"/>
      <c r="BD96" s="44"/>
      <c r="BE96" s="44"/>
      <c r="BF96" s="46" t="str">
        <f t="shared" si="30"/>
        <v/>
      </c>
      <c r="BG96" s="44"/>
      <c r="BH96" s="44"/>
      <c r="BI96" s="44"/>
      <c r="BJ96" s="44"/>
      <c r="BK96" s="44"/>
      <c r="BL96" s="44"/>
      <c r="BM96" s="44"/>
      <c r="BN96" s="46" t="str">
        <f t="shared" si="31"/>
        <v/>
      </c>
      <c r="BO96" s="44"/>
      <c r="BP96" s="44"/>
      <c r="BQ96" s="44"/>
      <c r="BR96" s="44"/>
      <c r="BS96" s="44"/>
      <c r="BT96" s="44"/>
      <c r="BU96" s="44"/>
      <c r="BV96" s="46" t="str">
        <f t="shared" si="32"/>
        <v/>
      </c>
      <c r="BW96" s="50"/>
      <c r="BX96" s="50"/>
      <c r="BY96" s="50"/>
      <c r="BZ96" s="50"/>
      <c r="CA96" s="50"/>
      <c r="CB96" s="50"/>
      <c r="CC96" s="50"/>
      <c r="CD96" s="46" t="str">
        <f t="shared" si="33"/>
        <v/>
      </c>
      <c r="CE96" s="44"/>
      <c r="CF96" s="44"/>
      <c r="CG96" s="44"/>
      <c r="CH96" s="44"/>
      <c r="CI96" s="44"/>
      <c r="CJ96" s="44"/>
      <c r="CK96" s="44"/>
      <c r="CL96" s="46" t="str">
        <f t="shared" si="34"/>
        <v/>
      </c>
      <c r="CM96" s="44"/>
      <c r="CN96" s="44"/>
      <c r="CO96" s="44"/>
      <c r="CP96" s="44"/>
      <c r="CQ96" s="44"/>
      <c r="CR96" s="44"/>
      <c r="CS96" s="44"/>
      <c r="CT96" s="48" t="str">
        <f t="shared" si="35"/>
        <v/>
      </c>
    </row>
    <row r="97" spans="1:98" ht="40" customHeight="1" x14ac:dyDescent="0.15">
      <c r="A97" s="124" t="s">
        <v>232</v>
      </c>
      <c r="B97" s="51" t="s">
        <v>233</v>
      </c>
      <c r="C97" s="70"/>
      <c r="D97" s="44"/>
      <c r="E97" s="44"/>
      <c r="F97" s="44"/>
      <c r="G97" s="44"/>
      <c r="H97" s="44"/>
      <c r="I97" s="44"/>
      <c r="J97" s="45" t="str">
        <f t="shared" si="24"/>
        <v/>
      </c>
      <c r="K97" s="44"/>
      <c r="L97" s="44"/>
      <c r="M97" s="44"/>
      <c r="N97" s="44"/>
      <c r="O97" s="44"/>
      <c r="P97" s="44"/>
      <c r="Q97" s="44"/>
      <c r="R97" s="45" t="str">
        <f t="shared" si="25"/>
        <v/>
      </c>
      <c r="S97" s="44"/>
      <c r="T97" s="44"/>
      <c r="U97" s="44"/>
      <c r="V97" s="44"/>
      <c r="W97" s="44"/>
      <c r="X97" s="44"/>
      <c r="Y97" s="44"/>
      <c r="Z97" s="46" t="str">
        <f t="shared" si="26"/>
        <v/>
      </c>
      <c r="AA97" s="44"/>
      <c r="AB97" s="44"/>
      <c r="AC97" s="44"/>
      <c r="AD97" s="44"/>
      <c r="AE97" s="44"/>
      <c r="AF97" s="44"/>
      <c r="AG97" s="44"/>
      <c r="AH97" s="46" t="str">
        <f t="shared" si="27"/>
        <v/>
      </c>
      <c r="AI97" s="44"/>
      <c r="AJ97" s="44"/>
      <c r="AK97" s="44"/>
      <c r="AL97" s="44"/>
      <c r="AM97" s="44"/>
      <c r="AN97" s="44"/>
      <c r="AO97" s="44"/>
      <c r="AP97" s="46" t="str">
        <f t="shared" si="28"/>
        <v/>
      </c>
      <c r="AQ97" s="44"/>
      <c r="AR97" s="44"/>
      <c r="AS97" s="44"/>
      <c r="AT97" s="44"/>
      <c r="AU97" s="44"/>
      <c r="AV97" s="44"/>
      <c r="AW97" s="44"/>
      <c r="AX97" s="46" t="str">
        <f t="shared" si="29"/>
        <v/>
      </c>
      <c r="AY97" s="44"/>
      <c r="AZ97" s="44"/>
      <c r="BA97" s="44"/>
      <c r="BB97" s="44"/>
      <c r="BC97" s="44"/>
      <c r="BD97" s="44"/>
      <c r="BE97" s="44"/>
      <c r="BF97" s="46" t="str">
        <f t="shared" si="30"/>
        <v/>
      </c>
      <c r="BG97" s="44"/>
      <c r="BH97" s="44"/>
      <c r="BI97" s="44"/>
      <c r="BJ97" s="44"/>
      <c r="BK97" s="44"/>
      <c r="BL97" s="44"/>
      <c r="BM97" s="44"/>
      <c r="BN97" s="46" t="str">
        <f t="shared" si="31"/>
        <v/>
      </c>
      <c r="BO97" s="44"/>
      <c r="BP97" s="44"/>
      <c r="BQ97" s="44"/>
      <c r="BR97" s="44"/>
      <c r="BS97" s="44"/>
      <c r="BT97" s="44"/>
      <c r="BU97" s="44"/>
      <c r="BV97" s="46" t="str">
        <f t="shared" si="32"/>
        <v/>
      </c>
      <c r="BW97" s="50"/>
      <c r="BX97" s="50"/>
      <c r="BY97" s="50"/>
      <c r="BZ97" s="50"/>
      <c r="CA97" s="50"/>
      <c r="CB97" s="50"/>
      <c r="CC97" s="50"/>
      <c r="CD97" s="46" t="str">
        <f t="shared" si="33"/>
        <v/>
      </c>
      <c r="CE97" s="44"/>
      <c r="CF97" s="44"/>
      <c r="CG97" s="44"/>
      <c r="CH97" s="44"/>
      <c r="CI97" s="44"/>
      <c r="CJ97" s="44"/>
      <c r="CK97" s="44"/>
      <c r="CL97" s="46" t="str">
        <f t="shared" si="34"/>
        <v/>
      </c>
      <c r="CM97" s="44"/>
      <c r="CN97" s="44"/>
      <c r="CO97" s="44"/>
      <c r="CP97" s="44"/>
      <c r="CQ97" s="44"/>
      <c r="CR97" s="44"/>
      <c r="CS97" s="44"/>
      <c r="CT97" s="48" t="str">
        <f t="shared" si="35"/>
        <v/>
      </c>
    </row>
    <row r="98" spans="1:98" ht="40" customHeight="1" x14ac:dyDescent="0.15">
      <c r="A98" s="123" t="s">
        <v>234</v>
      </c>
      <c r="B98" s="49" t="s">
        <v>235</v>
      </c>
      <c r="C98" s="70"/>
      <c r="D98" s="44"/>
      <c r="E98" s="44"/>
      <c r="F98" s="44"/>
      <c r="G98" s="44"/>
      <c r="H98" s="44"/>
      <c r="I98" s="44"/>
      <c r="J98" s="45" t="str">
        <f t="shared" si="24"/>
        <v/>
      </c>
      <c r="K98" s="44"/>
      <c r="L98" s="44"/>
      <c r="M98" s="44"/>
      <c r="N98" s="44"/>
      <c r="O98" s="44"/>
      <c r="P98" s="44"/>
      <c r="Q98" s="44"/>
      <c r="R98" s="45" t="str">
        <f t="shared" si="25"/>
        <v/>
      </c>
      <c r="S98" s="44"/>
      <c r="T98" s="44"/>
      <c r="U98" s="44"/>
      <c r="V98" s="44"/>
      <c r="W98" s="44"/>
      <c r="X98" s="44"/>
      <c r="Y98" s="44"/>
      <c r="Z98" s="46" t="str">
        <f t="shared" si="26"/>
        <v/>
      </c>
      <c r="AA98" s="44"/>
      <c r="AB98" s="44"/>
      <c r="AC98" s="44"/>
      <c r="AD98" s="44"/>
      <c r="AE98" s="44"/>
      <c r="AF98" s="44"/>
      <c r="AG98" s="44"/>
      <c r="AH98" s="46" t="str">
        <f t="shared" si="27"/>
        <v/>
      </c>
      <c r="AI98" s="44"/>
      <c r="AJ98" s="44"/>
      <c r="AK98" s="44"/>
      <c r="AL98" s="44"/>
      <c r="AM98" s="44"/>
      <c r="AN98" s="44"/>
      <c r="AO98" s="44"/>
      <c r="AP98" s="46" t="str">
        <f t="shared" si="28"/>
        <v/>
      </c>
      <c r="AQ98" s="44"/>
      <c r="AR98" s="44"/>
      <c r="AS98" s="44"/>
      <c r="AT98" s="44"/>
      <c r="AU98" s="44"/>
      <c r="AV98" s="44"/>
      <c r="AW98" s="44"/>
      <c r="AX98" s="46" t="str">
        <f t="shared" si="29"/>
        <v/>
      </c>
      <c r="AY98" s="44"/>
      <c r="AZ98" s="44"/>
      <c r="BA98" s="44"/>
      <c r="BB98" s="44"/>
      <c r="BC98" s="44"/>
      <c r="BD98" s="44"/>
      <c r="BE98" s="44"/>
      <c r="BF98" s="46" t="str">
        <f t="shared" si="30"/>
        <v/>
      </c>
      <c r="BG98" s="44"/>
      <c r="BH98" s="44"/>
      <c r="BI98" s="44"/>
      <c r="BJ98" s="44"/>
      <c r="BK98" s="44"/>
      <c r="BL98" s="44"/>
      <c r="BM98" s="44"/>
      <c r="BN98" s="46" t="str">
        <f t="shared" si="31"/>
        <v/>
      </c>
      <c r="BO98" s="44"/>
      <c r="BP98" s="44"/>
      <c r="BQ98" s="44"/>
      <c r="BR98" s="44"/>
      <c r="BS98" s="44"/>
      <c r="BT98" s="44"/>
      <c r="BU98" s="44"/>
      <c r="BV98" s="46" t="str">
        <f t="shared" si="32"/>
        <v/>
      </c>
      <c r="BW98" s="50"/>
      <c r="BX98" s="50"/>
      <c r="BY98" s="50"/>
      <c r="BZ98" s="50"/>
      <c r="CA98" s="50"/>
      <c r="CB98" s="50"/>
      <c r="CC98" s="50"/>
      <c r="CD98" s="46" t="str">
        <f t="shared" si="33"/>
        <v/>
      </c>
      <c r="CE98" s="44"/>
      <c r="CF98" s="44"/>
      <c r="CG98" s="44"/>
      <c r="CH98" s="44"/>
      <c r="CI98" s="44"/>
      <c r="CJ98" s="44"/>
      <c r="CK98" s="44"/>
      <c r="CL98" s="46" t="str">
        <f t="shared" si="34"/>
        <v/>
      </c>
      <c r="CM98" s="44"/>
      <c r="CN98" s="44"/>
      <c r="CO98" s="44"/>
      <c r="CP98" s="44"/>
      <c r="CQ98" s="44"/>
      <c r="CR98" s="44"/>
      <c r="CS98" s="44"/>
      <c r="CT98" s="48" t="str">
        <f t="shared" si="35"/>
        <v/>
      </c>
    </row>
    <row r="99" spans="1:98" ht="40" customHeight="1" x14ac:dyDescent="0.15">
      <c r="A99" s="123" t="s">
        <v>236</v>
      </c>
      <c r="B99" s="49" t="s">
        <v>237</v>
      </c>
      <c r="C99" s="70"/>
      <c r="D99" s="44"/>
      <c r="E99" s="44"/>
      <c r="F99" s="44"/>
      <c r="G99" s="44"/>
      <c r="H99" s="44"/>
      <c r="I99" s="44"/>
      <c r="J99" s="45" t="str">
        <f t="shared" si="24"/>
        <v/>
      </c>
      <c r="K99" s="44"/>
      <c r="L99" s="44"/>
      <c r="M99" s="44"/>
      <c r="N99" s="44"/>
      <c r="O99" s="44"/>
      <c r="P99" s="44"/>
      <c r="Q99" s="44"/>
      <c r="R99" s="45" t="str">
        <f t="shared" si="25"/>
        <v/>
      </c>
      <c r="S99" s="44"/>
      <c r="T99" s="44"/>
      <c r="U99" s="44"/>
      <c r="V99" s="44"/>
      <c r="W99" s="44"/>
      <c r="X99" s="44"/>
      <c r="Y99" s="44"/>
      <c r="Z99" s="46" t="str">
        <f t="shared" si="26"/>
        <v/>
      </c>
      <c r="AA99" s="44"/>
      <c r="AB99" s="44"/>
      <c r="AC99" s="44"/>
      <c r="AD99" s="44"/>
      <c r="AE99" s="44"/>
      <c r="AF99" s="44"/>
      <c r="AG99" s="44"/>
      <c r="AH99" s="46" t="str">
        <f t="shared" si="27"/>
        <v/>
      </c>
      <c r="AI99" s="44"/>
      <c r="AJ99" s="44"/>
      <c r="AK99" s="44"/>
      <c r="AL99" s="44"/>
      <c r="AM99" s="44"/>
      <c r="AN99" s="44"/>
      <c r="AO99" s="44"/>
      <c r="AP99" s="46" t="str">
        <f t="shared" si="28"/>
        <v/>
      </c>
      <c r="AQ99" s="44"/>
      <c r="AR99" s="44"/>
      <c r="AS99" s="44"/>
      <c r="AT99" s="44"/>
      <c r="AU99" s="44"/>
      <c r="AV99" s="44"/>
      <c r="AW99" s="44"/>
      <c r="AX99" s="46" t="str">
        <f t="shared" si="29"/>
        <v/>
      </c>
      <c r="AY99" s="44"/>
      <c r="AZ99" s="44"/>
      <c r="BA99" s="44"/>
      <c r="BB99" s="44"/>
      <c r="BC99" s="44"/>
      <c r="BD99" s="44"/>
      <c r="BE99" s="44"/>
      <c r="BF99" s="46" t="str">
        <f t="shared" si="30"/>
        <v/>
      </c>
      <c r="BG99" s="44"/>
      <c r="BH99" s="44"/>
      <c r="BI99" s="44"/>
      <c r="BJ99" s="44"/>
      <c r="BK99" s="44"/>
      <c r="BL99" s="44"/>
      <c r="BM99" s="44"/>
      <c r="BN99" s="46" t="str">
        <f t="shared" si="31"/>
        <v/>
      </c>
      <c r="BO99" s="44"/>
      <c r="BP99" s="44"/>
      <c r="BQ99" s="44"/>
      <c r="BR99" s="44"/>
      <c r="BS99" s="44"/>
      <c r="BT99" s="44"/>
      <c r="BU99" s="44"/>
      <c r="BV99" s="46" t="str">
        <f t="shared" si="32"/>
        <v/>
      </c>
      <c r="BW99" s="50"/>
      <c r="BX99" s="50"/>
      <c r="BY99" s="50"/>
      <c r="BZ99" s="50"/>
      <c r="CA99" s="50"/>
      <c r="CB99" s="50"/>
      <c r="CC99" s="50"/>
      <c r="CD99" s="46" t="str">
        <f t="shared" si="33"/>
        <v/>
      </c>
      <c r="CE99" s="44"/>
      <c r="CF99" s="44"/>
      <c r="CG99" s="44"/>
      <c r="CH99" s="44"/>
      <c r="CI99" s="44"/>
      <c r="CJ99" s="44"/>
      <c r="CK99" s="44"/>
      <c r="CL99" s="46" t="str">
        <f t="shared" si="34"/>
        <v/>
      </c>
      <c r="CM99" s="44"/>
      <c r="CN99" s="44"/>
      <c r="CO99" s="44"/>
      <c r="CP99" s="44"/>
      <c r="CQ99" s="44"/>
      <c r="CR99" s="44"/>
      <c r="CS99" s="44"/>
      <c r="CT99" s="48" t="str">
        <f t="shared" si="35"/>
        <v/>
      </c>
    </row>
    <row r="100" spans="1:98" ht="40" customHeight="1" x14ac:dyDescent="0.15">
      <c r="A100" s="68" t="s">
        <v>238</v>
      </c>
      <c r="B100" s="122"/>
      <c r="C100" s="70"/>
      <c r="D100" s="44"/>
      <c r="E100" s="44"/>
      <c r="F100" s="44"/>
      <c r="G100" s="44"/>
      <c r="H100" s="44"/>
      <c r="I100" s="44"/>
      <c r="J100" s="45" t="str">
        <f t="shared" si="24"/>
        <v/>
      </c>
      <c r="K100" s="44"/>
      <c r="L100" s="44"/>
      <c r="M100" s="44"/>
      <c r="N100" s="44"/>
      <c r="O100" s="44"/>
      <c r="P100" s="44"/>
      <c r="Q100" s="44"/>
      <c r="R100" s="45" t="str">
        <f t="shared" si="25"/>
        <v/>
      </c>
      <c r="S100" s="44"/>
      <c r="T100" s="44"/>
      <c r="U100" s="44"/>
      <c r="V100" s="44"/>
      <c r="W100" s="44"/>
      <c r="X100" s="44"/>
      <c r="Y100" s="44"/>
      <c r="Z100" s="46" t="str">
        <f t="shared" si="26"/>
        <v/>
      </c>
      <c r="AA100" s="44"/>
      <c r="AB100" s="44"/>
      <c r="AC100" s="44"/>
      <c r="AD100" s="44"/>
      <c r="AE100" s="44"/>
      <c r="AF100" s="44"/>
      <c r="AG100" s="44"/>
      <c r="AH100" s="46" t="str">
        <f t="shared" si="27"/>
        <v/>
      </c>
      <c r="AI100" s="44"/>
      <c r="AJ100" s="44"/>
      <c r="AK100" s="44"/>
      <c r="AL100" s="44"/>
      <c r="AM100" s="44"/>
      <c r="AN100" s="44"/>
      <c r="AO100" s="44"/>
      <c r="AP100" s="46" t="str">
        <f t="shared" si="28"/>
        <v/>
      </c>
      <c r="AQ100" s="44"/>
      <c r="AR100" s="44"/>
      <c r="AS100" s="44"/>
      <c r="AT100" s="44"/>
      <c r="AU100" s="44"/>
      <c r="AV100" s="44"/>
      <c r="AW100" s="44"/>
      <c r="AX100" s="46" t="str">
        <f t="shared" si="29"/>
        <v/>
      </c>
      <c r="AY100" s="44"/>
      <c r="AZ100" s="44"/>
      <c r="BA100" s="44"/>
      <c r="BB100" s="44"/>
      <c r="BC100" s="44"/>
      <c r="BD100" s="44"/>
      <c r="BE100" s="44"/>
      <c r="BF100" s="46" t="str">
        <f t="shared" si="30"/>
        <v/>
      </c>
      <c r="BG100" s="44"/>
      <c r="BH100" s="44"/>
      <c r="BI100" s="44"/>
      <c r="BJ100" s="44"/>
      <c r="BK100" s="44"/>
      <c r="BL100" s="44"/>
      <c r="BM100" s="44"/>
      <c r="BN100" s="46" t="str">
        <f t="shared" si="31"/>
        <v/>
      </c>
      <c r="BO100" s="44"/>
      <c r="BP100" s="44"/>
      <c r="BQ100" s="44"/>
      <c r="BR100" s="44"/>
      <c r="BS100" s="44"/>
      <c r="BT100" s="44"/>
      <c r="BU100" s="44"/>
      <c r="BV100" s="46" t="str">
        <f t="shared" si="32"/>
        <v/>
      </c>
      <c r="BW100" s="50"/>
      <c r="BX100" s="50"/>
      <c r="BY100" s="50"/>
      <c r="BZ100" s="50"/>
      <c r="CA100" s="50"/>
      <c r="CB100" s="50"/>
      <c r="CC100" s="50"/>
      <c r="CD100" s="46" t="str">
        <f t="shared" si="33"/>
        <v/>
      </c>
      <c r="CE100" s="44"/>
      <c r="CF100" s="44"/>
      <c r="CG100" s="44"/>
      <c r="CH100" s="44"/>
      <c r="CI100" s="44"/>
      <c r="CJ100" s="44"/>
      <c r="CK100" s="44"/>
      <c r="CL100" s="46" t="str">
        <f t="shared" si="34"/>
        <v/>
      </c>
      <c r="CM100" s="44"/>
      <c r="CN100" s="44"/>
      <c r="CO100" s="44"/>
      <c r="CP100" s="44"/>
      <c r="CQ100" s="44"/>
      <c r="CR100" s="44"/>
      <c r="CS100" s="44"/>
      <c r="CT100" s="48" t="str">
        <f t="shared" si="35"/>
        <v/>
      </c>
    </row>
    <row r="101" spans="1:98" ht="40" customHeight="1" x14ac:dyDescent="0.15">
      <c r="A101" s="123" t="s">
        <v>239</v>
      </c>
      <c r="B101" s="49" t="s">
        <v>240</v>
      </c>
      <c r="C101" s="126"/>
      <c r="D101" s="52"/>
      <c r="E101" s="52"/>
      <c r="F101" s="52"/>
      <c r="G101" s="52"/>
      <c r="H101" s="52"/>
      <c r="I101" s="52"/>
      <c r="J101" s="45" t="str">
        <f t="shared" si="24"/>
        <v/>
      </c>
      <c r="K101" s="52"/>
      <c r="L101" s="52"/>
      <c r="M101" s="52"/>
      <c r="N101" s="52"/>
      <c r="O101" s="52"/>
      <c r="P101" s="52"/>
      <c r="Q101" s="52"/>
      <c r="R101" s="45" t="str">
        <f t="shared" si="25"/>
        <v/>
      </c>
      <c r="S101" s="52"/>
      <c r="T101" s="52"/>
      <c r="U101" s="52"/>
      <c r="V101" s="52"/>
      <c r="W101" s="52"/>
      <c r="X101" s="52"/>
      <c r="Y101" s="52"/>
      <c r="Z101" s="46" t="str">
        <f t="shared" si="26"/>
        <v/>
      </c>
      <c r="AA101" s="52"/>
      <c r="AB101" s="52"/>
      <c r="AC101" s="52"/>
      <c r="AD101" s="52"/>
      <c r="AE101" s="52"/>
      <c r="AF101" s="52"/>
      <c r="AG101" s="52"/>
      <c r="AH101" s="46" t="str">
        <f t="shared" si="27"/>
        <v/>
      </c>
      <c r="AI101" s="52"/>
      <c r="AJ101" s="52"/>
      <c r="AK101" s="52"/>
      <c r="AL101" s="52"/>
      <c r="AM101" s="52"/>
      <c r="AN101" s="52"/>
      <c r="AO101" s="52"/>
      <c r="AP101" s="46" t="str">
        <f t="shared" si="28"/>
        <v/>
      </c>
      <c r="AQ101" s="52"/>
      <c r="AR101" s="52"/>
      <c r="AS101" s="52"/>
      <c r="AT101" s="52"/>
      <c r="AU101" s="52"/>
      <c r="AV101" s="52"/>
      <c r="AW101" s="52"/>
      <c r="AX101" s="46" t="str">
        <f t="shared" si="29"/>
        <v/>
      </c>
      <c r="AY101" s="52"/>
      <c r="AZ101" s="52"/>
      <c r="BA101" s="52"/>
      <c r="BB101" s="52"/>
      <c r="BC101" s="52"/>
      <c r="BD101" s="52"/>
      <c r="BE101" s="52"/>
      <c r="BF101" s="46" t="str">
        <f t="shared" si="30"/>
        <v/>
      </c>
      <c r="BG101" s="52"/>
      <c r="BH101" s="52"/>
      <c r="BI101" s="52"/>
      <c r="BJ101" s="52"/>
      <c r="BK101" s="52"/>
      <c r="BL101" s="52"/>
      <c r="BM101" s="52"/>
      <c r="BN101" s="46" t="str">
        <f t="shared" si="31"/>
        <v/>
      </c>
      <c r="BO101" s="52"/>
      <c r="BP101" s="52"/>
      <c r="BQ101" s="52"/>
      <c r="BR101" s="52"/>
      <c r="BS101" s="52"/>
      <c r="BT101" s="52"/>
      <c r="BU101" s="52"/>
      <c r="BV101" s="46" t="str">
        <f t="shared" si="32"/>
        <v/>
      </c>
      <c r="BW101" s="50"/>
      <c r="BX101" s="50"/>
      <c r="BY101" s="50"/>
      <c r="BZ101" s="50"/>
      <c r="CA101" s="50"/>
      <c r="CB101" s="50"/>
      <c r="CC101" s="50"/>
      <c r="CD101" s="46" t="str">
        <f t="shared" si="33"/>
        <v/>
      </c>
      <c r="CE101" s="52"/>
      <c r="CF101" s="52"/>
      <c r="CG101" s="52"/>
      <c r="CH101" s="52"/>
      <c r="CI101" s="52"/>
      <c r="CJ101" s="52"/>
      <c r="CK101" s="52"/>
      <c r="CL101" s="46" t="str">
        <f t="shared" si="34"/>
        <v/>
      </c>
      <c r="CM101" s="52"/>
      <c r="CN101" s="52"/>
      <c r="CO101" s="52"/>
      <c r="CP101" s="52"/>
      <c r="CQ101" s="52"/>
      <c r="CR101" s="52"/>
      <c r="CS101" s="52"/>
      <c r="CT101" s="48" t="str">
        <f t="shared" si="35"/>
        <v/>
      </c>
    </row>
    <row r="102" spans="1:98" ht="40" customHeight="1" x14ac:dyDescent="0.15">
      <c r="A102" s="124" t="s">
        <v>241</v>
      </c>
      <c r="B102" s="51" t="s">
        <v>242</v>
      </c>
      <c r="C102" s="126"/>
      <c r="D102" s="52"/>
      <c r="E102" s="52"/>
      <c r="F102" s="52"/>
      <c r="G102" s="52"/>
      <c r="H102" s="52"/>
      <c r="I102" s="52"/>
      <c r="J102" s="45" t="str">
        <f t="shared" si="24"/>
        <v/>
      </c>
      <c r="K102" s="52"/>
      <c r="L102" s="52"/>
      <c r="M102" s="52"/>
      <c r="N102" s="52"/>
      <c r="O102" s="52"/>
      <c r="P102" s="52"/>
      <c r="Q102" s="52"/>
      <c r="R102" s="45" t="str">
        <f t="shared" si="25"/>
        <v/>
      </c>
      <c r="S102" s="52"/>
      <c r="T102" s="52"/>
      <c r="U102" s="52"/>
      <c r="V102" s="52"/>
      <c r="W102" s="52"/>
      <c r="X102" s="52"/>
      <c r="Y102" s="52"/>
      <c r="Z102" s="46" t="str">
        <f t="shared" si="26"/>
        <v/>
      </c>
      <c r="AA102" s="52"/>
      <c r="AB102" s="52"/>
      <c r="AC102" s="52"/>
      <c r="AD102" s="52"/>
      <c r="AE102" s="52"/>
      <c r="AF102" s="52"/>
      <c r="AG102" s="52"/>
      <c r="AH102" s="46" t="str">
        <f t="shared" si="27"/>
        <v/>
      </c>
      <c r="AI102" s="52"/>
      <c r="AJ102" s="52"/>
      <c r="AK102" s="52"/>
      <c r="AL102" s="52"/>
      <c r="AM102" s="52"/>
      <c r="AN102" s="52"/>
      <c r="AO102" s="52"/>
      <c r="AP102" s="46" t="str">
        <f t="shared" si="28"/>
        <v/>
      </c>
      <c r="AQ102" s="52"/>
      <c r="AR102" s="52"/>
      <c r="AS102" s="52"/>
      <c r="AT102" s="52"/>
      <c r="AU102" s="52"/>
      <c r="AV102" s="52"/>
      <c r="AW102" s="52"/>
      <c r="AX102" s="46" t="str">
        <f t="shared" si="29"/>
        <v/>
      </c>
      <c r="AY102" s="52"/>
      <c r="AZ102" s="52"/>
      <c r="BA102" s="52"/>
      <c r="BB102" s="52"/>
      <c r="BC102" s="52"/>
      <c r="BD102" s="52"/>
      <c r="BE102" s="52"/>
      <c r="BF102" s="46" t="str">
        <f t="shared" si="30"/>
        <v/>
      </c>
      <c r="BG102" s="52"/>
      <c r="BH102" s="52"/>
      <c r="BI102" s="52"/>
      <c r="BJ102" s="52"/>
      <c r="BK102" s="52"/>
      <c r="BL102" s="52"/>
      <c r="BM102" s="52"/>
      <c r="BN102" s="46" t="str">
        <f t="shared" si="31"/>
        <v/>
      </c>
      <c r="BO102" s="52"/>
      <c r="BP102" s="52"/>
      <c r="BQ102" s="52"/>
      <c r="BR102" s="52"/>
      <c r="BS102" s="52"/>
      <c r="BT102" s="52"/>
      <c r="BU102" s="52"/>
      <c r="BV102" s="46" t="str">
        <f t="shared" si="32"/>
        <v/>
      </c>
      <c r="BW102" s="50"/>
      <c r="BX102" s="50"/>
      <c r="BY102" s="50"/>
      <c r="BZ102" s="50"/>
      <c r="CA102" s="50"/>
      <c r="CB102" s="50"/>
      <c r="CC102" s="50"/>
      <c r="CD102" s="46" t="str">
        <f t="shared" si="33"/>
        <v/>
      </c>
      <c r="CE102" s="52"/>
      <c r="CF102" s="52"/>
      <c r="CG102" s="52"/>
      <c r="CH102" s="52"/>
      <c r="CI102" s="52"/>
      <c r="CJ102" s="52"/>
      <c r="CK102" s="52"/>
      <c r="CL102" s="46" t="str">
        <f t="shared" si="34"/>
        <v/>
      </c>
      <c r="CM102" s="52"/>
      <c r="CN102" s="52"/>
      <c r="CO102" s="52"/>
      <c r="CP102" s="52"/>
      <c r="CQ102" s="52"/>
      <c r="CR102" s="52"/>
      <c r="CS102" s="52"/>
      <c r="CT102" s="48" t="str">
        <f t="shared" si="35"/>
        <v/>
      </c>
    </row>
    <row r="103" spans="1:98" ht="40" customHeight="1" x14ac:dyDescent="0.15">
      <c r="A103" s="123" t="s">
        <v>243</v>
      </c>
      <c r="B103" s="49" t="s">
        <v>244</v>
      </c>
      <c r="C103" s="127"/>
      <c r="D103" s="53"/>
      <c r="E103" s="53"/>
      <c r="F103" s="53"/>
      <c r="G103" s="53"/>
      <c r="H103" s="53"/>
      <c r="I103" s="53"/>
      <c r="J103" s="45" t="str">
        <f t="shared" si="24"/>
        <v/>
      </c>
      <c r="K103" s="53"/>
      <c r="L103" s="53"/>
      <c r="M103" s="53"/>
      <c r="N103" s="53"/>
      <c r="O103" s="53"/>
      <c r="P103" s="53"/>
      <c r="Q103" s="53"/>
      <c r="R103" s="45" t="str">
        <f t="shared" si="25"/>
        <v/>
      </c>
      <c r="S103" s="53"/>
      <c r="T103" s="53"/>
      <c r="U103" s="53"/>
      <c r="V103" s="53"/>
      <c r="W103" s="53"/>
      <c r="X103" s="53"/>
      <c r="Y103" s="53"/>
      <c r="Z103" s="46" t="str">
        <f t="shared" si="26"/>
        <v/>
      </c>
      <c r="AA103" s="53"/>
      <c r="AB103" s="53"/>
      <c r="AC103" s="53"/>
      <c r="AD103" s="53"/>
      <c r="AE103" s="53"/>
      <c r="AF103" s="53"/>
      <c r="AG103" s="53"/>
      <c r="AH103" s="46" t="str">
        <f t="shared" si="27"/>
        <v/>
      </c>
      <c r="AI103" s="53"/>
      <c r="AJ103" s="53"/>
      <c r="AK103" s="53"/>
      <c r="AL103" s="53"/>
      <c r="AM103" s="53"/>
      <c r="AN103" s="53"/>
      <c r="AO103" s="53"/>
      <c r="AP103" s="46" t="str">
        <f t="shared" si="28"/>
        <v/>
      </c>
      <c r="AQ103" s="53"/>
      <c r="AR103" s="53"/>
      <c r="AS103" s="53"/>
      <c r="AT103" s="53"/>
      <c r="AU103" s="53"/>
      <c r="AV103" s="53"/>
      <c r="AW103" s="53"/>
      <c r="AX103" s="46" t="str">
        <f t="shared" si="29"/>
        <v/>
      </c>
      <c r="AY103" s="53"/>
      <c r="AZ103" s="53"/>
      <c r="BA103" s="53"/>
      <c r="BB103" s="53"/>
      <c r="BC103" s="53"/>
      <c r="BD103" s="53"/>
      <c r="BE103" s="53"/>
      <c r="BF103" s="46" t="str">
        <f t="shared" si="30"/>
        <v/>
      </c>
      <c r="BG103" s="53"/>
      <c r="BH103" s="53"/>
      <c r="BI103" s="53"/>
      <c r="BJ103" s="53"/>
      <c r="BK103" s="53"/>
      <c r="BL103" s="53"/>
      <c r="BM103" s="53"/>
      <c r="BN103" s="46" t="str">
        <f t="shared" si="31"/>
        <v/>
      </c>
      <c r="BO103" s="53"/>
      <c r="BP103" s="53"/>
      <c r="BQ103" s="53"/>
      <c r="BR103" s="53"/>
      <c r="BS103" s="53"/>
      <c r="BT103" s="53"/>
      <c r="BU103" s="53"/>
      <c r="BV103" s="46" t="str">
        <f t="shared" si="32"/>
        <v/>
      </c>
      <c r="BW103" s="50"/>
      <c r="BX103" s="50"/>
      <c r="BY103" s="50"/>
      <c r="BZ103" s="50"/>
      <c r="CA103" s="50"/>
      <c r="CB103" s="50"/>
      <c r="CC103" s="50"/>
      <c r="CD103" s="46" t="str">
        <f t="shared" si="33"/>
        <v/>
      </c>
      <c r="CE103" s="53"/>
      <c r="CF103" s="53"/>
      <c r="CG103" s="53"/>
      <c r="CH103" s="53"/>
      <c r="CI103" s="53"/>
      <c r="CJ103" s="53"/>
      <c r="CK103" s="53"/>
      <c r="CL103" s="46" t="str">
        <f t="shared" si="34"/>
        <v/>
      </c>
      <c r="CM103" s="53"/>
      <c r="CN103" s="53"/>
      <c r="CO103" s="53"/>
      <c r="CP103" s="53"/>
      <c r="CQ103" s="53"/>
      <c r="CR103" s="53"/>
      <c r="CS103" s="53"/>
      <c r="CT103" s="48" t="str">
        <f t="shared" si="35"/>
        <v/>
      </c>
    </row>
    <row r="104" spans="1:98" ht="40" customHeight="1" x14ac:dyDescent="0.15">
      <c r="A104" s="124" t="s">
        <v>245</v>
      </c>
      <c r="B104" s="51" t="s">
        <v>246</v>
      </c>
      <c r="C104" s="127"/>
      <c r="D104" s="53"/>
      <c r="E104" s="53"/>
      <c r="F104" s="53"/>
      <c r="G104" s="53"/>
      <c r="H104" s="53"/>
      <c r="I104" s="53"/>
      <c r="J104" s="45" t="str">
        <f t="shared" si="24"/>
        <v/>
      </c>
      <c r="K104" s="53"/>
      <c r="L104" s="53"/>
      <c r="M104" s="53"/>
      <c r="N104" s="53"/>
      <c r="O104" s="53"/>
      <c r="P104" s="53"/>
      <c r="Q104" s="53"/>
      <c r="R104" s="45" t="str">
        <f t="shared" si="25"/>
        <v/>
      </c>
      <c r="S104" s="53"/>
      <c r="T104" s="53"/>
      <c r="U104" s="53"/>
      <c r="V104" s="53"/>
      <c r="W104" s="53"/>
      <c r="X104" s="53"/>
      <c r="Y104" s="53"/>
      <c r="Z104" s="46" t="str">
        <f t="shared" si="26"/>
        <v/>
      </c>
      <c r="AA104" s="53"/>
      <c r="AB104" s="53"/>
      <c r="AC104" s="53"/>
      <c r="AD104" s="53"/>
      <c r="AE104" s="53"/>
      <c r="AF104" s="53"/>
      <c r="AG104" s="53"/>
      <c r="AH104" s="46" t="str">
        <f t="shared" si="27"/>
        <v/>
      </c>
      <c r="AI104" s="53"/>
      <c r="AJ104" s="53"/>
      <c r="AK104" s="53"/>
      <c r="AL104" s="53"/>
      <c r="AM104" s="53"/>
      <c r="AN104" s="53"/>
      <c r="AO104" s="53"/>
      <c r="AP104" s="46" t="str">
        <f t="shared" si="28"/>
        <v/>
      </c>
      <c r="AQ104" s="53"/>
      <c r="AR104" s="53"/>
      <c r="AS104" s="53"/>
      <c r="AT104" s="53"/>
      <c r="AU104" s="53"/>
      <c r="AV104" s="53"/>
      <c r="AW104" s="53"/>
      <c r="AX104" s="46" t="str">
        <f t="shared" si="29"/>
        <v/>
      </c>
      <c r="AY104" s="53"/>
      <c r="AZ104" s="53"/>
      <c r="BA104" s="53"/>
      <c r="BB104" s="53"/>
      <c r="BC104" s="53"/>
      <c r="BD104" s="53"/>
      <c r="BE104" s="53"/>
      <c r="BF104" s="46" t="str">
        <f t="shared" si="30"/>
        <v/>
      </c>
      <c r="BG104" s="53"/>
      <c r="BH104" s="53"/>
      <c r="BI104" s="53"/>
      <c r="BJ104" s="53"/>
      <c r="BK104" s="53"/>
      <c r="BL104" s="53"/>
      <c r="BM104" s="53"/>
      <c r="BN104" s="46" t="str">
        <f t="shared" si="31"/>
        <v/>
      </c>
      <c r="BO104" s="53"/>
      <c r="BP104" s="53"/>
      <c r="BQ104" s="53"/>
      <c r="BR104" s="53"/>
      <c r="BS104" s="53"/>
      <c r="BT104" s="53"/>
      <c r="BU104" s="53"/>
      <c r="BV104" s="46" t="str">
        <f t="shared" si="32"/>
        <v/>
      </c>
      <c r="BW104" s="50"/>
      <c r="BX104" s="50"/>
      <c r="BY104" s="50"/>
      <c r="BZ104" s="50"/>
      <c r="CA104" s="50"/>
      <c r="CB104" s="50"/>
      <c r="CC104" s="50"/>
      <c r="CD104" s="46" t="str">
        <f t="shared" si="33"/>
        <v/>
      </c>
      <c r="CE104" s="53"/>
      <c r="CF104" s="53"/>
      <c r="CG104" s="53"/>
      <c r="CH104" s="53"/>
      <c r="CI104" s="53"/>
      <c r="CJ104" s="53"/>
      <c r="CK104" s="53"/>
      <c r="CL104" s="46" t="str">
        <f t="shared" si="34"/>
        <v/>
      </c>
      <c r="CM104" s="53"/>
      <c r="CN104" s="53"/>
      <c r="CO104" s="53"/>
      <c r="CP104" s="53"/>
      <c r="CQ104" s="53"/>
      <c r="CR104" s="53"/>
      <c r="CS104" s="53"/>
      <c r="CT104" s="48" t="str">
        <f t="shared" si="35"/>
        <v/>
      </c>
    </row>
    <row r="105" spans="1:98" ht="40" customHeight="1" x14ac:dyDescent="0.15">
      <c r="A105" s="124" t="s">
        <v>247</v>
      </c>
      <c r="B105" s="51" t="s">
        <v>248</v>
      </c>
      <c r="C105" s="127"/>
      <c r="D105" s="53"/>
      <c r="E105" s="53"/>
      <c r="F105" s="53"/>
      <c r="G105" s="53"/>
      <c r="H105" s="53"/>
      <c r="I105" s="53"/>
      <c r="J105" s="45" t="str">
        <f t="shared" ref="J105:J136" si="36">IFERROR((SUM(C105:I105)/SUM($C$7:$I$7))*100,"")</f>
        <v/>
      </c>
      <c r="K105" s="53"/>
      <c r="L105" s="53"/>
      <c r="M105" s="53"/>
      <c r="N105" s="53"/>
      <c r="O105" s="53"/>
      <c r="P105" s="53"/>
      <c r="Q105" s="53"/>
      <c r="R105" s="45" t="str">
        <f t="shared" ref="R105:R136" si="37">IFERROR((SUM(K105:Q105)/SUM($K$7:$Q$7))*100,"")</f>
        <v/>
      </c>
      <c r="S105" s="53"/>
      <c r="T105" s="53"/>
      <c r="U105" s="53"/>
      <c r="V105" s="53"/>
      <c r="W105" s="53"/>
      <c r="X105" s="53"/>
      <c r="Y105" s="53"/>
      <c r="Z105" s="46" t="str">
        <f t="shared" ref="Z105:Z136" si="38">IFERROR((SUM(S105:Y105)/SUM($S$7:$Y$7))*100,"")</f>
        <v/>
      </c>
      <c r="AA105" s="53"/>
      <c r="AB105" s="53"/>
      <c r="AC105" s="53"/>
      <c r="AD105" s="53"/>
      <c r="AE105" s="53"/>
      <c r="AF105" s="53"/>
      <c r="AG105" s="53"/>
      <c r="AH105" s="46" t="str">
        <f t="shared" ref="AH105:AH136" si="39">IFERROR(SUM(AA105:AG105)/SUM($AA$7:$AG$7)*100,"")</f>
        <v/>
      </c>
      <c r="AI105" s="53"/>
      <c r="AJ105" s="53"/>
      <c r="AK105" s="53"/>
      <c r="AL105" s="53"/>
      <c r="AM105" s="53"/>
      <c r="AN105" s="53"/>
      <c r="AO105" s="53"/>
      <c r="AP105" s="46" t="str">
        <f t="shared" ref="AP105:AP136" si="40">IFERROR(SUM(AI105:AO105)/SUM($AI$7:$AO$7)*100,"")</f>
        <v/>
      </c>
      <c r="AQ105" s="53"/>
      <c r="AR105" s="53"/>
      <c r="AS105" s="53"/>
      <c r="AT105" s="53"/>
      <c r="AU105" s="53"/>
      <c r="AV105" s="53"/>
      <c r="AW105" s="53"/>
      <c r="AX105" s="46" t="str">
        <f t="shared" ref="AX105:AX136" si="41">IFERROR((SUM(AQ105:AW105)/SUM($AQ$7:$AW$7))*100,"")</f>
        <v/>
      </c>
      <c r="AY105" s="53"/>
      <c r="AZ105" s="53"/>
      <c r="BA105" s="53"/>
      <c r="BB105" s="53"/>
      <c r="BC105" s="53"/>
      <c r="BD105" s="53"/>
      <c r="BE105" s="53"/>
      <c r="BF105" s="46" t="str">
        <f t="shared" ref="BF105:BF136" si="42">IFERROR((SUM(AY105:BE105)/SUM($AY$7:$BE$7))*100,"")</f>
        <v/>
      </c>
      <c r="BG105" s="53"/>
      <c r="BH105" s="53"/>
      <c r="BI105" s="53"/>
      <c r="BJ105" s="53"/>
      <c r="BK105" s="53"/>
      <c r="BL105" s="53"/>
      <c r="BM105" s="53"/>
      <c r="BN105" s="46" t="str">
        <f t="shared" ref="BN105:BN136" si="43">IFERROR((SUM(BG105:BM105)/SUM($BG$7:$BM$7))*100,"")</f>
        <v/>
      </c>
      <c r="BO105" s="53"/>
      <c r="BP105" s="53"/>
      <c r="BQ105" s="53"/>
      <c r="BR105" s="53"/>
      <c r="BS105" s="53"/>
      <c r="BT105" s="53"/>
      <c r="BU105" s="53"/>
      <c r="BV105" s="46" t="str">
        <f t="shared" ref="BV105:BV136" si="44">IFERROR((SUM(BO105:BU105)/SUM($BO$7:$BU$7))*100,"")</f>
        <v/>
      </c>
      <c r="BW105" s="50"/>
      <c r="BX105" s="50"/>
      <c r="BY105" s="50"/>
      <c r="BZ105" s="50"/>
      <c r="CA105" s="50"/>
      <c r="CB105" s="50"/>
      <c r="CC105" s="50"/>
      <c r="CD105" s="46" t="str">
        <f t="shared" ref="CD105:CD136" si="45">IFERROR((SUM(BW105:CC105)/SUM($BW$7:$CC$7))*100,"")</f>
        <v/>
      </c>
      <c r="CE105" s="53"/>
      <c r="CF105" s="53"/>
      <c r="CG105" s="53"/>
      <c r="CH105" s="53"/>
      <c r="CI105" s="53"/>
      <c r="CJ105" s="53"/>
      <c r="CK105" s="53"/>
      <c r="CL105" s="46" t="str">
        <f t="shared" ref="CL105:CL136" si="46">IFERROR((SUM(CE105:CK105)/SUM($CE$7:$CK$7))*100,"")</f>
        <v/>
      </c>
      <c r="CM105" s="53"/>
      <c r="CN105" s="53"/>
      <c r="CO105" s="53"/>
      <c r="CP105" s="53"/>
      <c r="CQ105" s="53"/>
      <c r="CR105" s="53"/>
      <c r="CS105" s="53"/>
      <c r="CT105" s="48" t="str">
        <f t="shared" ref="CT105:CT136" si="47">IFERROR((SUM(CM105:CS105)/SUM($CM$7:$CS$7))*100,"")</f>
        <v/>
      </c>
    </row>
    <row r="106" spans="1:98" ht="40" customHeight="1" x14ac:dyDescent="0.15">
      <c r="A106" s="124" t="s">
        <v>249</v>
      </c>
      <c r="B106" s="51" t="s">
        <v>250</v>
      </c>
      <c r="C106" s="127"/>
      <c r="D106" s="53"/>
      <c r="E106" s="53"/>
      <c r="F106" s="53"/>
      <c r="G106" s="53"/>
      <c r="H106" s="53"/>
      <c r="I106" s="53"/>
      <c r="J106" s="45" t="str">
        <f t="shared" si="36"/>
        <v/>
      </c>
      <c r="K106" s="53"/>
      <c r="L106" s="53"/>
      <c r="M106" s="53"/>
      <c r="N106" s="53"/>
      <c r="O106" s="53"/>
      <c r="P106" s="53"/>
      <c r="Q106" s="53"/>
      <c r="R106" s="45" t="str">
        <f t="shared" si="37"/>
        <v/>
      </c>
      <c r="S106" s="53"/>
      <c r="T106" s="53"/>
      <c r="U106" s="53"/>
      <c r="V106" s="53"/>
      <c r="W106" s="53"/>
      <c r="X106" s="53"/>
      <c r="Y106" s="53"/>
      <c r="Z106" s="46" t="str">
        <f t="shared" si="38"/>
        <v/>
      </c>
      <c r="AA106" s="53"/>
      <c r="AB106" s="53"/>
      <c r="AC106" s="53"/>
      <c r="AD106" s="53"/>
      <c r="AE106" s="53"/>
      <c r="AF106" s="53"/>
      <c r="AG106" s="53"/>
      <c r="AH106" s="46" t="str">
        <f t="shared" si="39"/>
        <v/>
      </c>
      <c r="AI106" s="53"/>
      <c r="AJ106" s="53"/>
      <c r="AK106" s="53"/>
      <c r="AL106" s="53"/>
      <c r="AM106" s="53"/>
      <c r="AN106" s="53"/>
      <c r="AO106" s="53"/>
      <c r="AP106" s="46" t="str">
        <f t="shared" si="40"/>
        <v/>
      </c>
      <c r="AQ106" s="53"/>
      <c r="AR106" s="53"/>
      <c r="AS106" s="53"/>
      <c r="AT106" s="53"/>
      <c r="AU106" s="53"/>
      <c r="AV106" s="53"/>
      <c r="AW106" s="53"/>
      <c r="AX106" s="46" t="str">
        <f t="shared" si="41"/>
        <v/>
      </c>
      <c r="AY106" s="53"/>
      <c r="AZ106" s="53"/>
      <c r="BA106" s="53"/>
      <c r="BB106" s="53"/>
      <c r="BC106" s="53"/>
      <c r="BD106" s="53"/>
      <c r="BE106" s="53"/>
      <c r="BF106" s="46" t="str">
        <f t="shared" si="42"/>
        <v/>
      </c>
      <c r="BG106" s="53"/>
      <c r="BH106" s="53"/>
      <c r="BI106" s="53"/>
      <c r="BJ106" s="53"/>
      <c r="BK106" s="53"/>
      <c r="BL106" s="53"/>
      <c r="BM106" s="53"/>
      <c r="BN106" s="46" t="str">
        <f t="shared" si="43"/>
        <v/>
      </c>
      <c r="BO106" s="53"/>
      <c r="BP106" s="53"/>
      <c r="BQ106" s="53"/>
      <c r="BR106" s="53"/>
      <c r="BS106" s="53"/>
      <c r="BT106" s="53"/>
      <c r="BU106" s="53"/>
      <c r="BV106" s="46" t="str">
        <f t="shared" si="44"/>
        <v/>
      </c>
      <c r="BW106" s="50"/>
      <c r="BX106" s="50"/>
      <c r="BY106" s="50"/>
      <c r="BZ106" s="50"/>
      <c r="CA106" s="50"/>
      <c r="CB106" s="50"/>
      <c r="CC106" s="50"/>
      <c r="CD106" s="46" t="str">
        <f t="shared" si="45"/>
        <v/>
      </c>
      <c r="CE106" s="53"/>
      <c r="CF106" s="53"/>
      <c r="CG106" s="53"/>
      <c r="CH106" s="53"/>
      <c r="CI106" s="53"/>
      <c r="CJ106" s="53"/>
      <c r="CK106" s="53"/>
      <c r="CL106" s="46" t="str">
        <f t="shared" si="46"/>
        <v/>
      </c>
      <c r="CM106" s="53"/>
      <c r="CN106" s="53"/>
      <c r="CO106" s="53"/>
      <c r="CP106" s="53"/>
      <c r="CQ106" s="53"/>
      <c r="CR106" s="53"/>
      <c r="CS106" s="53"/>
      <c r="CT106" s="48" t="str">
        <f t="shared" si="47"/>
        <v/>
      </c>
    </row>
    <row r="107" spans="1:98" ht="40" customHeight="1" x14ac:dyDescent="0.15">
      <c r="A107" s="123" t="s">
        <v>251</v>
      </c>
      <c r="B107" s="49" t="s">
        <v>252</v>
      </c>
      <c r="C107" s="127"/>
      <c r="D107" s="53"/>
      <c r="E107" s="53"/>
      <c r="F107" s="53"/>
      <c r="G107" s="53"/>
      <c r="H107" s="53"/>
      <c r="I107" s="53"/>
      <c r="J107" s="45" t="str">
        <f t="shared" si="36"/>
        <v/>
      </c>
      <c r="K107" s="53"/>
      <c r="L107" s="53"/>
      <c r="M107" s="53"/>
      <c r="N107" s="53"/>
      <c r="O107" s="53"/>
      <c r="P107" s="53"/>
      <c r="Q107" s="53"/>
      <c r="R107" s="45" t="str">
        <f t="shared" si="37"/>
        <v/>
      </c>
      <c r="S107" s="53"/>
      <c r="T107" s="53"/>
      <c r="U107" s="53"/>
      <c r="V107" s="53"/>
      <c r="W107" s="53"/>
      <c r="X107" s="53"/>
      <c r="Y107" s="53"/>
      <c r="Z107" s="46" t="str">
        <f t="shared" si="38"/>
        <v/>
      </c>
      <c r="AA107" s="53"/>
      <c r="AB107" s="53"/>
      <c r="AC107" s="53"/>
      <c r="AD107" s="53"/>
      <c r="AE107" s="53"/>
      <c r="AF107" s="53"/>
      <c r="AG107" s="53"/>
      <c r="AH107" s="46" t="str">
        <f t="shared" si="39"/>
        <v/>
      </c>
      <c r="AI107" s="53"/>
      <c r="AJ107" s="53"/>
      <c r="AK107" s="53"/>
      <c r="AL107" s="53"/>
      <c r="AM107" s="53"/>
      <c r="AN107" s="53"/>
      <c r="AO107" s="53"/>
      <c r="AP107" s="46" t="str">
        <f t="shared" si="40"/>
        <v/>
      </c>
      <c r="AQ107" s="53"/>
      <c r="AR107" s="53"/>
      <c r="AS107" s="53"/>
      <c r="AT107" s="53"/>
      <c r="AU107" s="53"/>
      <c r="AV107" s="53"/>
      <c r="AW107" s="53"/>
      <c r="AX107" s="46" t="str">
        <f t="shared" si="41"/>
        <v/>
      </c>
      <c r="AY107" s="53"/>
      <c r="AZ107" s="53"/>
      <c r="BA107" s="53"/>
      <c r="BB107" s="53"/>
      <c r="BC107" s="53"/>
      <c r="BD107" s="53"/>
      <c r="BE107" s="53"/>
      <c r="BF107" s="46" t="str">
        <f t="shared" si="42"/>
        <v/>
      </c>
      <c r="BG107" s="53"/>
      <c r="BH107" s="53"/>
      <c r="BI107" s="53"/>
      <c r="BJ107" s="53"/>
      <c r="BK107" s="53"/>
      <c r="BL107" s="53"/>
      <c r="BM107" s="53"/>
      <c r="BN107" s="46" t="str">
        <f t="shared" si="43"/>
        <v/>
      </c>
      <c r="BO107" s="53"/>
      <c r="BP107" s="53"/>
      <c r="BQ107" s="53"/>
      <c r="BR107" s="53"/>
      <c r="BS107" s="53"/>
      <c r="BT107" s="53"/>
      <c r="BU107" s="53"/>
      <c r="BV107" s="46" t="str">
        <f t="shared" si="44"/>
        <v/>
      </c>
      <c r="BW107" s="50"/>
      <c r="BX107" s="50"/>
      <c r="BY107" s="50"/>
      <c r="BZ107" s="50"/>
      <c r="CA107" s="50"/>
      <c r="CB107" s="50"/>
      <c r="CC107" s="50"/>
      <c r="CD107" s="46" t="str">
        <f t="shared" si="45"/>
        <v/>
      </c>
      <c r="CE107" s="53"/>
      <c r="CF107" s="53"/>
      <c r="CG107" s="53"/>
      <c r="CH107" s="53"/>
      <c r="CI107" s="53"/>
      <c r="CJ107" s="53"/>
      <c r="CK107" s="53"/>
      <c r="CL107" s="46" t="str">
        <f t="shared" si="46"/>
        <v/>
      </c>
      <c r="CM107" s="53"/>
      <c r="CN107" s="53"/>
      <c r="CO107" s="53"/>
      <c r="CP107" s="53"/>
      <c r="CQ107" s="53"/>
      <c r="CR107" s="53"/>
      <c r="CS107" s="53"/>
      <c r="CT107" s="48" t="str">
        <f t="shared" si="47"/>
        <v/>
      </c>
    </row>
    <row r="108" spans="1:98" ht="40" customHeight="1" x14ac:dyDescent="0.15">
      <c r="A108" s="68" t="s">
        <v>253</v>
      </c>
      <c r="B108" s="122"/>
      <c r="C108" s="127"/>
      <c r="D108" s="53"/>
      <c r="E108" s="53"/>
      <c r="F108" s="53"/>
      <c r="G108" s="53"/>
      <c r="H108" s="53"/>
      <c r="I108" s="53"/>
      <c r="J108" s="45" t="str">
        <f t="shared" si="36"/>
        <v/>
      </c>
      <c r="K108" s="53"/>
      <c r="L108" s="53"/>
      <c r="M108" s="53"/>
      <c r="N108" s="53"/>
      <c r="O108" s="53"/>
      <c r="P108" s="53"/>
      <c r="Q108" s="53"/>
      <c r="R108" s="45" t="str">
        <f t="shared" si="37"/>
        <v/>
      </c>
      <c r="S108" s="53"/>
      <c r="T108" s="53"/>
      <c r="U108" s="53"/>
      <c r="V108" s="53"/>
      <c r="W108" s="53"/>
      <c r="X108" s="53"/>
      <c r="Y108" s="53"/>
      <c r="Z108" s="46" t="str">
        <f t="shared" si="38"/>
        <v/>
      </c>
      <c r="AA108" s="53"/>
      <c r="AB108" s="53"/>
      <c r="AC108" s="53"/>
      <c r="AD108" s="53"/>
      <c r="AE108" s="53"/>
      <c r="AF108" s="53"/>
      <c r="AG108" s="53"/>
      <c r="AH108" s="46" t="str">
        <f t="shared" si="39"/>
        <v/>
      </c>
      <c r="AI108" s="53"/>
      <c r="AJ108" s="53"/>
      <c r="AK108" s="53"/>
      <c r="AL108" s="53"/>
      <c r="AM108" s="53"/>
      <c r="AN108" s="53"/>
      <c r="AO108" s="53"/>
      <c r="AP108" s="46" t="str">
        <f t="shared" si="40"/>
        <v/>
      </c>
      <c r="AQ108" s="53"/>
      <c r="AR108" s="53"/>
      <c r="AS108" s="53"/>
      <c r="AT108" s="53"/>
      <c r="AU108" s="53"/>
      <c r="AV108" s="53"/>
      <c r="AW108" s="53"/>
      <c r="AX108" s="46" t="str">
        <f t="shared" si="41"/>
        <v/>
      </c>
      <c r="AY108" s="53"/>
      <c r="AZ108" s="53"/>
      <c r="BA108" s="53"/>
      <c r="BB108" s="53"/>
      <c r="BC108" s="53"/>
      <c r="BD108" s="53"/>
      <c r="BE108" s="53"/>
      <c r="BF108" s="46" t="str">
        <f t="shared" si="42"/>
        <v/>
      </c>
      <c r="BG108" s="53"/>
      <c r="BH108" s="53"/>
      <c r="BI108" s="53"/>
      <c r="BJ108" s="53"/>
      <c r="BK108" s="53"/>
      <c r="BL108" s="53"/>
      <c r="BM108" s="53"/>
      <c r="BN108" s="46" t="str">
        <f t="shared" si="43"/>
        <v/>
      </c>
      <c r="BO108" s="53"/>
      <c r="BP108" s="53"/>
      <c r="BQ108" s="53"/>
      <c r="BR108" s="53"/>
      <c r="BS108" s="53"/>
      <c r="BT108" s="53"/>
      <c r="BU108" s="53"/>
      <c r="BV108" s="46" t="str">
        <f t="shared" si="44"/>
        <v/>
      </c>
      <c r="BW108" s="50"/>
      <c r="BX108" s="50"/>
      <c r="BY108" s="50"/>
      <c r="BZ108" s="50"/>
      <c r="CA108" s="50"/>
      <c r="CB108" s="50"/>
      <c r="CC108" s="50"/>
      <c r="CD108" s="46" t="str">
        <f t="shared" si="45"/>
        <v/>
      </c>
      <c r="CE108" s="53"/>
      <c r="CF108" s="53"/>
      <c r="CG108" s="53"/>
      <c r="CH108" s="53"/>
      <c r="CI108" s="53"/>
      <c r="CJ108" s="53"/>
      <c r="CK108" s="53"/>
      <c r="CL108" s="46" t="str">
        <f t="shared" si="46"/>
        <v/>
      </c>
      <c r="CM108" s="53"/>
      <c r="CN108" s="53"/>
      <c r="CO108" s="53"/>
      <c r="CP108" s="53"/>
      <c r="CQ108" s="53"/>
      <c r="CR108" s="53"/>
      <c r="CS108" s="53"/>
      <c r="CT108" s="48" t="str">
        <f t="shared" si="47"/>
        <v/>
      </c>
    </row>
    <row r="109" spans="1:98" ht="40" customHeight="1" x14ac:dyDescent="0.15">
      <c r="A109" s="123" t="s">
        <v>254</v>
      </c>
      <c r="B109" s="49" t="s">
        <v>255</v>
      </c>
      <c r="C109" s="127"/>
      <c r="D109" s="53"/>
      <c r="E109" s="53"/>
      <c r="F109" s="53"/>
      <c r="G109" s="53"/>
      <c r="H109" s="53"/>
      <c r="I109" s="53"/>
      <c r="J109" s="45" t="str">
        <f t="shared" si="36"/>
        <v/>
      </c>
      <c r="K109" s="53"/>
      <c r="L109" s="53"/>
      <c r="M109" s="53"/>
      <c r="N109" s="53"/>
      <c r="O109" s="53"/>
      <c r="P109" s="53"/>
      <c r="Q109" s="53"/>
      <c r="R109" s="45" t="str">
        <f t="shared" si="37"/>
        <v/>
      </c>
      <c r="S109" s="53"/>
      <c r="T109" s="53"/>
      <c r="U109" s="53"/>
      <c r="V109" s="53"/>
      <c r="W109" s="53"/>
      <c r="X109" s="53"/>
      <c r="Y109" s="53"/>
      <c r="Z109" s="46" t="str">
        <f t="shared" si="38"/>
        <v/>
      </c>
      <c r="AA109" s="53"/>
      <c r="AB109" s="53"/>
      <c r="AC109" s="53"/>
      <c r="AD109" s="53"/>
      <c r="AE109" s="53"/>
      <c r="AF109" s="53"/>
      <c r="AG109" s="53"/>
      <c r="AH109" s="46" t="str">
        <f t="shared" si="39"/>
        <v/>
      </c>
      <c r="AI109" s="53"/>
      <c r="AJ109" s="53"/>
      <c r="AK109" s="53"/>
      <c r="AL109" s="53"/>
      <c r="AM109" s="53"/>
      <c r="AN109" s="53"/>
      <c r="AO109" s="53"/>
      <c r="AP109" s="46" t="str">
        <f t="shared" si="40"/>
        <v/>
      </c>
      <c r="AQ109" s="53"/>
      <c r="AR109" s="53"/>
      <c r="AS109" s="53"/>
      <c r="AT109" s="53"/>
      <c r="AU109" s="53"/>
      <c r="AV109" s="53"/>
      <c r="AW109" s="53"/>
      <c r="AX109" s="46" t="str">
        <f t="shared" si="41"/>
        <v/>
      </c>
      <c r="AY109" s="53"/>
      <c r="AZ109" s="53"/>
      <c r="BA109" s="53"/>
      <c r="BB109" s="53"/>
      <c r="BC109" s="53"/>
      <c r="BD109" s="53"/>
      <c r="BE109" s="53"/>
      <c r="BF109" s="46" t="str">
        <f t="shared" si="42"/>
        <v/>
      </c>
      <c r="BG109" s="53"/>
      <c r="BH109" s="53"/>
      <c r="BI109" s="53"/>
      <c r="BJ109" s="53"/>
      <c r="BK109" s="53"/>
      <c r="BL109" s="53"/>
      <c r="BM109" s="53"/>
      <c r="BN109" s="46" t="str">
        <f t="shared" si="43"/>
        <v/>
      </c>
      <c r="BO109" s="53"/>
      <c r="BP109" s="53"/>
      <c r="BQ109" s="53"/>
      <c r="BR109" s="53"/>
      <c r="BS109" s="53"/>
      <c r="BT109" s="53"/>
      <c r="BU109" s="53"/>
      <c r="BV109" s="46" t="str">
        <f t="shared" si="44"/>
        <v/>
      </c>
      <c r="BW109" s="50"/>
      <c r="BX109" s="50"/>
      <c r="BY109" s="50"/>
      <c r="BZ109" s="50"/>
      <c r="CA109" s="50"/>
      <c r="CB109" s="50"/>
      <c r="CC109" s="50"/>
      <c r="CD109" s="46" t="str">
        <f t="shared" si="45"/>
        <v/>
      </c>
      <c r="CE109" s="53"/>
      <c r="CF109" s="53"/>
      <c r="CG109" s="53"/>
      <c r="CH109" s="53"/>
      <c r="CI109" s="53"/>
      <c r="CJ109" s="53"/>
      <c r="CK109" s="53"/>
      <c r="CL109" s="46" t="str">
        <f t="shared" si="46"/>
        <v/>
      </c>
      <c r="CM109" s="53"/>
      <c r="CN109" s="53"/>
      <c r="CO109" s="53"/>
      <c r="CP109" s="53"/>
      <c r="CQ109" s="53"/>
      <c r="CR109" s="53"/>
      <c r="CS109" s="53"/>
      <c r="CT109" s="48" t="str">
        <f t="shared" si="47"/>
        <v/>
      </c>
    </row>
    <row r="110" spans="1:98" ht="40" customHeight="1" x14ac:dyDescent="0.15">
      <c r="A110" s="124"/>
      <c r="B110" s="51"/>
      <c r="C110" s="127"/>
      <c r="D110" s="53"/>
      <c r="E110" s="53"/>
      <c r="F110" s="53"/>
      <c r="G110" s="53"/>
      <c r="H110" s="53"/>
      <c r="I110" s="53"/>
      <c r="J110" s="45" t="str">
        <f t="shared" si="36"/>
        <v/>
      </c>
      <c r="K110" s="53"/>
      <c r="L110" s="53"/>
      <c r="M110" s="53"/>
      <c r="N110" s="53"/>
      <c r="O110" s="53"/>
      <c r="P110" s="53"/>
      <c r="Q110" s="53"/>
      <c r="R110" s="45" t="str">
        <f t="shared" si="37"/>
        <v/>
      </c>
      <c r="S110" s="53"/>
      <c r="T110" s="53"/>
      <c r="U110" s="53"/>
      <c r="V110" s="53"/>
      <c r="W110" s="53"/>
      <c r="X110" s="53"/>
      <c r="Y110" s="53"/>
      <c r="Z110" s="46" t="str">
        <f t="shared" si="38"/>
        <v/>
      </c>
      <c r="AA110" s="53"/>
      <c r="AB110" s="53"/>
      <c r="AC110" s="53"/>
      <c r="AD110" s="53"/>
      <c r="AE110" s="53"/>
      <c r="AF110" s="53"/>
      <c r="AG110" s="53"/>
      <c r="AH110" s="46" t="str">
        <f t="shared" si="39"/>
        <v/>
      </c>
      <c r="AI110" s="53"/>
      <c r="AJ110" s="53"/>
      <c r="AK110" s="53"/>
      <c r="AL110" s="53"/>
      <c r="AM110" s="53"/>
      <c r="AN110" s="53"/>
      <c r="AO110" s="53"/>
      <c r="AP110" s="46" t="str">
        <f t="shared" si="40"/>
        <v/>
      </c>
      <c r="AQ110" s="53"/>
      <c r="AR110" s="53"/>
      <c r="AS110" s="53"/>
      <c r="AT110" s="53"/>
      <c r="AU110" s="53"/>
      <c r="AV110" s="53"/>
      <c r="AW110" s="53"/>
      <c r="AX110" s="46" t="str">
        <f t="shared" si="41"/>
        <v/>
      </c>
      <c r="AY110" s="53"/>
      <c r="AZ110" s="53"/>
      <c r="BA110" s="53"/>
      <c r="BB110" s="53"/>
      <c r="BC110" s="53"/>
      <c r="BD110" s="53"/>
      <c r="BE110" s="53"/>
      <c r="BF110" s="46" t="str">
        <f t="shared" si="42"/>
        <v/>
      </c>
      <c r="BG110" s="53"/>
      <c r="BH110" s="53"/>
      <c r="BI110" s="53"/>
      <c r="BJ110" s="53"/>
      <c r="BK110" s="53"/>
      <c r="BL110" s="53"/>
      <c r="BM110" s="53"/>
      <c r="BN110" s="46" t="str">
        <f t="shared" si="43"/>
        <v/>
      </c>
      <c r="BO110" s="53"/>
      <c r="BP110" s="53"/>
      <c r="BQ110" s="53"/>
      <c r="BR110" s="53"/>
      <c r="BS110" s="53"/>
      <c r="BT110" s="53"/>
      <c r="BU110" s="53"/>
      <c r="BV110" s="46" t="str">
        <f t="shared" si="44"/>
        <v/>
      </c>
      <c r="BW110" s="50"/>
      <c r="BX110" s="50"/>
      <c r="BY110" s="50"/>
      <c r="BZ110" s="50"/>
      <c r="CA110" s="50"/>
      <c r="CB110" s="50"/>
      <c r="CC110" s="50"/>
      <c r="CD110" s="46" t="str">
        <f t="shared" si="45"/>
        <v/>
      </c>
      <c r="CE110" s="53"/>
      <c r="CF110" s="53"/>
      <c r="CG110" s="53"/>
      <c r="CH110" s="53"/>
      <c r="CI110" s="53"/>
      <c r="CJ110" s="53"/>
      <c r="CK110" s="53"/>
      <c r="CL110" s="46" t="str">
        <f t="shared" si="46"/>
        <v/>
      </c>
      <c r="CM110" s="53"/>
      <c r="CN110" s="53"/>
      <c r="CO110" s="53"/>
      <c r="CP110" s="53"/>
      <c r="CQ110" s="53"/>
      <c r="CR110" s="53"/>
      <c r="CS110" s="53"/>
      <c r="CT110" s="48" t="str">
        <f t="shared" si="47"/>
        <v/>
      </c>
    </row>
    <row r="111" spans="1:98" ht="40" customHeight="1" x14ac:dyDescent="0.15">
      <c r="A111" s="125"/>
      <c r="B111" s="54"/>
      <c r="C111" s="128"/>
      <c r="D111" s="55"/>
      <c r="E111" s="55"/>
      <c r="F111" s="55"/>
      <c r="G111" s="55"/>
      <c r="H111" s="55"/>
      <c r="I111" s="55"/>
      <c r="J111" s="45" t="str">
        <f t="shared" si="36"/>
        <v/>
      </c>
      <c r="K111" s="55"/>
      <c r="L111" s="55"/>
      <c r="M111" s="55"/>
      <c r="N111" s="55"/>
      <c r="O111" s="55"/>
      <c r="P111" s="55"/>
      <c r="Q111" s="55"/>
      <c r="R111" s="45" t="str">
        <f t="shared" si="37"/>
        <v/>
      </c>
      <c r="S111" s="55"/>
      <c r="T111" s="55"/>
      <c r="U111" s="55"/>
      <c r="V111" s="55"/>
      <c r="W111" s="55"/>
      <c r="X111" s="55"/>
      <c r="Y111" s="55"/>
      <c r="Z111" s="46" t="str">
        <f t="shared" si="38"/>
        <v/>
      </c>
      <c r="AA111" s="55"/>
      <c r="AB111" s="55"/>
      <c r="AC111" s="55"/>
      <c r="AD111" s="55"/>
      <c r="AE111" s="55"/>
      <c r="AF111" s="55"/>
      <c r="AG111" s="55"/>
      <c r="AH111" s="46" t="str">
        <f t="shared" si="39"/>
        <v/>
      </c>
      <c r="AI111" s="55"/>
      <c r="AJ111" s="55"/>
      <c r="AK111" s="55"/>
      <c r="AL111" s="55"/>
      <c r="AM111" s="55"/>
      <c r="AN111" s="55"/>
      <c r="AO111" s="55"/>
      <c r="AP111" s="46" t="str">
        <f t="shared" si="40"/>
        <v/>
      </c>
      <c r="AQ111" s="55"/>
      <c r="AR111" s="55"/>
      <c r="AS111" s="55"/>
      <c r="AT111" s="55"/>
      <c r="AU111" s="55"/>
      <c r="AV111" s="55"/>
      <c r="AW111" s="55"/>
      <c r="AX111" s="46" t="str">
        <f t="shared" si="41"/>
        <v/>
      </c>
      <c r="AY111" s="55"/>
      <c r="AZ111" s="55"/>
      <c r="BA111" s="55"/>
      <c r="BB111" s="55"/>
      <c r="BC111" s="55"/>
      <c r="BD111" s="55"/>
      <c r="BE111" s="55"/>
      <c r="BF111" s="46" t="str">
        <f t="shared" si="42"/>
        <v/>
      </c>
      <c r="BG111" s="55"/>
      <c r="BH111" s="55"/>
      <c r="BI111" s="55"/>
      <c r="BJ111" s="55"/>
      <c r="BK111" s="55"/>
      <c r="BL111" s="55"/>
      <c r="BM111" s="55"/>
      <c r="BN111" s="46" t="str">
        <f t="shared" si="43"/>
        <v/>
      </c>
      <c r="BO111" s="55"/>
      <c r="BP111" s="55"/>
      <c r="BQ111" s="55"/>
      <c r="BR111" s="55"/>
      <c r="BS111" s="55"/>
      <c r="BT111" s="55"/>
      <c r="BU111" s="55"/>
      <c r="BV111" s="46" t="str">
        <f t="shared" si="44"/>
        <v/>
      </c>
      <c r="BW111" s="50"/>
      <c r="BX111" s="50"/>
      <c r="BY111" s="50"/>
      <c r="BZ111" s="50"/>
      <c r="CA111" s="50"/>
      <c r="CB111" s="50"/>
      <c r="CC111" s="50"/>
      <c r="CD111" s="46" t="str">
        <f t="shared" si="45"/>
        <v/>
      </c>
      <c r="CE111" s="55"/>
      <c r="CF111" s="55"/>
      <c r="CG111" s="55"/>
      <c r="CH111" s="55"/>
      <c r="CI111" s="55"/>
      <c r="CJ111" s="55"/>
      <c r="CK111" s="55"/>
      <c r="CL111" s="46" t="str">
        <f t="shared" si="46"/>
        <v/>
      </c>
      <c r="CM111" s="55"/>
      <c r="CN111" s="55"/>
      <c r="CO111" s="55"/>
      <c r="CP111" s="55"/>
      <c r="CQ111" s="55"/>
      <c r="CR111" s="55"/>
      <c r="CS111" s="55"/>
      <c r="CT111" s="48" t="str">
        <f t="shared" si="47"/>
        <v/>
      </c>
    </row>
    <row r="112" spans="1:98" ht="40" customHeight="1" x14ac:dyDescent="0.15">
      <c r="B112" s="56" t="s">
        <v>292</v>
      </c>
      <c r="C112" s="57" t="str">
        <f t="shared" ref="C112:I112" si="48">IFERROR((SUM(C9:C111)/C7)*100,"")</f>
        <v/>
      </c>
      <c r="D112" s="57" t="str">
        <f t="shared" si="48"/>
        <v/>
      </c>
      <c r="E112" s="57" t="str">
        <f t="shared" si="48"/>
        <v/>
      </c>
      <c r="F112" s="57" t="str">
        <f t="shared" si="48"/>
        <v/>
      </c>
      <c r="G112" s="57" t="str">
        <f t="shared" si="48"/>
        <v/>
      </c>
      <c r="H112" s="57" t="str">
        <f t="shared" si="48"/>
        <v/>
      </c>
      <c r="I112" s="57" t="str">
        <f t="shared" si="48"/>
        <v/>
      </c>
      <c r="J112" s="48" t="s">
        <v>293</v>
      </c>
      <c r="K112" s="57" t="str">
        <f t="shared" ref="K112:Q112" si="49">IFERROR((SUM(K9:K111)/K7)*100,"")</f>
        <v/>
      </c>
      <c r="L112" s="57" t="str">
        <f t="shared" si="49"/>
        <v/>
      </c>
      <c r="M112" s="57" t="str">
        <f t="shared" si="49"/>
        <v/>
      </c>
      <c r="N112" s="57" t="str">
        <f t="shared" si="49"/>
        <v/>
      </c>
      <c r="O112" s="57" t="str">
        <f t="shared" si="49"/>
        <v/>
      </c>
      <c r="P112" s="57" t="str">
        <f t="shared" si="49"/>
        <v/>
      </c>
      <c r="Q112" s="57" t="str">
        <f t="shared" si="49"/>
        <v/>
      </c>
      <c r="R112" s="48" t="s">
        <v>293</v>
      </c>
      <c r="S112" s="57" t="str">
        <f t="shared" ref="S112:Y112" si="50">IFERROR((SUM(S9:S111)/S7)*100,"")</f>
        <v/>
      </c>
      <c r="T112" s="57" t="str">
        <f t="shared" si="50"/>
        <v/>
      </c>
      <c r="U112" s="57" t="str">
        <f t="shared" si="50"/>
        <v/>
      </c>
      <c r="V112" s="57" t="str">
        <f t="shared" si="50"/>
        <v/>
      </c>
      <c r="W112" s="57" t="str">
        <f t="shared" si="50"/>
        <v/>
      </c>
      <c r="X112" s="57" t="str">
        <f t="shared" si="50"/>
        <v/>
      </c>
      <c r="Y112" s="57" t="str">
        <f t="shared" si="50"/>
        <v/>
      </c>
      <c r="Z112" s="48" t="s">
        <v>293</v>
      </c>
      <c r="AA112" s="57" t="str">
        <f t="shared" ref="AA112:AG112" si="51">IFERROR((SUM(AA9:AA111)/AA7)*100,"")</f>
        <v/>
      </c>
      <c r="AB112" s="57" t="str">
        <f t="shared" si="51"/>
        <v/>
      </c>
      <c r="AC112" s="57" t="str">
        <f t="shared" si="51"/>
        <v/>
      </c>
      <c r="AD112" s="57" t="str">
        <f t="shared" si="51"/>
        <v/>
      </c>
      <c r="AE112" s="57" t="str">
        <f t="shared" si="51"/>
        <v/>
      </c>
      <c r="AF112" s="57" t="str">
        <f t="shared" si="51"/>
        <v/>
      </c>
      <c r="AG112" s="57" t="str">
        <f t="shared" si="51"/>
        <v/>
      </c>
      <c r="AH112" s="48" t="s">
        <v>293</v>
      </c>
      <c r="AI112" s="57" t="str">
        <f t="shared" ref="AI112:AO112" si="52">IFERROR((SUM(AI9:AI111)/AI7)*100,"")</f>
        <v/>
      </c>
      <c r="AJ112" s="57" t="str">
        <f t="shared" si="52"/>
        <v/>
      </c>
      <c r="AK112" s="57" t="str">
        <f t="shared" si="52"/>
        <v/>
      </c>
      <c r="AL112" s="57" t="str">
        <f t="shared" si="52"/>
        <v/>
      </c>
      <c r="AM112" s="57" t="str">
        <f t="shared" si="52"/>
        <v/>
      </c>
      <c r="AN112" s="57" t="str">
        <f t="shared" si="52"/>
        <v/>
      </c>
      <c r="AO112" s="57" t="str">
        <f t="shared" si="52"/>
        <v/>
      </c>
      <c r="AP112" s="48" t="s">
        <v>293</v>
      </c>
      <c r="AQ112" s="57" t="str">
        <f t="shared" ref="AQ112:AW112" si="53">IFERROR((SUM(AQ9:AQ111)/AQ7)*100,"")</f>
        <v/>
      </c>
      <c r="AR112" s="57" t="str">
        <f t="shared" si="53"/>
        <v/>
      </c>
      <c r="AS112" s="57" t="str">
        <f t="shared" si="53"/>
        <v/>
      </c>
      <c r="AT112" s="57" t="str">
        <f t="shared" si="53"/>
        <v/>
      </c>
      <c r="AU112" s="57" t="str">
        <f t="shared" si="53"/>
        <v/>
      </c>
      <c r="AV112" s="57" t="str">
        <f t="shared" si="53"/>
        <v/>
      </c>
      <c r="AW112" s="57" t="str">
        <f t="shared" si="53"/>
        <v/>
      </c>
      <c r="AX112" s="48" t="s">
        <v>293</v>
      </c>
      <c r="AY112" s="57" t="str">
        <f t="shared" ref="AY112:BE112" si="54">IFERROR((SUM(AY9:AY111)/AY7)*100,"")</f>
        <v/>
      </c>
      <c r="AZ112" s="57" t="str">
        <f t="shared" si="54"/>
        <v/>
      </c>
      <c r="BA112" s="57" t="str">
        <f t="shared" si="54"/>
        <v/>
      </c>
      <c r="BB112" s="57" t="str">
        <f t="shared" si="54"/>
        <v/>
      </c>
      <c r="BC112" s="57" t="str">
        <f t="shared" si="54"/>
        <v/>
      </c>
      <c r="BD112" s="57" t="str">
        <f t="shared" si="54"/>
        <v/>
      </c>
      <c r="BE112" s="57" t="str">
        <f t="shared" si="54"/>
        <v/>
      </c>
      <c r="BF112" s="48" t="s">
        <v>293</v>
      </c>
      <c r="BG112" s="57" t="str">
        <f t="shared" ref="BG112:BM112" si="55">IFERROR((SUM(BG9:BG111)/BG7)*100,"")</f>
        <v/>
      </c>
      <c r="BH112" s="57" t="str">
        <f t="shared" si="55"/>
        <v/>
      </c>
      <c r="BI112" s="57" t="str">
        <f t="shared" si="55"/>
        <v/>
      </c>
      <c r="BJ112" s="57" t="str">
        <f t="shared" si="55"/>
        <v/>
      </c>
      <c r="BK112" s="57" t="str">
        <f t="shared" si="55"/>
        <v/>
      </c>
      <c r="BL112" s="57" t="str">
        <f t="shared" si="55"/>
        <v/>
      </c>
      <c r="BM112" s="57" t="str">
        <f t="shared" si="55"/>
        <v/>
      </c>
      <c r="BN112" s="48" t="s">
        <v>293</v>
      </c>
      <c r="BO112" s="57" t="str">
        <f t="shared" ref="BO112:BU112" si="56">IFERROR((SUM(BO9:BO111)/BO7)*100,"")</f>
        <v/>
      </c>
      <c r="BP112" s="57" t="str">
        <f t="shared" si="56"/>
        <v/>
      </c>
      <c r="BQ112" s="57" t="str">
        <f t="shared" si="56"/>
        <v/>
      </c>
      <c r="BR112" s="57" t="str">
        <f t="shared" si="56"/>
        <v/>
      </c>
      <c r="BS112" s="57" t="str">
        <f t="shared" si="56"/>
        <v/>
      </c>
      <c r="BT112" s="57" t="str">
        <f t="shared" si="56"/>
        <v/>
      </c>
      <c r="BU112" s="57" t="str">
        <f t="shared" si="56"/>
        <v/>
      </c>
      <c r="BV112" s="48" t="s">
        <v>293</v>
      </c>
      <c r="BW112" s="57" t="str">
        <f t="shared" ref="BW112:CC112" si="57">IFERROR((SUM(BW9:BW111)/BW7)*100,"")</f>
        <v/>
      </c>
      <c r="BX112" s="57" t="str">
        <f t="shared" si="57"/>
        <v/>
      </c>
      <c r="BY112" s="57" t="str">
        <f t="shared" si="57"/>
        <v/>
      </c>
      <c r="BZ112" s="57" t="str">
        <f t="shared" si="57"/>
        <v/>
      </c>
      <c r="CA112" s="57" t="str">
        <f t="shared" si="57"/>
        <v/>
      </c>
      <c r="CB112" s="57" t="str">
        <f t="shared" si="57"/>
        <v/>
      </c>
      <c r="CC112" s="57" t="str">
        <f t="shared" si="57"/>
        <v/>
      </c>
      <c r="CD112" s="48" t="s">
        <v>293</v>
      </c>
      <c r="CE112" s="57" t="str">
        <f t="shared" ref="CE112:CK112" si="58">IFERROR((SUM(CE9:CE111)/CE7)*100,"")</f>
        <v/>
      </c>
      <c r="CF112" s="57" t="str">
        <f t="shared" si="58"/>
        <v/>
      </c>
      <c r="CG112" s="57" t="str">
        <f t="shared" si="58"/>
        <v/>
      </c>
      <c r="CH112" s="57" t="str">
        <f t="shared" si="58"/>
        <v/>
      </c>
      <c r="CI112" s="57" t="str">
        <f t="shared" si="58"/>
        <v/>
      </c>
      <c r="CJ112" s="57" t="str">
        <f t="shared" si="58"/>
        <v/>
      </c>
      <c r="CK112" s="57" t="str">
        <f t="shared" si="58"/>
        <v/>
      </c>
      <c r="CL112" s="48" t="s">
        <v>293</v>
      </c>
      <c r="CM112" s="57" t="str">
        <f t="shared" ref="CM112:CS112" si="59">IFERROR((SUM(CM9:CM111)/CM7)*100,"")</f>
        <v/>
      </c>
      <c r="CN112" s="57" t="str">
        <f t="shared" si="59"/>
        <v/>
      </c>
      <c r="CO112" s="57" t="str">
        <f t="shared" si="59"/>
        <v/>
      </c>
      <c r="CP112" s="57" t="str">
        <f t="shared" si="59"/>
        <v/>
      </c>
      <c r="CQ112" s="57" t="str">
        <f t="shared" si="59"/>
        <v/>
      </c>
      <c r="CR112" s="57" t="str">
        <f t="shared" si="59"/>
        <v/>
      </c>
      <c r="CS112" s="57" t="str">
        <f t="shared" si="59"/>
        <v/>
      </c>
      <c r="CT112" s="48" t="s">
        <v>293</v>
      </c>
    </row>
    <row r="113" spans="1:98" ht="40" customHeight="1" x14ac:dyDescent="0.15">
      <c r="B113" s="58" t="s">
        <v>294</v>
      </c>
      <c r="C113" s="59" t="str">
        <f>IFERROR(AVERAGE(C112:I112),"")</f>
        <v/>
      </c>
      <c r="D113" s="60"/>
      <c r="E113" s="60"/>
      <c r="F113" s="60"/>
      <c r="G113" s="60"/>
      <c r="H113" s="60"/>
      <c r="I113" s="61"/>
      <c r="J113" s="45" t="str">
        <f>IF(SUM(J9:J111)=0,"",SUM(J9:J111))</f>
        <v/>
      </c>
      <c r="K113" s="59" t="str">
        <f>IFERROR(AVERAGE(K112:Q112),"")</f>
        <v/>
      </c>
      <c r="L113" s="60"/>
      <c r="M113" s="60"/>
      <c r="N113" s="60"/>
      <c r="O113" s="60"/>
      <c r="P113" s="60"/>
      <c r="Q113" s="61"/>
      <c r="R113" s="45" t="str">
        <f>IF(SUM(R9:R111)=0,"",SUM(R9:R111))</f>
        <v/>
      </c>
      <c r="S113" s="59" t="str">
        <f>IFERROR(AVERAGE(S112:Y112),"")</f>
        <v/>
      </c>
      <c r="T113" s="60"/>
      <c r="U113" s="60"/>
      <c r="V113" s="60"/>
      <c r="W113" s="60"/>
      <c r="X113" s="60"/>
      <c r="Y113" s="61"/>
      <c r="Z113" s="45" t="str">
        <f>IF(SUM(Z9:Z111)=0,"",SUM(Z9:Z111))</f>
        <v/>
      </c>
      <c r="AA113" s="59" t="str">
        <f>IFERROR(AVERAGE(AA112:AG112),"")</f>
        <v/>
      </c>
      <c r="AB113" s="60"/>
      <c r="AC113" s="60"/>
      <c r="AD113" s="60"/>
      <c r="AE113" s="60"/>
      <c r="AF113" s="60"/>
      <c r="AG113" s="61"/>
      <c r="AH113" s="45" t="str">
        <f>IF(SUM(AH9:AH111)=0,"",SUM(AH9:AH111))</f>
        <v/>
      </c>
      <c r="AI113" s="59" t="str">
        <f>IFERROR(AVERAGE(AI112:AO112),"")</f>
        <v/>
      </c>
      <c r="AJ113" s="60"/>
      <c r="AK113" s="60"/>
      <c r="AL113" s="60"/>
      <c r="AM113" s="60"/>
      <c r="AN113" s="60"/>
      <c r="AO113" s="61"/>
      <c r="AP113" s="45" t="str">
        <f>IF(SUM(AP9:AP111)=0,"",SUM(AP9:AP111))</f>
        <v/>
      </c>
      <c r="AQ113" s="59" t="str">
        <f>IFERROR(AVERAGE(AQ112:AW112),"")</f>
        <v/>
      </c>
      <c r="AR113" s="60"/>
      <c r="AS113" s="60"/>
      <c r="AT113" s="60"/>
      <c r="AU113" s="60"/>
      <c r="AV113" s="60"/>
      <c r="AW113" s="61"/>
      <c r="AX113" s="45" t="str">
        <f>IF(SUM(AX9:AX111)=0,"",SUM(AX9:AX111))</f>
        <v/>
      </c>
      <c r="AY113" s="59" t="str">
        <f>IFERROR(AVERAGE(AY112:BE112),"")</f>
        <v/>
      </c>
      <c r="AZ113" s="60"/>
      <c r="BA113" s="60"/>
      <c r="BB113" s="60"/>
      <c r="BC113" s="60"/>
      <c r="BD113" s="60"/>
      <c r="BE113" s="61"/>
      <c r="BF113" s="45" t="str">
        <f>IF(SUM(BF9:BF111)=0,"",SUM(BF9:BF111))</f>
        <v/>
      </c>
      <c r="BG113" s="59" t="str">
        <f>IFERROR(AVERAGE(BG112:BM112),"")</f>
        <v/>
      </c>
      <c r="BH113" s="60"/>
      <c r="BI113" s="60"/>
      <c r="BJ113" s="60"/>
      <c r="BK113" s="60"/>
      <c r="BL113" s="60"/>
      <c r="BM113" s="61"/>
      <c r="BN113" s="45" t="str">
        <f>IF(SUM(BN9:BN111)=0,"",SUM(BN9:BN111))</f>
        <v/>
      </c>
      <c r="BO113" s="59" t="str">
        <f>IFERROR(AVERAGE(BO112:BU112),"")</f>
        <v/>
      </c>
      <c r="BP113" s="60"/>
      <c r="BQ113" s="60"/>
      <c r="BR113" s="60"/>
      <c r="BS113" s="60"/>
      <c r="BT113" s="60"/>
      <c r="BU113" s="61"/>
      <c r="BV113" s="45" t="str">
        <f>IF(SUM(BV9:BV111)=0,"",SUM(BV9:BV111))</f>
        <v/>
      </c>
      <c r="BW113" s="59" t="str">
        <f>IFERROR(AVERAGE(BW112:CC112),"")</f>
        <v/>
      </c>
      <c r="BX113" s="60"/>
      <c r="BY113" s="60"/>
      <c r="BZ113" s="60"/>
      <c r="CA113" s="60"/>
      <c r="CB113" s="60"/>
      <c r="CC113" s="61"/>
      <c r="CD113" s="45" t="str">
        <f>IF(SUM(CD9:CD111)=0,"",SUM(CD9:CD111))</f>
        <v/>
      </c>
      <c r="CE113" s="59" t="str">
        <f>IFERROR(AVERAGE(CE112:CK112),"")</f>
        <v/>
      </c>
      <c r="CF113" s="60"/>
      <c r="CG113" s="60"/>
      <c r="CH113" s="60"/>
      <c r="CI113" s="60"/>
      <c r="CJ113" s="60"/>
      <c r="CK113" s="61"/>
      <c r="CL113" s="45" t="str">
        <f>IF(SUM(CL9:CL111)=0,"",SUM(CL9:CL111))</f>
        <v/>
      </c>
      <c r="CM113" s="59" t="str">
        <f>IFERROR(AVERAGE(CM112:CS112),"")</f>
        <v/>
      </c>
      <c r="CN113" s="60"/>
      <c r="CO113" s="60"/>
      <c r="CP113" s="60"/>
      <c r="CQ113" s="60"/>
      <c r="CR113" s="60"/>
      <c r="CS113" s="61"/>
      <c r="CT113" s="62" t="str">
        <f>IF(SUM(CT9:CT111)=0,"",SUM(CT9:CT111))</f>
        <v/>
      </c>
    </row>
    <row r="114" spans="1:98" ht="40" customHeight="1" x14ac:dyDescent="0.15">
      <c r="B114" s="56" t="s">
        <v>295</v>
      </c>
      <c r="C114" s="59" t="str">
        <f>IF(100-(SUM(J9:J111))=100,"",100-(SUM(J9:J111)))</f>
        <v/>
      </c>
      <c r="D114" s="60"/>
      <c r="E114" s="60"/>
      <c r="F114" s="60"/>
      <c r="G114" s="60"/>
      <c r="H114" s="60"/>
      <c r="I114" s="61"/>
      <c r="J114" s="46"/>
      <c r="K114" s="59" t="str">
        <f>IF(100-(SUM(R9:R111))=100,"",100-(SUM(R9:R111)))</f>
        <v/>
      </c>
      <c r="L114" s="60"/>
      <c r="M114" s="60"/>
      <c r="N114" s="60"/>
      <c r="O114" s="60"/>
      <c r="P114" s="60"/>
      <c r="Q114" s="61"/>
      <c r="R114" s="63"/>
      <c r="S114" s="59" t="str">
        <f>IF(100-(SUM(Z9:Z111))=100,"",100-(SUM(Z9:Z111)))</f>
        <v/>
      </c>
      <c r="T114" s="60"/>
      <c r="U114" s="60"/>
      <c r="V114" s="60"/>
      <c r="W114" s="60"/>
      <c r="X114" s="60"/>
      <c r="Y114" s="61"/>
      <c r="Z114" s="63"/>
      <c r="AA114" s="59" t="str">
        <f>IF(100-(SUM(AH9:AH111))=100,"",100-(SUM(AH9:AH111)))</f>
        <v/>
      </c>
      <c r="AB114" s="60"/>
      <c r="AC114" s="60"/>
      <c r="AD114" s="60"/>
      <c r="AE114" s="60"/>
      <c r="AF114" s="60"/>
      <c r="AG114" s="61"/>
      <c r="AH114" s="63"/>
      <c r="AI114" s="59" t="str">
        <f>IF(100-(SUM(AP9:AP111))=100,"",100-(SUM(AP9:AP111)))</f>
        <v/>
      </c>
      <c r="AJ114" s="60"/>
      <c r="AK114" s="60"/>
      <c r="AL114" s="60"/>
      <c r="AM114" s="60"/>
      <c r="AN114" s="60"/>
      <c r="AO114" s="61"/>
      <c r="AP114" s="63"/>
      <c r="AQ114" s="59" t="str">
        <f>IF(100-(SUM(AX9:AX111))=100,"",100-(SUM(AX9:AX111)))</f>
        <v/>
      </c>
      <c r="AR114" s="60"/>
      <c r="AS114" s="60"/>
      <c r="AT114" s="60"/>
      <c r="AU114" s="60"/>
      <c r="AV114" s="60"/>
      <c r="AW114" s="61"/>
      <c r="AX114" s="63"/>
      <c r="AY114" s="59" t="str">
        <f>IF(100-(SUM(BF9:BF111))=100,"",100-(SUM(BF9:BF111)))</f>
        <v/>
      </c>
      <c r="AZ114" s="60"/>
      <c r="BA114" s="60"/>
      <c r="BB114" s="60"/>
      <c r="BC114" s="60"/>
      <c r="BD114" s="60"/>
      <c r="BE114" s="61"/>
      <c r="BF114" s="63"/>
      <c r="BG114" s="59" t="str">
        <f>IF(100-(SUM(BN9:BN111))=100,"",100-(SUM(BN9:BN111)))</f>
        <v/>
      </c>
      <c r="BH114" s="60"/>
      <c r="BI114" s="60"/>
      <c r="BJ114" s="60"/>
      <c r="BK114" s="60"/>
      <c r="BL114" s="60"/>
      <c r="BM114" s="61"/>
      <c r="BN114" s="63"/>
      <c r="BO114" s="59" t="str">
        <f>IF(100-(SUM(BV9:BV111))=100,"",100-(SUM(BV9:BV111)))</f>
        <v/>
      </c>
      <c r="BP114" s="60"/>
      <c r="BQ114" s="60"/>
      <c r="BR114" s="60"/>
      <c r="BS114" s="60"/>
      <c r="BT114" s="60"/>
      <c r="BU114" s="61"/>
      <c r="BV114" s="63"/>
      <c r="BW114" s="59" t="str">
        <f>IF(100-(SUM(CD9:CD111))=100,"",100-(SUM(CD9:CD111)))</f>
        <v/>
      </c>
      <c r="BX114" s="60"/>
      <c r="BY114" s="60"/>
      <c r="BZ114" s="60"/>
      <c r="CA114" s="60"/>
      <c r="CB114" s="60"/>
      <c r="CC114" s="61"/>
      <c r="CD114" s="63"/>
      <c r="CE114" s="59" t="str">
        <f>IF(100-(SUM(CL9:CL111))=100,"",100-(SUM(CL9:CL111)))</f>
        <v/>
      </c>
      <c r="CF114" s="60"/>
      <c r="CG114" s="60"/>
      <c r="CH114" s="60"/>
      <c r="CI114" s="60"/>
      <c r="CJ114" s="60"/>
      <c r="CK114" s="61"/>
      <c r="CL114" s="63"/>
      <c r="CM114" s="59" t="str">
        <f>IF(100-(SUM(CT9:CT111))=100,"",100-(SUM(CT9:CT111)))</f>
        <v/>
      </c>
      <c r="CN114" s="60"/>
      <c r="CO114" s="60"/>
      <c r="CP114" s="60"/>
      <c r="CQ114" s="60"/>
      <c r="CR114" s="60"/>
      <c r="CS114" s="61"/>
      <c r="CT114" s="63"/>
    </row>
    <row r="118" spans="1:98" ht="40" customHeight="1" x14ac:dyDescent="0.15">
      <c r="A118" s="158" t="s">
        <v>51</v>
      </c>
      <c r="B118" s="159" t="s">
        <v>52</v>
      </c>
      <c r="C118" s="160" t="s">
        <v>7</v>
      </c>
      <c r="D118" s="160" t="s">
        <v>8</v>
      </c>
      <c r="E118" s="160" t="s">
        <v>9</v>
      </c>
      <c r="F118" s="160" t="s">
        <v>10</v>
      </c>
      <c r="G118" s="160" t="s">
        <v>11</v>
      </c>
      <c r="H118" s="160" t="s">
        <v>12</v>
      </c>
      <c r="I118" s="160" t="s">
        <v>13</v>
      </c>
      <c r="J118" s="160" t="s">
        <v>14</v>
      </c>
      <c r="K118" s="160" t="s">
        <v>15</v>
      </c>
      <c r="L118" s="160" t="s">
        <v>16</v>
      </c>
      <c r="M118" s="160" t="s">
        <v>296</v>
      </c>
      <c r="N118" s="161" t="s">
        <v>17</v>
      </c>
      <c r="O118" s="162" t="s">
        <v>46</v>
      </c>
    </row>
    <row r="119" spans="1:98" ht="40" customHeight="1" x14ac:dyDescent="0.15">
      <c r="A119" s="163" t="s">
        <v>55</v>
      </c>
      <c r="B119" s="164"/>
      <c r="C119" s="63" t="str">
        <f t="shared" ref="C119:C150" si="60">J9</f>
        <v/>
      </c>
      <c r="D119" s="63" t="str">
        <f t="shared" ref="D119:D150" si="61">R9</f>
        <v/>
      </c>
      <c r="E119" s="63" t="str">
        <f t="shared" ref="E119:E150" si="62">Z9</f>
        <v/>
      </c>
      <c r="F119" s="63" t="str">
        <f t="shared" ref="F119:F150" si="63">AH9</f>
        <v/>
      </c>
      <c r="G119" s="63" t="str">
        <f t="shared" ref="G119:G150" si="64">AP9</f>
        <v/>
      </c>
      <c r="H119" s="63" t="str">
        <f t="shared" ref="H119:H150" si="65">AX9</f>
        <v/>
      </c>
      <c r="I119" s="63" t="str">
        <f t="shared" ref="I119:I150" si="66">BF9</f>
        <v/>
      </c>
      <c r="J119" s="63" t="str">
        <f t="shared" ref="J119:J150" si="67">BN9</f>
        <v/>
      </c>
      <c r="K119" s="63" t="str">
        <f t="shared" ref="K119:K150" si="68">BV9</f>
        <v/>
      </c>
      <c r="L119" s="63" t="str">
        <f t="shared" ref="L119:L150" si="69">CD9</f>
        <v/>
      </c>
      <c r="M119" s="63" t="str">
        <f t="shared" ref="M119:M150" si="70">CL9</f>
        <v/>
      </c>
      <c r="N119" s="165" t="str">
        <f t="shared" ref="N119:N150" si="71">CT9</f>
        <v/>
      </c>
      <c r="O119" s="166">
        <f>SUM(Table25[[#This Row],[M1-1]:[M18-13]])</f>
        <v>0</v>
      </c>
    </row>
    <row r="120" spans="1:98" ht="40" customHeight="1" x14ac:dyDescent="0.15">
      <c r="A120" s="167" t="s">
        <v>56</v>
      </c>
      <c r="B120" s="168" t="s">
        <v>57</v>
      </c>
      <c r="C120" s="63" t="str">
        <f t="shared" si="60"/>
        <v/>
      </c>
      <c r="D120" s="63" t="str">
        <f t="shared" si="61"/>
        <v/>
      </c>
      <c r="E120" s="63" t="str">
        <f t="shared" si="62"/>
        <v/>
      </c>
      <c r="F120" s="63" t="str">
        <f t="shared" si="63"/>
        <v/>
      </c>
      <c r="G120" s="63" t="str">
        <f t="shared" si="64"/>
        <v/>
      </c>
      <c r="H120" s="63" t="str">
        <f t="shared" si="65"/>
        <v/>
      </c>
      <c r="I120" s="63" t="str">
        <f t="shared" si="66"/>
        <v/>
      </c>
      <c r="J120" s="63" t="str">
        <f t="shared" si="67"/>
        <v/>
      </c>
      <c r="K120" s="63" t="str">
        <f t="shared" si="68"/>
        <v/>
      </c>
      <c r="L120" s="63" t="str">
        <f t="shared" si="69"/>
        <v/>
      </c>
      <c r="M120" s="63" t="str">
        <f t="shared" si="70"/>
        <v/>
      </c>
      <c r="N120" s="165" t="str">
        <f t="shared" si="71"/>
        <v/>
      </c>
      <c r="O120" s="165">
        <f>SUM(Table25[[#This Row],[M1-1]:[M18-13]])</f>
        <v>0</v>
      </c>
    </row>
    <row r="121" spans="1:98" ht="40" customHeight="1" x14ac:dyDescent="0.15">
      <c r="A121" s="169" t="s">
        <v>58</v>
      </c>
      <c r="B121" s="170" t="s">
        <v>59</v>
      </c>
      <c r="C121" s="63" t="str">
        <f t="shared" si="60"/>
        <v/>
      </c>
      <c r="D121" s="63" t="str">
        <f t="shared" si="61"/>
        <v/>
      </c>
      <c r="E121" s="63" t="str">
        <f t="shared" si="62"/>
        <v/>
      </c>
      <c r="F121" s="63" t="str">
        <f t="shared" si="63"/>
        <v/>
      </c>
      <c r="G121" s="63" t="str">
        <f t="shared" si="64"/>
        <v/>
      </c>
      <c r="H121" s="63" t="str">
        <f t="shared" si="65"/>
        <v/>
      </c>
      <c r="I121" s="63" t="str">
        <f t="shared" si="66"/>
        <v/>
      </c>
      <c r="J121" s="63" t="str">
        <f t="shared" si="67"/>
        <v/>
      </c>
      <c r="K121" s="63" t="str">
        <f t="shared" si="68"/>
        <v/>
      </c>
      <c r="L121" s="63" t="str">
        <f t="shared" si="69"/>
        <v/>
      </c>
      <c r="M121" s="63" t="str">
        <f t="shared" si="70"/>
        <v/>
      </c>
      <c r="N121" s="165" t="str">
        <f t="shared" si="71"/>
        <v/>
      </c>
      <c r="O121" s="165">
        <f>SUM(Table25[[#This Row],[M1-1]:[M18-13]])</f>
        <v>0</v>
      </c>
    </row>
    <row r="122" spans="1:98" ht="40" customHeight="1" x14ac:dyDescent="0.15">
      <c r="A122" s="167" t="s">
        <v>60</v>
      </c>
      <c r="B122" s="168" t="s">
        <v>61</v>
      </c>
      <c r="C122" s="63" t="str">
        <f t="shared" si="60"/>
        <v/>
      </c>
      <c r="D122" s="63" t="str">
        <f t="shared" si="61"/>
        <v/>
      </c>
      <c r="E122" s="63" t="str">
        <f t="shared" si="62"/>
        <v/>
      </c>
      <c r="F122" s="63" t="str">
        <f t="shared" si="63"/>
        <v/>
      </c>
      <c r="G122" s="63" t="str">
        <f t="shared" si="64"/>
        <v/>
      </c>
      <c r="H122" s="63" t="str">
        <f t="shared" si="65"/>
        <v/>
      </c>
      <c r="I122" s="63" t="str">
        <f t="shared" si="66"/>
        <v/>
      </c>
      <c r="J122" s="63" t="str">
        <f t="shared" si="67"/>
        <v/>
      </c>
      <c r="K122" s="63" t="str">
        <f t="shared" si="68"/>
        <v/>
      </c>
      <c r="L122" s="63" t="str">
        <f t="shared" si="69"/>
        <v/>
      </c>
      <c r="M122" s="63" t="str">
        <f t="shared" si="70"/>
        <v/>
      </c>
      <c r="N122" s="165" t="str">
        <f t="shared" si="71"/>
        <v/>
      </c>
      <c r="O122" s="165">
        <f>SUM(Table25[[#This Row],[M1-1]:[M18-13]])</f>
        <v>0</v>
      </c>
    </row>
    <row r="123" spans="1:98" ht="40" customHeight="1" x14ac:dyDescent="0.15">
      <c r="A123" s="169" t="s">
        <v>62</v>
      </c>
      <c r="B123" s="170" t="s">
        <v>63</v>
      </c>
      <c r="C123" s="63" t="str">
        <f t="shared" si="60"/>
        <v/>
      </c>
      <c r="D123" s="63" t="str">
        <f t="shared" si="61"/>
        <v/>
      </c>
      <c r="E123" s="63" t="str">
        <f t="shared" si="62"/>
        <v/>
      </c>
      <c r="F123" s="63" t="str">
        <f t="shared" si="63"/>
        <v/>
      </c>
      <c r="G123" s="63" t="str">
        <f t="shared" si="64"/>
        <v/>
      </c>
      <c r="H123" s="63" t="str">
        <f t="shared" si="65"/>
        <v/>
      </c>
      <c r="I123" s="63" t="str">
        <f t="shared" si="66"/>
        <v/>
      </c>
      <c r="J123" s="63" t="str">
        <f t="shared" si="67"/>
        <v/>
      </c>
      <c r="K123" s="63" t="str">
        <f t="shared" si="68"/>
        <v/>
      </c>
      <c r="L123" s="63" t="str">
        <f t="shared" si="69"/>
        <v/>
      </c>
      <c r="M123" s="63" t="str">
        <f t="shared" si="70"/>
        <v/>
      </c>
      <c r="N123" s="165" t="str">
        <f t="shared" si="71"/>
        <v/>
      </c>
      <c r="O123" s="165">
        <f>SUM(Table25[[#This Row],[M1-1]:[M18-13]])</f>
        <v>0</v>
      </c>
    </row>
    <row r="124" spans="1:98" ht="40" customHeight="1" x14ac:dyDescent="0.15">
      <c r="A124" s="167" t="s">
        <v>64</v>
      </c>
      <c r="B124" s="168" t="s">
        <v>65</v>
      </c>
      <c r="C124" s="63" t="str">
        <f t="shared" si="60"/>
        <v/>
      </c>
      <c r="D124" s="63" t="str">
        <f t="shared" si="61"/>
        <v/>
      </c>
      <c r="E124" s="63" t="str">
        <f t="shared" si="62"/>
        <v/>
      </c>
      <c r="F124" s="63" t="str">
        <f t="shared" si="63"/>
        <v/>
      </c>
      <c r="G124" s="63" t="str">
        <f t="shared" si="64"/>
        <v/>
      </c>
      <c r="H124" s="63" t="str">
        <f t="shared" si="65"/>
        <v/>
      </c>
      <c r="I124" s="63" t="str">
        <f t="shared" si="66"/>
        <v/>
      </c>
      <c r="J124" s="63" t="str">
        <f t="shared" si="67"/>
        <v/>
      </c>
      <c r="K124" s="63" t="str">
        <f t="shared" si="68"/>
        <v/>
      </c>
      <c r="L124" s="63" t="str">
        <f t="shared" si="69"/>
        <v/>
      </c>
      <c r="M124" s="63" t="str">
        <f t="shared" si="70"/>
        <v/>
      </c>
      <c r="N124" s="165" t="str">
        <f t="shared" si="71"/>
        <v/>
      </c>
      <c r="O124" s="165">
        <f>SUM(Table25[[#This Row],[M1-1]:[M18-13]])</f>
        <v>0</v>
      </c>
    </row>
    <row r="125" spans="1:98" ht="40" customHeight="1" x14ac:dyDescent="0.15">
      <c r="A125" s="163" t="s">
        <v>66</v>
      </c>
      <c r="B125" s="164"/>
      <c r="C125" s="63" t="str">
        <f t="shared" si="60"/>
        <v/>
      </c>
      <c r="D125" s="63" t="str">
        <f t="shared" si="61"/>
        <v/>
      </c>
      <c r="E125" s="63" t="str">
        <f t="shared" si="62"/>
        <v/>
      </c>
      <c r="F125" s="63" t="str">
        <f t="shared" si="63"/>
        <v/>
      </c>
      <c r="G125" s="63" t="str">
        <f t="shared" si="64"/>
        <v/>
      </c>
      <c r="H125" s="63" t="str">
        <f t="shared" si="65"/>
        <v/>
      </c>
      <c r="I125" s="63" t="str">
        <f t="shared" si="66"/>
        <v/>
      </c>
      <c r="J125" s="63" t="str">
        <f t="shared" si="67"/>
        <v/>
      </c>
      <c r="K125" s="63" t="str">
        <f t="shared" si="68"/>
        <v/>
      </c>
      <c r="L125" s="63" t="str">
        <f t="shared" si="69"/>
        <v/>
      </c>
      <c r="M125" s="63" t="str">
        <f t="shared" si="70"/>
        <v/>
      </c>
      <c r="N125" s="165" t="str">
        <f t="shared" si="71"/>
        <v/>
      </c>
      <c r="O125" s="165">
        <f>SUM(Table25[[#This Row],[M1-1]:[M18-13]])</f>
        <v>0</v>
      </c>
    </row>
    <row r="126" spans="1:98" ht="40" customHeight="1" x14ac:dyDescent="0.15">
      <c r="A126" s="169" t="s">
        <v>67</v>
      </c>
      <c r="B126" s="170" t="s">
        <v>66</v>
      </c>
      <c r="C126" s="63" t="str">
        <f t="shared" si="60"/>
        <v/>
      </c>
      <c r="D126" s="63" t="str">
        <f t="shared" si="61"/>
        <v/>
      </c>
      <c r="E126" s="63" t="str">
        <f t="shared" si="62"/>
        <v/>
      </c>
      <c r="F126" s="63" t="str">
        <f t="shared" si="63"/>
        <v/>
      </c>
      <c r="G126" s="63" t="str">
        <f t="shared" si="64"/>
        <v/>
      </c>
      <c r="H126" s="63" t="str">
        <f t="shared" si="65"/>
        <v/>
      </c>
      <c r="I126" s="63" t="str">
        <f t="shared" si="66"/>
        <v/>
      </c>
      <c r="J126" s="63" t="str">
        <f t="shared" si="67"/>
        <v/>
      </c>
      <c r="K126" s="63" t="str">
        <f t="shared" si="68"/>
        <v/>
      </c>
      <c r="L126" s="63" t="str">
        <f t="shared" si="69"/>
        <v/>
      </c>
      <c r="M126" s="63" t="str">
        <f t="shared" si="70"/>
        <v/>
      </c>
      <c r="N126" s="165" t="str">
        <f t="shared" si="71"/>
        <v/>
      </c>
      <c r="O126" s="165">
        <f>SUM(Table25[[#This Row],[M1-1]:[M18-13]])</f>
        <v>0</v>
      </c>
    </row>
    <row r="127" spans="1:98" ht="40" customHeight="1" x14ac:dyDescent="0.15">
      <c r="A127" s="163" t="s">
        <v>68</v>
      </c>
      <c r="B127" s="164"/>
      <c r="C127" s="63" t="str">
        <f t="shared" si="60"/>
        <v/>
      </c>
      <c r="D127" s="63" t="str">
        <f t="shared" si="61"/>
        <v/>
      </c>
      <c r="E127" s="63" t="str">
        <f t="shared" si="62"/>
        <v/>
      </c>
      <c r="F127" s="63" t="str">
        <f t="shared" si="63"/>
        <v/>
      </c>
      <c r="G127" s="63" t="str">
        <f t="shared" si="64"/>
        <v/>
      </c>
      <c r="H127" s="63" t="str">
        <f t="shared" si="65"/>
        <v/>
      </c>
      <c r="I127" s="63" t="str">
        <f t="shared" si="66"/>
        <v/>
      </c>
      <c r="J127" s="63" t="str">
        <f t="shared" si="67"/>
        <v/>
      </c>
      <c r="K127" s="63" t="str">
        <f t="shared" si="68"/>
        <v/>
      </c>
      <c r="L127" s="63" t="str">
        <f t="shared" si="69"/>
        <v/>
      </c>
      <c r="M127" s="63" t="str">
        <f t="shared" si="70"/>
        <v/>
      </c>
      <c r="N127" s="165" t="str">
        <f t="shared" si="71"/>
        <v/>
      </c>
      <c r="O127" s="165">
        <f>SUM(Table25[[#This Row],[M1-1]:[M18-13]])</f>
        <v>0</v>
      </c>
    </row>
    <row r="128" spans="1:98" ht="40" customHeight="1" x14ac:dyDescent="0.15">
      <c r="A128" s="169" t="s">
        <v>69</v>
      </c>
      <c r="B128" s="170" t="s">
        <v>70</v>
      </c>
      <c r="C128" s="63" t="str">
        <f t="shared" si="60"/>
        <v/>
      </c>
      <c r="D128" s="63" t="str">
        <f t="shared" si="61"/>
        <v/>
      </c>
      <c r="E128" s="63" t="str">
        <f t="shared" si="62"/>
        <v/>
      </c>
      <c r="F128" s="63" t="str">
        <f t="shared" si="63"/>
        <v/>
      </c>
      <c r="G128" s="63" t="str">
        <f t="shared" si="64"/>
        <v/>
      </c>
      <c r="H128" s="63" t="str">
        <f t="shared" si="65"/>
        <v/>
      </c>
      <c r="I128" s="63" t="str">
        <f t="shared" si="66"/>
        <v/>
      </c>
      <c r="J128" s="63" t="str">
        <f t="shared" si="67"/>
        <v/>
      </c>
      <c r="K128" s="63" t="str">
        <f t="shared" si="68"/>
        <v/>
      </c>
      <c r="L128" s="63" t="str">
        <f t="shared" si="69"/>
        <v/>
      </c>
      <c r="M128" s="63" t="str">
        <f t="shared" si="70"/>
        <v/>
      </c>
      <c r="N128" s="165" t="str">
        <f t="shared" si="71"/>
        <v/>
      </c>
      <c r="O128" s="165">
        <f>SUM(Table25[[#This Row],[M1-1]:[M18-13]])</f>
        <v>0</v>
      </c>
    </row>
    <row r="129" spans="1:15" ht="40" customHeight="1" x14ac:dyDescent="0.15">
      <c r="A129" s="167" t="s">
        <v>71</v>
      </c>
      <c r="B129" s="168" t="s">
        <v>72</v>
      </c>
      <c r="C129" s="63" t="str">
        <f t="shared" si="60"/>
        <v/>
      </c>
      <c r="D129" s="63" t="str">
        <f t="shared" si="61"/>
        <v/>
      </c>
      <c r="E129" s="63" t="str">
        <f t="shared" si="62"/>
        <v/>
      </c>
      <c r="F129" s="63" t="str">
        <f t="shared" si="63"/>
        <v/>
      </c>
      <c r="G129" s="63" t="str">
        <f t="shared" si="64"/>
        <v/>
      </c>
      <c r="H129" s="63" t="str">
        <f t="shared" si="65"/>
        <v/>
      </c>
      <c r="I129" s="63" t="str">
        <f t="shared" si="66"/>
        <v/>
      </c>
      <c r="J129" s="63" t="str">
        <f t="shared" si="67"/>
        <v/>
      </c>
      <c r="K129" s="63" t="str">
        <f t="shared" si="68"/>
        <v/>
      </c>
      <c r="L129" s="63" t="str">
        <f t="shared" si="69"/>
        <v/>
      </c>
      <c r="M129" s="63" t="str">
        <f t="shared" si="70"/>
        <v/>
      </c>
      <c r="N129" s="165" t="str">
        <f t="shared" si="71"/>
        <v/>
      </c>
      <c r="O129" s="165">
        <f>SUM(Table25[[#This Row],[M1-1]:[M18-13]])</f>
        <v>0</v>
      </c>
    </row>
    <row r="130" spans="1:15" ht="40" customHeight="1" x14ac:dyDescent="0.15">
      <c r="A130" s="169" t="s">
        <v>73</v>
      </c>
      <c r="B130" s="170" t="s">
        <v>74</v>
      </c>
      <c r="C130" s="63" t="str">
        <f t="shared" si="60"/>
        <v/>
      </c>
      <c r="D130" s="63" t="str">
        <f t="shared" si="61"/>
        <v/>
      </c>
      <c r="E130" s="63" t="str">
        <f t="shared" si="62"/>
        <v/>
      </c>
      <c r="F130" s="63" t="str">
        <f t="shared" si="63"/>
        <v/>
      </c>
      <c r="G130" s="63" t="str">
        <f t="shared" si="64"/>
        <v/>
      </c>
      <c r="H130" s="63" t="str">
        <f t="shared" si="65"/>
        <v/>
      </c>
      <c r="I130" s="63" t="str">
        <f t="shared" si="66"/>
        <v/>
      </c>
      <c r="J130" s="63" t="str">
        <f t="shared" si="67"/>
        <v/>
      </c>
      <c r="K130" s="63" t="str">
        <f t="shared" si="68"/>
        <v/>
      </c>
      <c r="L130" s="63" t="str">
        <f t="shared" si="69"/>
        <v/>
      </c>
      <c r="M130" s="63" t="str">
        <f t="shared" si="70"/>
        <v/>
      </c>
      <c r="N130" s="165" t="str">
        <f t="shared" si="71"/>
        <v/>
      </c>
      <c r="O130" s="165">
        <f>SUM(Table25[[#This Row],[M1-1]:[M18-13]])</f>
        <v>0</v>
      </c>
    </row>
    <row r="131" spans="1:15" ht="40" customHeight="1" x14ac:dyDescent="0.15">
      <c r="A131" s="167" t="s">
        <v>75</v>
      </c>
      <c r="B131" s="168" t="s">
        <v>76</v>
      </c>
      <c r="C131" s="63" t="str">
        <f t="shared" si="60"/>
        <v/>
      </c>
      <c r="D131" s="63" t="str">
        <f t="shared" si="61"/>
        <v/>
      </c>
      <c r="E131" s="63" t="str">
        <f t="shared" si="62"/>
        <v/>
      </c>
      <c r="F131" s="63" t="str">
        <f t="shared" si="63"/>
        <v/>
      </c>
      <c r="G131" s="63" t="str">
        <f t="shared" si="64"/>
        <v/>
      </c>
      <c r="H131" s="63" t="str">
        <f t="shared" si="65"/>
        <v/>
      </c>
      <c r="I131" s="63" t="str">
        <f t="shared" si="66"/>
        <v/>
      </c>
      <c r="J131" s="63" t="str">
        <f t="shared" si="67"/>
        <v/>
      </c>
      <c r="K131" s="63" t="str">
        <f t="shared" si="68"/>
        <v/>
      </c>
      <c r="L131" s="63" t="str">
        <f t="shared" si="69"/>
        <v/>
      </c>
      <c r="M131" s="63" t="str">
        <f t="shared" si="70"/>
        <v/>
      </c>
      <c r="N131" s="165" t="str">
        <f t="shared" si="71"/>
        <v/>
      </c>
      <c r="O131" s="165">
        <f>SUM(Table25[[#This Row],[M1-1]:[M18-13]])</f>
        <v>0</v>
      </c>
    </row>
    <row r="132" spans="1:15" ht="40" customHeight="1" x14ac:dyDescent="0.15">
      <c r="A132" s="167" t="s">
        <v>77</v>
      </c>
      <c r="B132" s="168" t="s">
        <v>78</v>
      </c>
      <c r="C132" s="63" t="str">
        <f t="shared" si="60"/>
        <v/>
      </c>
      <c r="D132" s="63" t="str">
        <f t="shared" si="61"/>
        <v/>
      </c>
      <c r="E132" s="63" t="str">
        <f t="shared" si="62"/>
        <v/>
      </c>
      <c r="F132" s="63" t="str">
        <f t="shared" si="63"/>
        <v/>
      </c>
      <c r="G132" s="63" t="str">
        <f t="shared" si="64"/>
        <v/>
      </c>
      <c r="H132" s="63" t="str">
        <f t="shared" si="65"/>
        <v/>
      </c>
      <c r="I132" s="63" t="str">
        <f t="shared" si="66"/>
        <v/>
      </c>
      <c r="J132" s="63" t="str">
        <f t="shared" si="67"/>
        <v/>
      </c>
      <c r="K132" s="63" t="str">
        <f t="shared" si="68"/>
        <v/>
      </c>
      <c r="L132" s="63" t="str">
        <f t="shared" si="69"/>
        <v/>
      </c>
      <c r="M132" s="63" t="str">
        <f t="shared" si="70"/>
        <v/>
      </c>
      <c r="N132" s="165" t="str">
        <f t="shared" si="71"/>
        <v/>
      </c>
      <c r="O132" s="165">
        <f>SUM(Table25[[#This Row],[M1-1]:[M18-13]])</f>
        <v>0</v>
      </c>
    </row>
    <row r="133" spans="1:15" ht="40" customHeight="1" x14ac:dyDescent="0.15">
      <c r="A133" s="169" t="s">
        <v>79</v>
      </c>
      <c r="B133" s="170" t="s">
        <v>80</v>
      </c>
      <c r="C133" s="63" t="str">
        <f t="shared" si="60"/>
        <v/>
      </c>
      <c r="D133" s="63" t="str">
        <f t="shared" si="61"/>
        <v/>
      </c>
      <c r="E133" s="63" t="str">
        <f t="shared" si="62"/>
        <v/>
      </c>
      <c r="F133" s="63" t="str">
        <f t="shared" si="63"/>
        <v/>
      </c>
      <c r="G133" s="63" t="str">
        <f t="shared" si="64"/>
        <v/>
      </c>
      <c r="H133" s="63" t="str">
        <f t="shared" si="65"/>
        <v/>
      </c>
      <c r="I133" s="63" t="str">
        <f t="shared" si="66"/>
        <v/>
      </c>
      <c r="J133" s="63" t="str">
        <f t="shared" si="67"/>
        <v/>
      </c>
      <c r="K133" s="63" t="str">
        <f t="shared" si="68"/>
        <v/>
      </c>
      <c r="L133" s="63" t="str">
        <f t="shared" si="69"/>
        <v/>
      </c>
      <c r="M133" s="63" t="str">
        <f t="shared" si="70"/>
        <v/>
      </c>
      <c r="N133" s="165" t="str">
        <f t="shared" si="71"/>
        <v/>
      </c>
      <c r="O133" s="165">
        <f>SUM(Table25[[#This Row],[M1-1]:[M18-13]])</f>
        <v>0</v>
      </c>
    </row>
    <row r="134" spans="1:15" ht="40" customHeight="1" x14ac:dyDescent="0.15">
      <c r="A134" s="163" t="s">
        <v>81</v>
      </c>
      <c r="B134" s="164"/>
      <c r="C134" s="63" t="str">
        <f t="shared" si="60"/>
        <v/>
      </c>
      <c r="D134" s="63" t="str">
        <f t="shared" si="61"/>
        <v/>
      </c>
      <c r="E134" s="63" t="str">
        <f t="shared" si="62"/>
        <v/>
      </c>
      <c r="F134" s="63" t="str">
        <f t="shared" si="63"/>
        <v/>
      </c>
      <c r="G134" s="63" t="str">
        <f t="shared" si="64"/>
        <v/>
      </c>
      <c r="H134" s="63" t="str">
        <f t="shared" si="65"/>
        <v/>
      </c>
      <c r="I134" s="63" t="str">
        <f t="shared" si="66"/>
        <v/>
      </c>
      <c r="J134" s="63" t="str">
        <f t="shared" si="67"/>
        <v/>
      </c>
      <c r="K134" s="63" t="str">
        <f t="shared" si="68"/>
        <v/>
      </c>
      <c r="L134" s="63" t="str">
        <f t="shared" si="69"/>
        <v/>
      </c>
      <c r="M134" s="63" t="str">
        <f t="shared" si="70"/>
        <v/>
      </c>
      <c r="N134" s="165" t="str">
        <f t="shared" si="71"/>
        <v/>
      </c>
      <c r="O134" s="165">
        <f>SUM(Table25[[#This Row],[M1-1]:[M18-13]])</f>
        <v>0</v>
      </c>
    </row>
    <row r="135" spans="1:15" ht="40" customHeight="1" x14ac:dyDescent="0.15">
      <c r="A135" s="167" t="s">
        <v>82</v>
      </c>
      <c r="B135" s="168" t="s">
        <v>83</v>
      </c>
      <c r="C135" s="63" t="str">
        <f t="shared" si="60"/>
        <v/>
      </c>
      <c r="D135" s="63" t="str">
        <f t="shared" si="61"/>
        <v/>
      </c>
      <c r="E135" s="63" t="str">
        <f t="shared" si="62"/>
        <v/>
      </c>
      <c r="F135" s="63" t="str">
        <f t="shared" si="63"/>
        <v/>
      </c>
      <c r="G135" s="63" t="str">
        <f t="shared" si="64"/>
        <v/>
      </c>
      <c r="H135" s="63" t="str">
        <f t="shared" si="65"/>
        <v/>
      </c>
      <c r="I135" s="63" t="str">
        <f t="shared" si="66"/>
        <v/>
      </c>
      <c r="J135" s="63" t="str">
        <f t="shared" si="67"/>
        <v/>
      </c>
      <c r="K135" s="63" t="str">
        <f t="shared" si="68"/>
        <v/>
      </c>
      <c r="L135" s="63" t="str">
        <f t="shared" si="69"/>
        <v/>
      </c>
      <c r="M135" s="63" t="str">
        <f t="shared" si="70"/>
        <v/>
      </c>
      <c r="N135" s="165" t="str">
        <f t="shared" si="71"/>
        <v/>
      </c>
      <c r="O135" s="165">
        <f>SUM(Table25[[#This Row],[M1-1]:[M18-13]])</f>
        <v>0</v>
      </c>
    </row>
    <row r="136" spans="1:15" ht="40" customHeight="1" x14ac:dyDescent="0.15">
      <c r="A136" s="163" t="s">
        <v>84</v>
      </c>
      <c r="B136" s="164"/>
      <c r="C136" s="63" t="str">
        <f t="shared" si="60"/>
        <v/>
      </c>
      <c r="D136" s="63" t="str">
        <f t="shared" si="61"/>
        <v/>
      </c>
      <c r="E136" s="63" t="str">
        <f t="shared" si="62"/>
        <v/>
      </c>
      <c r="F136" s="63" t="str">
        <f t="shared" si="63"/>
        <v/>
      </c>
      <c r="G136" s="63" t="str">
        <f t="shared" si="64"/>
        <v/>
      </c>
      <c r="H136" s="63" t="str">
        <f t="shared" si="65"/>
        <v/>
      </c>
      <c r="I136" s="63" t="str">
        <f t="shared" si="66"/>
        <v/>
      </c>
      <c r="J136" s="63" t="str">
        <f t="shared" si="67"/>
        <v/>
      </c>
      <c r="K136" s="63" t="str">
        <f t="shared" si="68"/>
        <v/>
      </c>
      <c r="L136" s="63" t="str">
        <f t="shared" si="69"/>
        <v/>
      </c>
      <c r="M136" s="63" t="str">
        <f t="shared" si="70"/>
        <v/>
      </c>
      <c r="N136" s="165" t="str">
        <f t="shared" si="71"/>
        <v/>
      </c>
      <c r="O136" s="165">
        <f>SUM(Table25[[#This Row],[M1-1]:[M18-13]])</f>
        <v>0</v>
      </c>
    </row>
    <row r="137" spans="1:15" ht="40" customHeight="1" x14ac:dyDescent="0.15">
      <c r="A137" s="167" t="s">
        <v>85</v>
      </c>
      <c r="B137" s="168" t="s">
        <v>86</v>
      </c>
      <c r="C137" s="63" t="str">
        <f t="shared" si="60"/>
        <v/>
      </c>
      <c r="D137" s="63" t="str">
        <f t="shared" si="61"/>
        <v/>
      </c>
      <c r="E137" s="63" t="str">
        <f t="shared" si="62"/>
        <v/>
      </c>
      <c r="F137" s="63" t="str">
        <f t="shared" si="63"/>
        <v/>
      </c>
      <c r="G137" s="63" t="str">
        <f t="shared" si="64"/>
        <v/>
      </c>
      <c r="H137" s="63" t="str">
        <f t="shared" si="65"/>
        <v/>
      </c>
      <c r="I137" s="63" t="str">
        <f t="shared" si="66"/>
        <v/>
      </c>
      <c r="J137" s="63" t="str">
        <f t="shared" si="67"/>
        <v/>
      </c>
      <c r="K137" s="63" t="str">
        <f t="shared" si="68"/>
        <v/>
      </c>
      <c r="L137" s="63" t="str">
        <f t="shared" si="69"/>
        <v/>
      </c>
      <c r="M137" s="63" t="str">
        <f t="shared" si="70"/>
        <v/>
      </c>
      <c r="N137" s="165" t="str">
        <f t="shared" si="71"/>
        <v/>
      </c>
      <c r="O137" s="165">
        <f>SUM(Table25[[#This Row],[M1-1]:[M18-13]])</f>
        <v>0</v>
      </c>
    </row>
    <row r="138" spans="1:15" ht="40" customHeight="1" x14ac:dyDescent="0.15">
      <c r="A138" s="169" t="s">
        <v>87</v>
      </c>
      <c r="B138" s="170" t="s">
        <v>88</v>
      </c>
      <c r="C138" s="63" t="str">
        <f t="shared" si="60"/>
        <v/>
      </c>
      <c r="D138" s="63" t="str">
        <f t="shared" si="61"/>
        <v/>
      </c>
      <c r="E138" s="63" t="str">
        <f t="shared" si="62"/>
        <v/>
      </c>
      <c r="F138" s="63" t="str">
        <f t="shared" si="63"/>
        <v/>
      </c>
      <c r="G138" s="63" t="str">
        <f t="shared" si="64"/>
        <v/>
      </c>
      <c r="H138" s="63" t="str">
        <f t="shared" si="65"/>
        <v/>
      </c>
      <c r="I138" s="63" t="str">
        <f t="shared" si="66"/>
        <v/>
      </c>
      <c r="J138" s="63" t="str">
        <f t="shared" si="67"/>
        <v/>
      </c>
      <c r="K138" s="63" t="str">
        <f t="shared" si="68"/>
        <v/>
      </c>
      <c r="L138" s="63" t="str">
        <f t="shared" si="69"/>
        <v/>
      </c>
      <c r="M138" s="63" t="str">
        <f t="shared" si="70"/>
        <v/>
      </c>
      <c r="N138" s="165" t="str">
        <f t="shared" si="71"/>
        <v/>
      </c>
      <c r="O138" s="165">
        <f>SUM(Table25[[#This Row],[M1-1]:[M18-13]])</f>
        <v>0</v>
      </c>
    </row>
    <row r="139" spans="1:15" ht="40" customHeight="1" x14ac:dyDescent="0.15">
      <c r="A139" s="167" t="s">
        <v>89</v>
      </c>
      <c r="B139" s="168" t="s">
        <v>90</v>
      </c>
      <c r="C139" s="63" t="str">
        <f t="shared" si="60"/>
        <v/>
      </c>
      <c r="D139" s="63" t="str">
        <f t="shared" si="61"/>
        <v/>
      </c>
      <c r="E139" s="63" t="str">
        <f t="shared" si="62"/>
        <v/>
      </c>
      <c r="F139" s="63" t="str">
        <f t="shared" si="63"/>
        <v/>
      </c>
      <c r="G139" s="63" t="str">
        <f t="shared" si="64"/>
        <v/>
      </c>
      <c r="H139" s="63" t="str">
        <f t="shared" si="65"/>
        <v/>
      </c>
      <c r="I139" s="63" t="str">
        <f t="shared" si="66"/>
        <v/>
      </c>
      <c r="J139" s="63" t="str">
        <f t="shared" si="67"/>
        <v/>
      </c>
      <c r="K139" s="63" t="str">
        <f t="shared" si="68"/>
        <v/>
      </c>
      <c r="L139" s="63" t="str">
        <f t="shared" si="69"/>
        <v/>
      </c>
      <c r="M139" s="63" t="str">
        <f t="shared" si="70"/>
        <v/>
      </c>
      <c r="N139" s="165" t="str">
        <f t="shared" si="71"/>
        <v/>
      </c>
      <c r="O139" s="165">
        <f>SUM(Table25[[#This Row],[M1-1]:[M18-13]])</f>
        <v>0</v>
      </c>
    </row>
    <row r="140" spans="1:15" ht="40" customHeight="1" x14ac:dyDescent="0.15">
      <c r="A140" s="169" t="s">
        <v>91</v>
      </c>
      <c r="B140" s="170" t="s">
        <v>92</v>
      </c>
      <c r="C140" s="63" t="str">
        <f t="shared" si="60"/>
        <v/>
      </c>
      <c r="D140" s="63" t="str">
        <f t="shared" si="61"/>
        <v/>
      </c>
      <c r="E140" s="63" t="str">
        <f t="shared" si="62"/>
        <v/>
      </c>
      <c r="F140" s="63" t="str">
        <f t="shared" si="63"/>
        <v/>
      </c>
      <c r="G140" s="63" t="str">
        <f t="shared" si="64"/>
        <v/>
      </c>
      <c r="H140" s="63" t="str">
        <f t="shared" si="65"/>
        <v/>
      </c>
      <c r="I140" s="63" t="str">
        <f t="shared" si="66"/>
        <v/>
      </c>
      <c r="J140" s="63" t="str">
        <f t="shared" si="67"/>
        <v/>
      </c>
      <c r="K140" s="63" t="str">
        <f t="shared" si="68"/>
        <v/>
      </c>
      <c r="L140" s="63" t="str">
        <f t="shared" si="69"/>
        <v/>
      </c>
      <c r="M140" s="63" t="str">
        <f t="shared" si="70"/>
        <v/>
      </c>
      <c r="N140" s="165" t="str">
        <f t="shared" si="71"/>
        <v/>
      </c>
      <c r="O140" s="165">
        <f>SUM(Table25[[#This Row],[M1-1]:[M18-13]])</f>
        <v>0</v>
      </c>
    </row>
    <row r="141" spans="1:15" ht="40" customHeight="1" x14ac:dyDescent="0.15">
      <c r="A141" s="167" t="s">
        <v>93</v>
      </c>
      <c r="B141" s="168" t="s">
        <v>94</v>
      </c>
      <c r="C141" s="63" t="str">
        <f t="shared" si="60"/>
        <v/>
      </c>
      <c r="D141" s="63" t="str">
        <f t="shared" si="61"/>
        <v/>
      </c>
      <c r="E141" s="63" t="str">
        <f t="shared" si="62"/>
        <v/>
      </c>
      <c r="F141" s="63" t="str">
        <f t="shared" si="63"/>
        <v/>
      </c>
      <c r="G141" s="63" t="str">
        <f t="shared" si="64"/>
        <v/>
      </c>
      <c r="H141" s="63" t="str">
        <f t="shared" si="65"/>
        <v/>
      </c>
      <c r="I141" s="63" t="str">
        <f t="shared" si="66"/>
        <v/>
      </c>
      <c r="J141" s="63" t="str">
        <f t="shared" si="67"/>
        <v/>
      </c>
      <c r="K141" s="63" t="str">
        <f t="shared" si="68"/>
        <v/>
      </c>
      <c r="L141" s="63" t="str">
        <f t="shared" si="69"/>
        <v/>
      </c>
      <c r="M141" s="63" t="str">
        <f t="shared" si="70"/>
        <v/>
      </c>
      <c r="N141" s="165" t="str">
        <f t="shared" si="71"/>
        <v/>
      </c>
      <c r="O141" s="165">
        <f>SUM(Table25[[#This Row],[M1-1]:[M18-13]])</f>
        <v>0</v>
      </c>
    </row>
    <row r="142" spans="1:15" ht="40" customHeight="1" x14ac:dyDescent="0.15">
      <c r="A142" s="169" t="s">
        <v>95</v>
      </c>
      <c r="B142" s="170" t="s">
        <v>96</v>
      </c>
      <c r="C142" s="63" t="str">
        <f t="shared" si="60"/>
        <v/>
      </c>
      <c r="D142" s="63" t="str">
        <f t="shared" si="61"/>
        <v/>
      </c>
      <c r="E142" s="63" t="str">
        <f t="shared" si="62"/>
        <v/>
      </c>
      <c r="F142" s="63" t="str">
        <f t="shared" si="63"/>
        <v/>
      </c>
      <c r="G142" s="63" t="str">
        <f t="shared" si="64"/>
        <v/>
      </c>
      <c r="H142" s="63" t="str">
        <f t="shared" si="65"/>
        <v/>
      </c>
      <c r="I142" s="63" t="str">
        <f t="shared" si="66"/>
        <v/>
      </c>
      <c r="J142" s="63" t="str">
        <f t="shared" si="67"/>
        <v/>
      </c>
      <c r="K142" s="63" t="str">
        <f t="shared" si="68"/>
        <v/>
      </c>
      <c r="L142" s="63" t="str">
        <f t="shared" si="69"/>
        <v/>
      </c>
      <c r="M142" s="63" t="str">
        <f t="shared" si="70"/>
        <v/>
      </c>
      <c r="N142" s="165" t="str">
        <f t="shared" si="71"/>
        <v/>
      </c>
      <c r="O142" s="165">
        <f>SUM(Table25[[#This Row],[M1-1]:[M18-13]])</f>
        <v>0</v>
      </c>
    </row>
    <row r="143" spans="1:15" ht="40" customHeight="1" x14ac:dyDescent="0.15">
      <c r="A143" s="167" t="s">
        <v>97</v>
      </c>
      <c r="B143" s="168" t="s">
        <v>98</v>
      </c>
      <c r="C143" s="63" t="str">
        <f t="shared" si="60"/>
        <v/>
      </c>
      <c r="D143" s="63" t="str">
        <f t="shared" si="61"/>
        <v/>
      </c>
      <c r="E143" s="63" t="str">
        <f t="shared" si="62"/>
        <v/>
      </c>
      <c r="F143" s="63" t="str">
        <f t="shared" si="63"/>
        <v/>
      </c>
      <c r="G143" s="63" t="str">
        <f t="shared" si="64"/>
        <v/>
      </c>
      <c r="H143" s="63" t="str">
        <f t="shared" si="65"/>
        <v/>
      </c>
      <c r="I143" s="63" t="str">
        <f t="shared" si="66"/>
        <v/>
      </c>
      <c r="J143" s="63" t="str">
        <f t="shared" si="67"/>
        <v/>
      </c>
      <c r="K143" s="63" t="str">
        <f t="shared" si="68"/>
        <v/>
      </c>
      <c r="L143" s="63" t="str">
        <f t="shared" si="69"/>
        <v/>
      </c>
      <c r="M143" s="63" t="str">
        <f t="shared" si="70"/>
        <v/>
      </c>
      <c r="N143" s="165" t="str">
        <f t="shared" si="71"/>
        <v/>
      </c>
      <c r="O143" s="165">
        <f>SUM(Table25[[#This Row],[M1-1]:[M18-13]])</f>
        <v>0</v>
      </c>
    </row>
    <row r="144" spans="1:15" ht="40" customHeight="1" x14ac:dyDescent="0.15">
      <c r="A144" s="167" t="s">
        <v>99</v>
      </c>
      <c r="B144" s="168" t="s">
        <v>100</v>
      </c>
      <c r="C144" s="63" t="str">
        <f t="shared" si="60"/>
        <v/>
      </c>
      <c r="D144" s="63" t="str">
        <f t="shared" si="61"/>
        <v/>
      </c>
      <c r="E144" s="63" t="str">
        <f t="shared" si="62"/>
        <v/>
      </c>
      <c r="F144" s="63" t="str">
        <f t="shared" si="63"/>
        <v/>
      </c>
      <c r="G144" s="63" t="str">
        <f t="shared" si="64"/>
        <v/>
      </c>
      <c r="H144" s="63" t="str">
        <f t="shared" si="65"/>
        <v/>
      </c>
      <c r="I144" s="63" t="str">
        <f t="shared" si="66"/>
        <v/>
      </c>
      <c r="J144" s="63" t="str">
        <f t="shared" si="67"/>
        <v/>
      </c>
      <c r="K144" s="63" t="str">
        <f t="shared" si="68"/>
        <v/>
      </c>
      <c r="L144" s="63" t="str">
        <f t="shared" si="69"/>
        <v/>
      </c>
      <c r="M144" s="63" t="str">
        <f t="shared" si="70"/>
        <v/>
      </c>
      <c r="N144" s="165" t="str">
        <f t="shared" si="71"/>
        <v/>
      </c>
      <c r="O144" s="165">
        <f>SUM(Table25[[#This Row],[M1-1]:[M18-13]])</f>
        <v>0</v>
      </c>
    </row>
    <row r="145" spans="1:15" ht="40" customHeight="1" x14ac:dyDescent="0.15">
      <c r="A145" s="169" t="s">
        <v>101</v>
      </c>
      <c r="B145" s="170" t="s">
        <v>102</v>
      </c>
      <c r="C145" s="63" t="str">
        <f t="shared" si="60"/>
        <v/>
      </c>
      <c r="D145" s="63" t="str">
        <f t="shared" si="61"/>
        <v/>
      </c>
      <c r="E145" s="63" t="str">
        <f t="shared" si="62"/>
        <v/>
      </c>
      <c r="F145" s="63" t="str">
        <f t="shared" si="63"/>
        <v/>
      </c>
      <c r="G145" s="63" t="str">
        <f t="shared" si="64"/>
        <v/>
      </c>
      <c r="H145" s="63" t="str">
        <f t="shared" si="65"/>
        <v/>
      </c>
      <c r="I145" s="63" t="str">
        <f t="shared" si="66"/>
        <v/>
      </c>
      <c r="J145" s="63" t="str">
        <f t="shared" si="67"/>
        <v/>
      </c>
      <c r="K145" s="63" t="str">
        <f t="shared" si="68"/>
        <v/>
      </c>
      <c r="L145" s="63" t="str">
        <f t="shared" si="69"/>
        <v/>
      </c>
      <c r="M145" s="63" t="str">
        <f t="shared" si="70"/>
        <v/>
      </c>
      <c r="N145" s="165" t="str">
        <f t="shared" si="71"/>
        <v/>
      </c>
      <c r="O145" s="165">
        <f>SUM(Table25[[#This Row],[M1-1]:[M18-13]])</f>
        <v>0</v>
      </c>
    </row>
    <row r="146" spans="1:15" ht="40" customHeight="1" x14ac:dyDescent="0.15">
      <c r="A146" s="163" t="s">
        <v>103</v>
      </c>
      <c r="B146" s="164"/>
      <c r="C146" s="63" t="str">
        <f t="shared" si="60"/>
        <v/>
      </c>
      <c r="D146" s="63" t="str">
        <f t="shared" si="61"/>
        <v/>
      </c>
      <c r="E146" s="63" t="str">
        <f t="shared" si="62"/>
        <v/>
      </c>
      <c r="F146" s="63" t="str">
        <f t="shared" si="63"/>
        <v/>
      </c>
      <c r="G146" s="63" t="str">
        <f t="shared" si="64"/>
        <v/>
      </c>
      <c r="H146" s="63" t="str">
        <f t="shared" si="65"/>
        <v/>
      </c>
      <c r="I146" s="63" t="str">
        <f t="shared" si="66"/>
        <v/>
      </c>
      <c r="J146" s="63" t="str">
        <f t="shared" si="67"/>
        <v/>
      </c>
      <c r="K146" s="63" t="str">
        <f t="shared" si="68"/>
        <v/>
      </c>
      <c r="L146" s="63" t="str">
        <f t="shared" si="69"/>
        <v/>
      </c>
      <c r="M146" s="63" t="str">
        <f t="shared" si="70"/>
        <v/>
      </c>
      <c r="N146" s="165" t="str">
        <f t="shared" si="71"/>
        <v/>
      </c>
      <c r="O146" s="165">
        <f>SUM(Table25[[#This Row],[M1-1]:[M18-13]])</f>
        <v>0</v>
      </c>
    </row>
    <row r="147" spans="1:15" ht="40" customHeight="1" x14ac:dyDescent="0.15">
      <c r="A147" s="169" t="s">
        <v>104</v>
      </c>
      <c r="B147" s="170" t="s">
        <v>105</v>
      </c>
      <c r="C147" s="63" t="str">
        <f t="shared" si="60"/>
        <v/>
      </c>
      <c r="D147" s="63" t="str">
        <f t="shared" si="61"/>
        <v/>
      </c>
      <c r="E147" s="63" t="str">
        <f t="shared" si="62"/>
        <v/>
      </c>
      <c r="F147" s="63" t="str">
        <f t="shared" si="63"/>
        <v/>
      </c>
      <c r="G147" s="63" t="str">
        <f t="shared" si="64"/>
        <v/>
      </c>
      <c r="H147" s="63" t="str">
        <f t="shared" si="65"/>
        <v/>
      </c>
      <c r="I147" s="63" t="str">
        <f t="shared" si="66"/>
        <v/>
      </c>
      <c r="J147" s="63" t="str">
        <f t="shared" si="67"/>
        <v/>
      </c>
      <c r="K147" s="63" t="str">
        <f t="shared" si="68"/>
        <v/>
      </c>
      <c r="L147" s="63" t="str">
        <f t="shared" si="69"/>
        <v/>
      </c>
      <c r="M147" s="63" t="str">
        <f t="shared" si="70"/>
        <v/>
      </c>
      <c r="N147" s="165" t="str">
        <f t="shared" si="71"/>
        <v/>
      </c>
      <c r="O147" s="165">
        <f>SUM(Table25[[#This Row],[M1-1]:[M18-13]])</f>
        <v>0</v>
      </c>
    </row>
    <row r="148" spans="1:15" ht="40" customHeight="1" x14ac:dyDescent="0.15">
      <c r="A148" s="167" t="s">
        <v>106</v>
      </c>
      <c r="B148" s="168" t="s">
        <v>107</v>
      </c>
      <c r="C148" s="63" t="str">
        <f t="shared" si="60"/>
        <v/>
      </c>
      <c r="D148" s="63" t="str">
        <f t="shared" si="61"/>
        <v/>
      </c>
      <c r="E148" s="63" t="str">
        <f t="shared" si="62"/>
        <v/>
      </c>
      <c r="F148" s="63" t="str">
        <f t="shared" si="63"/>
        <v/>
      </c>
      <c r="G148" s="63" t="str">
        <f t="shared" si="64"/>
        <v/>
      </c>
      <c r="H148" s="63" t="str">
        <f t="shared" si="65"/>
        <v/>
      </c>
      <c r="I148" s="63" t="str">
        <f t="shared" si="66"/>
        <v/>
      </c>
      <c r="J148" s="63" t="str">
        <f t="shared" si="67"/>
        <v/>
      </c>
      <c r="K148" s="63" t="str">
        <f t="shared" si="68"/>
        <v/>
      </c>
      <c r="L148" s="63" t="str">
        <f t="shared" si="69"/>
        <v/>
      </c>
      <c r="M148" s="63" t="str">
        <f t="shared" si="70"/>
        <v/>
      </c>
      <c r="N148" s="165" t="str">
        <f t="shared" si="71"/>
        <v/>
      </c>
      <c r="O148" s="165">
        <f>SUM(Table25[[#This Row],[M1-1]:[M18-13]])</f>
        <v>0</v>
      </c>
    </row>
    <row r="149" spans="1:15" ht="40" customHeight="1" x14ac:dyDescent="0.15">
      <c r="A149" s="167" t="s">
        <v>108</v>
      </c>
      <c r="B149" s="168" t="s">
        <v>109</v>
      </c>
      <c r="C149" s="63" t="str">
        <f t="shared" si="60"/>
        <v/>
      </c>
      <c r="D149" s="63" t="str">
        <f t="shared" si="61"/>
        <v/>
      </c>
      <c r="E149" s="63" t="str">
        <f t="shared" si="62"/>
        <v/>
      </c>
      <c r="F149" s="63" t="str">
        <f t="shared" si="63"/>
        <v/>
      </c>
      <c r="G149" s="63" t="str">
        <f t="shared" si="64"/>
        <v/>
      </c>
      <c r="H149" s="63" t="str">
        <f t="shared" si="65"/>
        <v/>
      </c>
      <c r="I149" s="63" t="str">
        <f t="shared" si="66"/>
        <v/>
      </c>
      <c r="J149" s="63" t="str">
        <f t="shared" si="67"/>
        <v/>
      </c>
      <c r="K149" s="63" t="str">
        <f t="shared" si="68"/>
        <v/>
      </c>
      <c r="L149" s="63" t="str">
        <f t="shared" si="69"/>
        <v/>
      </c>
      <c r="M149" s="63" t="str">
        <f t="shared" si="70"/>
        <v/>
      </c>
      <c r="N149" s="165" t="str">
        <f t="shared" si="71"/>
        <v/>
      </c>
      <c r="O149" s="165">
        <f>SUM(Table25[[#This Row],[M1-1]:[M18-13]])</f>
        <v>0</v>
      </c>
    </row>
    <row r="150" spans="1:15" ht="40" customHeight="1" x14ac:dyDescent="0.15">
      <c r="A150" s="169" t="s">
        <v>110</v>
      </c>
      <c r="B150" s="170" t="s">
        <v>111</v>
      </c>
      <c r="C150" s="63" t="str">
        <f t="shared" si="60"/>
        <v/>
      </c>
      <c r="D150" s="63" t="str">
        <f t="shared" si="61"/>
        <v/>
      </c>
      <c r="E150" s="63" t="str">
        <f t="shared" si="62"/>
        <v/>
      </c>
      <c r="F150" s="63" t="str">
        <f t="shared" si="63"/>
        <v/>
      </c>
      <c r="G150" s="63" t="str">
        <f t="shared" si="64"/>
        <v/>
      </c>
      <c r="H150" s="63" t="str">
        <f t="shared" si="65"/>
        <v/>
      </c>
      <c r="I150" s="63" t="str">
        <f t="shared" si="66"/>
        <v/>
      </c>
      <c r="J150" s="63" t="str">
        <f t="shared" si="67"/>
        <v/>
      </c>
      <c r="K150" s="63" t="str">
        <f t="shared" si="68"/>
        <v/>
      </c>
      <c r="L150" s="63" t="str">
        <f t="shared" si="69"/>
        <v/>
      </c>
      <c r="M150" s="63" t="str">
        <f t="shared" si="70"/>
        <v/>
      </c>
      <c r="N150" s="165" t="str">
        <f t="shared" si="71"/>
        <v/>
      </c>
      <c r="O150" s="165">
        <f>SUM(Table25[[#This Row],[M1-1]:[M18-13]])</f>
        <v>0</v>
      </c>
    </row>
    <row r="151" spans="1:15" ht="40" customHeight="1" x14ac:dyDescent="0.15">
      <c r="A151" s="167" t="s">
        <v>112</v>
      </c>
      <c r="B151" s="168" t="s">
        <v>113</v>
      </c>
      <c r="C151" s="63" t="str">
        <f t="shared" ref="C151:C182" si="72">J41</f>
        <v/>
      </c>
      <c r="D151" s="63" t="str">
        <f t="shared" ref="D151:D182" si="73">R41</f>
        <v/>
      </c>
      <c r="E151" s="63" t="str">
        <f t="shared" ref="E151:E182" si="74">Z41</f>
        <v/>
      </c>
      <c r="F151" s="63" t="str">
        <f t="shared" ref="F151:F182" si="75">AH41</f>
        <v/>
      </c>
      <c r="G151" s="63" t="str">
        <f t="shared" ref="G151:G182" si="76">AP41</f>
        <v/>
      </c>
      <c r="H151" s="63" t="str">
        <f t="shared" ref="H151:H182" si="77">AX41</f>
        <v/>
      </c>
      <c r="I151" s="63" t="str">
        <f t="shared" ref="I151:I182" si="78">BF41</f>
        <v/>
      </c>
      <c r="J151" s="63" t="str">
        <f t="shared" ref="J151:J182" si="79">BN41</f>
        <v/>
      </c>
      <c r="K151" s="63" t="str">
        <f t="shared" ref="K151:K182" si="80">BV41</f>
        <v/>
      </c>
      <c r="L151" s="63" t="str">
        <f t="shared" ref="L151:L182" si="81">CD41</f>
        <v/>
      </c>
      <c r="M151" s="63" t="str">
        <f t="shared" ref="M151:M182" si="82">CL41</f>
        <v/>
      </c>
      <c r="N151" s="165" t="str">
        <f t="shared" ref="N151:N182" si="83">CT41</f>
        <v/>
      </c>
      <c r="O151" s="165">
        <f>SUM(Table25[[#This Row],[M1-1]:[M18-13]])</f>
        <v>0</v>
      </c>
    </row>
    <row r="152" spans="1:15" ht="40" customHeight="1" x14ac:dyDescent="0.15">
      <c r="A152" s="169" t="s">
        <v>114</v>
      </c>
      <c r="B152" s="170" t="s">
        <v>115</v>
      </c>
      <c r="C152" s="63" t="str">
        <f t="shared" si="72"/>
        <v/>
      </c>
      <c r="D152" s="63" t="str">
        <f t="shared" si="73"/>
        <v/>
      </c>
      <c r="E152" s="63" t="str">
        <f t="shared" si="74"/>
        <v/>
      </c>
      <c r="F152" s="63" t="str">
        <f t="shared" si="75"/>
        <v/>
      </c>
      <c r="G152" s="63" t="str">
        <f t="shared" si="76"/>
        <v/>
      </c>
      <c r="H152" s="63" t="str">
        <f t="shared" si="77"/>
        <v/>
      </c>
      <c r="I152" s="63" t="str">
        <f t="shared" si="78"/>
        <v/>
      </c>
      <c r="J152" s="63" t="str">
        <f t="shared" si="79"/>
        <v/>
      </c>
      <c r="K152" s="63" t="str">
        <f t="shared" si="80"/>
        <v/>
      </c>
      <c r="L152" s="63" t="str">
        <f t="shared" si="81"/>
        <v/>
      </c>
      <c r="M152" s="63" t="str">
        <f t="shared" si="82"/>
        <v/>
      </c>
      <c r="N152" s="165" t="str">
        <f t="shared" si="83"/>
        <v/>
      </c>
      <c r="O152" s="165">
        <f>SUM(Table25[[#This Row],[M1-1]:[M18-13]])</f>
        <v>0</v>
      </c>
    </row>
    <row r="153" spans="1:15" ht="40" customHeight="1" x14ac:dyDescent="0.15">
      <c r="A153" s="167" t="s">
        <v>116</v>
      </c>
      <c r="B153" s="168" t="s">
        <v>117</v>
      </c>
      <c r="C153" s="63" t="str">
        <f t="shared" si="72"/>
        <v/>
      </c>
      <c r="D153" s="63" t="str">
        <f t="shared" si="73"/>
        <v/>
      </c>
      <c r="E153" s="63" t="str">
        <f t="shared" si="74"/>
        <v/>
      </c>
      <c r="F153" s="63" t="str">
        <f t="shared" si="75"/>
        <v/>
      </c>
      <c r="G153" s="63" t="str">
        <f t="shared" si="76"/>
        <v/>
      </c>
      <c r="H153" s="63" t="str">
        <f t="shared" si="77"/>
        <v/>
      </c>
      <c r="I153" s="63" t="str">
        <f t="shared" si="78"/>
        <v/>
      </c>
      <c r="J153" s="63" t="str">
        <f t="shared" si="79"/>
        <v/>
      </c>
      <c r="K153" s="63" t="str">
        <f t="shared" si="80"/>
        <v/>
      </c>
      <c r="L153" s="63" t="str">
        <f t="shared" si="81"/>
        <v/>
      </c>
      <c r="M153" s="63" t="str">
        <f t="shared" si="82"/>
        <v/>
      </c>
      <c r="N153" s="165" t="str">
        <f t="shared" si="83"/>
        <v/>
      </c>
      <c r="O153" s="165">
        <f>SUM(Table25[[#This Row],[M1-1]:[M18-13]])</f>
        <v>0</v>
      </c>
    </row>
    <row r="154" spans="1:15" ht="40" customHeight="1" x14ac:dyDescent="0.15">
      <c r="A154" s="169" t="s">
        <v>118</v>
      </c>
      <c r="B154" s="170" t="s">
        <v>119</v>
      </c>
      <c r="C154" s="63" t="str">
        <f t="shared" si="72"/>
        <v/>
      </c>
      <c r="D154" s="63" t="str">
        <f t="shared" si="73"/>
        <v/>
      </c>
      <c r="E154" s="63" t="str">
        <f t="shared" si="74"/>
        <v/>
      </c>
      <c r="F154" s="63" t="str">
        <f t="shared" si="75"/>
        <v/>
      </c>
      <c r="G154" s="63" t="str">
        <f t="shared" si="76"/>
        <v/>
      </c>
      <c r="H154" s="63" t="str">
        <f t="shared" si="77"/>
        <v/>
      </c>
      <c r="I154" s="63" t="str">
        <f t="shared" si="78"/>
        <v/>
      </c>
      <c r="J154" s="63" t="str">
        <f t="shared" si="79"/>
        <v/>
      </c>
      <c r="K154" s="63" t="str">
        <f t="shared" si="80"/>
        <v/>
      </c>
      <c r="L154" s="63" t="str">
        <f t="shared" si="81"/>
        <v/>
      </c>
      <c r="M154" s="63" t="str">
        <f t="shared" si="82"/>
        <v/>
      </c>
      <c r="N154" s="165" t="str">
        <f t="shared" si="83"/>
        <v/>
      </c>
      <c r="O154" s="165">
        <f>SUM(Table25[[#This Row],[M1-1]:[M18-13]])</f>
        <v>0</v>
      </c>
    </row>
    <row r="155" spans="1:15" ht="40" customHeight="1" x14ac:dyDescent="0.15">
      <c r="A155" s="167" t="s">
        <v>120</v>
      </c>
      <c r="B155" s="168" t="s">
        <v>121</v>
      </c>
      <c r="C155" s="63" t="str">
        <f t="shared" si="72"/>
        <v/>
      </c>
      <c r="D155" s="63" t="str">
        <f t="shared" si="73"/>
        <v/>
      </c>
      <c r="E155" s="63" t="str">
        <f t="shared" si="74"/>
        <v/>
      </c>
      <c r="F155" s="63" t="str">
        <f t="shared" si="75"/>
        <v/>
      </c>
      <c r="G155" s="63" t="str">
        <f t="shared" si="76"/>
        <v/>
      </c>
      <c r="H155" s="63" t="str">
        <f t="shared" si="77"/>
        <v/>
      </c>
      <c r="I155" s="63" t="str">
        <f t="shared" si="78"/>
        <v/>
      </c>
      <c r="J155" s="63" t="str">
        <f t="shared" si="79"/>
        <v/>
      </c>
      <c r="K155" s="63" t="str">
        <f t="shared" si="80"/>
        <v/>
      </c>
      <c r="L155" s="63" t="str">
        <f t="shared" si="81"/>
        <v/>
      </c>
      <c r="M155" s="63" t="str">
        <f t="shared" si="82"/>
        <v/>
      </c>
      <c r="N155" s="165" t="str">
        <f t="shared" si="83"/>
        <v/>
      </c>
      <c r="O155" s="165">
        <f>SUM(Table25[[#This Row],[M1-1]:[M18-13]])</f>
        <v>0</v>
      </c>
    </row>
    <row r="156" spans="1:15" ht="40" customHeight="1" x14ac:dyDescent="0.15">
      <c r="A156" s="169" t="s">
        <v>122</v>
      </c>
      <c r="B156" s="170" t="s">
        <v>123</v>
      </c>
      <c r="C156" s="63" t="str">
        <f t="shared" si="72"/>
        <v/>
      </c>
      <c r="D156" s="63" t="str">
        <f t="shared" si="73"/>
        <v/>
      </c>
      <c r="E156" s="63" t="str">
        <f t="shared" si="74"/>
        <v/>
      </c>
      <c r="F156" s="63" t="str">
        <f t="shared" si="75"/>
        <v/>
      </c>
      <c r="G156" s="63" t="str">
        <f t="shared" si="76"/>
        <v/>
      </c>
      <c r="H156" s="63" t="str">
        <f t="shared" si="77"/>
        <v/>
      </c>
      <c r="I156" s="63" t="str">
        <f t="shared" si="78"/>
        <v/>
      </c>
      <c r="J156" s="63" t="str">
        <f t="shared" si="79"/>
        <v/>
      </c>
      <c r="K156" s="63" t="str">
        <f t="shared" si="80"/>
        <v/>
      </c>
      <c r="L156" s="63" t="str">
        <f t="shared" si="81"/>
        <v/>
      </c>
      <c r="M156" s="63" t="str">
        <f t="shared" si="82"/>
        <v/>
      </c>
      <c r="N156" s="165" t="str">
        <f t="shared" si="83"/>
        <v/>
      </c>
      <c r="O156" s="165">
        <f>SUM(Table25[[#This Row],[M1-1]:[M18-13]])</f>
        <v>0</v>
      </c>
    </row>
    <row r="157" spans="1:15" ht="40" customHeight="1" x14ac:dyDescent="0.15">
      <c r="A157" s="167" t="s">
        <v>125</v>
      </c>
      <c r="B157" s="168" t="s">
        <v>126</v>
      </c>
      <c r="C157" s="63" t="str">
        <f t="shared" si="72"/>
        <v/>
      </c>
      <c r="D157" s="63" t="str">
        <f t="shared" si="73"/>
        <v/>
      </c>
      <c r="E157" s="63" t="str">
        <f t="shared" si="74"/>
        <v/>
      </c>
      <c r="F157" s="63" t="str">
        <f t="shared" si="75"/>
        <v/>
      </c>
      <c r="G157" s="63" t="str">
        <f t="shared" si="76"/>
        <v/>
      </c>
      <c r="H157" s="63" t="str">
        <f t="shared" si="77"/>
        <v/>
      </c>
      <c r="I157" s="63" t="str">
        <f t="shared" si="78"/>
        <v/>
      </c>
      <c r="J157" s="63" t="str">
        <f t="shared" si="79"/>
        <v/>
      </c>
      <c r="K157" s="63" t="str">
        <f t="shared" si="80"/>
        <v/>
      </c>
      <c r="L157" s="63" t="str">
        <f t="shared" si="81"/>
        <v/>
      </c>
      <c r="M157" s="63" t="str">
        <f t="shared" si="82"/>
        <v/>
      </c>
      <c r="N157" s="165" t="str">
        <f t="shared" si="83"/>
        <v/>
      </c>
      <c r="O157" s="165">
        <f>SUM(Table25[[#This Row],[M1-1]:[M18-13]])</f>
        <v>0</v>
      </c>
    </row>
    <row r="158" spans="1:15" ht="40" customHeight="1" x14ac:dyDescent="0.15">
      <c r="A158" s="169" t="s">
        <v>127</v>
      </c>
      <c r="B158" s="170" t="s">
        <v>128</v>
      </c>
      <c r="C158" s="63" t="str">
        <f t="shared" si="72"/>
        <v/>
      </c>
      <c r="D158" s="63" t="str">
        <f t="shared" si="73"/>
        <v/>
      </c>
      <c r="E158" s="63" t="str">
        <f t="shared" si="74"/>
        <v/>
      </c>
      <c r="F158" s="63" t="str">
        <f t="shared" si="75"/>
        <v/>
      </c>
      <c r="G158" s="63" t="str">
        <f t="shared" si="76"/>
        <v/>
      </c>
      <c r="H158" s="63" t="str">
        <f t="shared" si="77"/>
        <v/>
      </c>
      <c r="I158" s="63" t="str">
        <f t="shared" si="78"/>
        <v/>
      </c>
      <c r="J158" s="63" t="str">
        <f t="shared" si="79"/>
        <v/>
      </c>
      <c r="K158" s="63" t="str">
        <f t="shared" si="80"/>
        <v/>
      </c>
      <c r="L158" s="63" t="str">
        <f t="shared" si="81"/>
        <v/>
      </c>
      <c r="M158" s="63" t="str">
        <f t="shared" si="82"/>
        <v/>
      </c>
      <c r="N158" s="165" t="str">
        <f t="shared" si="83"/>
        <v/>
      </c>
      <c r="O158" s="165">
        <f>SUM(Table25[[#This Row],[M1-1]:[M18-13]])</f>
        <v>0</v>
      </c>
    </row>
    <row r="159" spans="1:15" ht="40" customHeight="1" x14ac:dyDescent="0.15">
      <c r="A159" s="167" t="s">
        <v>130</v>
      </c>
      <c r="B159" s="168" t="s">
        <v>131</v>
      </c>
      <c r="C159" s="63" t="str">
        <f t="shared" si="72"/>
        <v/>
      </c>
      <c r="D159" s="63" t="str">
        <f t="shared" si="73"/>
        <v/>
      </c>
      <c r="E159" s="63" t="str">
        <f t="shared" si="74"/>
        <v/>
      </c>
      <c r="F159" s="63" t="str">
        <f t="shared" si="75"/>
        <v/>
      </c>
      <c r="G159" s="63" t="str">
        <f t="shared" si="76"/>
        <v/>
      </c>
      <c r="H159" s="63" t="str">
        <f t="shared" si="77"/>
        <v/>
      </c>
      <c r="I159" s="63" t="str">
        <f t="shared" si="78"/>
        <v/>
      </c>
      <c r="J159" s="63" t="str">
        <f t="shared" si="79"/>
        <v/>
      </c>
      <c r="K159" s="63" t="str">
        <f t="shared" si="80"/>
        <v/>
      </c>
      <c r="L159" s="63" t="str">
        <f t="shared" si="81"/>
        <v/>
      </c>
      <c r="M159" s="63" t="str">
        <f t="shared" si="82"/>
        <v/>
      </c>
      <c r="N159" s="165" t="str">
        <f t="shared" si="83"/>
        <v/>
      </c>
      <c r="O159" s="165">
        <f>SUM(Table25[[#This Row],[M1-1]:[M18-13]])</f>
        <v>0</v>
      </c>
    </row>
    <row r="160" spans="1:15" ht="40" customHeight="1" x14ac:dyDescent="0.15">
      <c r="A160" s="169" t="s">
        <v>132</v>
      </c>
      <c r="B160" s="170" t="s">
        <v>133</v>
      </c>
      <c r="C160" s="63" t="str">
        <f t="shared" si="72"/>
        <v/>
      </c>
      <c r="D160" s="63" t="str">
        <f t="shared" si="73"/>
        <v/>
      </c>
      <c r="E160" s="63" t="str">
        <f t="shared" si="74"/>
        <v/>
      </c>
      <c r="F160" s="63" t="str">
        <f t="shared" si="75"/>
        <v/>
      </c>
      <c r="G160" s="63" t="str">
        <f t="shared" si="76"/>
        <v/>
      </c>
      <c r="H160" s="63" t="str">
        <f t="shared" si="77"/>
        <v/>
      </c>
      <c r="I160" s="63" t="str">
        <f t="shared" si="78"/>
        <v/>
      </c>
      <c r="J160" s="63" t="str">
        <f t="shared" si="79"/>
        <v/>
      </c>
      <c r="K160" s="63" t="str">
        <f t="shared" si="80"/>
        <v/>
      </c>
      <c r="L160" s="63" t="str">
        <f t="shared" si="81"/>
        <v/>
      </c>
      <c r="M160" s="63" t="str">
        <f t="shared" si="82"/>
        <v/>
      </c>
      <c r="N160" s="165" t="str">
        <f t="shared" si="83"/>
        <v/>
      </c>
      <c r="O160" s="165">
        <f>SUM(Table25[[#This Row],[M1-1]:[M18-13]])</f>
        <v>0</v>
      </c>
    </row>
    <row r="161" spans="1:15" ht="40" customHeight="1" x14ac:dyDescent="0.15">
      <c r="A161" s="167" t="s">
        <v>135</v>
      </c>
      <c r="B161" s="168" t="s">
        <v>136</v>
      </c>
      <c r="C161" s="63" t="str">
        <f t="shared" si="72"/>
        <v/>
      </c>
      <c r="D161" s="63" t="str">
        <f t="shared" si="73"/>
        <v/>
      </c>
      <c r="E161" s="63" t="str">
        <f t="shared" si="74"/>
        <v/>
      </c>
      <c r="F161" s="63" t="str">
        <f t="shared" si="75"/>
        <v/>
      </c>
      <c r="G161" s="63" t="str">
        <f t="shared" si="76"/>
        <v/>
      </c>
      <c r="H161" s="63" t="str">
        <f t="shared" si="77"/>
        <v/>
      </c>
      <c r="I161" s="63" t="str">
        <f t="shared" si="78"/>
        <v/>
      </c>
      <c r="J161" s="63" t="str">
        <f t="shared" si="79"/>
        <v/>
      </c>
      <c r="K161" s="63" t="str">
        <f t="shared" si="80"/>
        <v/>
      </c>
      <c r="L161" s="63" t="str">
        <f t="shared" si="81"/>
        <v/>
      </c>
      <c r="M161" s="63" t="str">
        <f t="shared" si="82"/>
        <v/>
      </c>
      <c r="N161" s="165" t="str">
        <f t="shared" si="83"/>
        <v/>
      </c>
      <c r="O161" s="165">
        <f>SUM(Table25[[#This Row],[M1-1]:[M18-13]])</f>
        <v>0</v>
      </c>
    </row>
    <row r="162" spans="1:15" ht="40" customHeight="1" x14ac:dyDescent="0.15">
      <c r="A162" s="169" t="s">
        <v>138</v>
      </c>
      <c r="B162" s="170" t="s">
        <v>139</v>
      </c>
      <c r="C162" s="63" t="str">
        <f t="shared" si="72"/>
        <v/>
      </c>
      <c r="D162" s="63" t="str">
        <f t="shared" si="73"/>
        <v/>
      </c>
      <c r="E162" s="63" t="str">
        <f t="shared" si="74"/>
        <v/>
      </c>
      <c r="F162" s="63" t="str">
        <f t="shared" si="75"/>
        <v/>
      </c>
      <c r="G162" s="63" t="str">
        <f t="shared" si="76"/>
        <v/>
      </c>
      <c r="H162" s="63" t="str">
        <f t="shared" si="77"/>
        <v/>
      </c>
      <c r="I162" s="63" t="str">
        <f t="shared" si="78"/>
        <v/>
      </c>
      <c r="J162" s="63" t="str">
        <f t="shared" si="79"/>
        <v/>
      </c>
      <c r="K162" s="63" t="str">
        <f t="shared" si="80"/>
        <v/>
      </c>
      <c r="L162" s="63" t="str">
        <f t="shared" si="81"/>
        <v/>
      </c>
      <c r="M162" s="63" t="str">
        <f t="shared" si="82"/>
        <v/>
      </c>
      <c r="N162" s="165" t="str">
        <f t="shared" si="83"/>
        <v/>
      </c>
      <c r="O162" s="165">
        <f>SUM(Table25[[#This Row],[M1-1]:[M18-13]])</f>
        <v>0</v>
      </c>
    </row>
    <row r="163" spans="1:15" ht="40" customHeight="1" x14ac:dyDescent="0.15">
      <c r="A163" s="167" t="s">
        <v>140</v>
      </c>
      <c r="B163" s="168" t="s">
        <v>141</v>
      </c>
      <c r="C163" s="63" t="str">
        <f t="shared" si="72"/>
        <v/>
      </c>
      <c r="D163" s="63" t="str">
        <f t="shared" si="73"/>
        <v/>
      </c>
      <c r="E163" s="63" t="str">
        <f t="shared" si="74"/>
        <v/>
      </c>
      <c r="F163" s="63" t="str">
        <f t="shared" si="75"/>
        <v/>
      </c>
      <c r="G163" s="63" t="str">
        <f t="shared" si="76"/>
        <v/>
      </c>
      <c r="H163" s="63" t="str">
        <f t="shared" si="77"/>
        <v/>
      </c>
      <c r="I163" s="63" t="str">
        <f t="shared" si="78"/>
        <v/>
      </c>
      <c r="J163" s="63" t="str">
        <f t="shared" si="79"/>
        <v/>
      </c>
      <c r="K163" s="63" t="str">
        <f t="shared" si="80"/>
        <v/>
      </c>
      <c r="L163" s="63" t="str">
        <f t="shared" si="81"/>
        <v/>
      </c>
      <c r="M163" s="63" t="str">
        <f t="shared" si="82"/>
        <v/>
      </c>
      <c r="N163" s="165" t="str">
        <f t="shared" si="83"/>
        <v/>
      </c>
      <c r="O163" s="165">
        <f>SUM(Table25[[#This Row],[M1-1]:[M18-13]])</f>
        <v>0</v>
      </c>
    </row>
    <row r="164" spans="1:15" ht="40" customHeight="1" x14ac:dyDescent="0.15">
      <c r="A164" s="169" t="s">
        <v>143</v>
      </c>
      <c r="B164" s="170" t="s">
        <v>144</v>
      </c>
      <c r="C164" s="63" t="str">
        <f t="shared" si="72"/>
        <v/>
      </c>
      <c r="D164" s="63" t="str">
        <f t="shared" si="73"/>
        <v/>
      </c>
      <c r="E164" s="63" t="str">
        <f t="shared" si="74"/>
        <v/>
      </c>
      <c r="F164" s="63" t="str">
        <f t="shared" si="75"/>
        <v/>
      </c>
      <c r="G164" s="63" t="str">
        <f t="shared" si="76"/>
        <v/>
      </c>
      <c r="H164" s="63" t="str">
        <f t="shared" si="77"/>
        <v/>
      </c>
      <c r="I164" s="63" t="str">
        <f t="shared" si="78"/>
        <v/>
      </c>
      <c r="J164" s="63" t="str">
        <f t="shared" si="79"/>
        <v/>
      </c>
      <c r="K164" s="63" t="str">
        <f t="shared" si="80"/>
        <v/>
      </c>
      <c r="L164" s="63" t="str">
        <f t="shared" si="81"/>
        <v/>
      </c>
      <c r="M164" s="63" t="str">
        <f t="shared" si="82"/>
        <v/>
      </c>
      <c r="N164" s="165" t="str">
        <f t="shared" si="83"/>
        <v/>
      </c>
      <c r="O164" s="165">
        <f>SUM(Table25[[#This Row],[M1-1]:[M18-13]])</f>
        <v>0</v>
      </c>
    </row>
    <row r="165" spans="1:15" ht="40" customHeight="1" x14ac:dyDescent="0.15">
      <c r="A165" s="167" t="s">
        <v>146</v>
      </c>
      <c r="B165" s="168" t="s">
        <v>147</v>
      </c>
      <c r="C165" s="63" t="str">
        <f t="shared" si="72"/>
        <v/>
      </c>
      <c r="D165" s="63" t="str">
        <f t="shared" si="73"/>
        <v/>
      </c>
      <c r="E165" s="63" t="str">
        <f t="shared" si="74"/>
        <v/>
      </c>
      <c r="F165" s="63" t="str">
        <f t="shared" si="75"/>
        <v/>
      </c>
      <c r="G165" s="63" t="str">
        <f t="shared" si="76"/>
        <v/>
      </c>
      <c r="H165" s="63" t="str">
        <f t="shared" si="77"/>
        <v/>
      </c>
      <c r="I165" s="63" t="str">
        <f t="shared" si="78"/>
        <v/>
      </c>
      <c r="J165" s="63" t="str">
        <f t="shared" si="79"/>
        <v/>
      </c>
      <c r="K165" s="63" t="str">
        <f t="shared" si="80"/>
        <v/>
      </c>
      <c r="L165" s="63" t="str">
        <f t="shared" si="81"/>
        <v/>
      </c>
      <c r="M165" s="63" t="str">
        <f t="shared" si="82"/>
        <v/>
      </c>
      <c r="N165" s="165" t="str">
        <f t="shared" si="83"/>
        <v/>
      </c>
      <c r="O165" s="165">
        <f>SUM(Table25[[#This Row],[M1-1]:[M18-13]])</f>
        <v>0</v>
      </c>
    </row>
    <row r="166" spans="1:15" ht="40" customHeight="1" x14ac:dyDescent="0.15">
      <c r="A166" s="169" t="s">
        <v>149</v>
      </c>
      <c r="B166" s="170" t="s">
        <v>150</v>
      </c>
      <c r="C166" s="63" t="str">
        <f t="shared" si="72"/>
        <v/>
      </c>
      <c r="D166" s="63" t="str">
        <f t="shared" si="73"/>
        <v/>
      </c>
      <c r="E166" s="63" t="str">
        <f t="shared" si="74"/>
        <v/>
      </c>
      <c r="F166" s="63" t="str">
        <f t="shared" si="75"/>
        <v/>
      </c>
      <c r="G166" s="63" t="str">
        <f t="shared" si="76"/>
        <v/>
      </c>
      <c r="H166" s="63" t="str">
        <f t="shared" si="77"/>
        <v/>
      </c>
      <c r="I166" s="63" t="str">
        <f t="shared" si="78"/>
        <v/>
      </c>
      <c r="J166" s="63" t="str">
        <f t="shared" si="79"/>
        <v/>
      </c>
      <c r="K166" s="63" t="str">
        <f t="shared" si="80"/>
        <v/>
      </c>
      <c r="L166" s="63" t="str">
        <f t="shared" si="81"/>
        <v/>
      </c>
      <c r="M166" s="63" t="str">
        <f t="shared" si="82"/>
        <v/>
      </c>
      <c r="N166" s="165" t="str">
        <f t="shared" si="83"/>
        <v/>
      </c>
      <c r="O166" s="165">
        <f>SUM(Table25[[#This Row],[M1-1]:[M18-13]])</f>
        <v>0</v>
      </c>
    </row>
    <row r="167" spans="1:15" ht="40" customHeight="1" x14ac:dyDescent="0.15">
      <c r="A167" s="167" t="s">
        <v>152</v>
      </c>
      <c r="B167" s="168" t="s">
        <v>153</v>
      </c>
      <c r="C167" s="63" t="str">
        <f t="shared" si="72"/>
        <v/>
      </c>
      <c r="D167" s="63" t="str">
        <f t="shared" si="73"/>
        <v/>
      </c>
      <c r="E167" s="63" t="str">
        <f t="shared" si="74"/>
        <v/>
      </c>
      <c r="F167" s="63" t="str">
        <f t="shared" si="75"/>
        <v/>
      </c>
      <c r="G167" s="63" t="str">
        <f t="shared" si="76"/>
        <v/>
      </c>
      <c r="H167" s="63" t="str">
        <f t="shared" si="77"/>
        <v/>
      </c>
      <c r="I167" s="63" t="str">
        <f t="shared" si="78"/>
        <v/>
      </c>
      <c r="J167" s="63" t="str">
        <f t="shared" si="79"/>
        <v/>
      </c>
      <c r="K167" s="63" t="str">
        <f t="shared" si="80"/>
        <v/>
      </c>
      <c r="L167" s="63" t="str">
        <f t="shared" si="81"/>
        <v/>
      </c>
      <c r="M167" s="63" t="str">
        <f t="shared" si="82"/>
        <v/>
      </c>
      <c r="N167" s="165" t="str">
        <f t="shared" si="83"/>
        <v/>
      </c>
      <c r="O167" s="165">
        <f>SUM(Table25[[#This Row],[M1-1]:[M18-13]])</f>
        <v>0</v>
      </c>
    </row>
    <row r="168" spans="1:15" ht="40" customHeight="1" x14ac:dyDescent="0.15">
      <c r="A168" s="169" t="s">
        <v>154</v>
      </c>
      <c r="B168" s="170" t="s">
        <v>155</v>
      </c>
      <c r="C168" s="63" t="str">
        <f t="shared" si="72"/>
        <v/>
      </c>
      <c r="D168" s="63" t="str">
        <f t="shared" si="73"/>
        <v/>
      </c>
      <c r="E168" s="63" t="str">
        <f t="shared" si="74"/>
        <v/>
      </c>
      <c r="F168" s="63" t="str">
        <f t="shared" si="75"/>
        <v/>
      </c>
      <c r="G168" s="63" t="str">
        <f t="shared" si="76"/>
        <v/>
      </c>
      <c r="H168" s="63" t="str">
        <f t="shared" si="77"/>
        <v/>
      </c>
      <c r="I168" s="63" t="str">
        <f t="shared" si="78"/>
        <v/>
      </c>
      <c r="J168" s="63" t="str">
        <f t="shared" si="79"/>
        <v/>
      </c>
      <c r="K168" s="63" t="str">
        <f t="shared" si="80"/>
        <v/>
      </c>
      <c r="L168" s="63" t="str">
        <f t="shared" si="81"/>
        <v/>
      </c>
      <c r="M168" s="63" t="str">
        <f t="shared" si="82"/>
        <v/>
      </c>
      <c r="N168" s="165" t="str">
        <f t="shared" si="83"/>
        <v/>
      </c>
      <c r="O168" s="165">
        <f>SUM(Table25[[#This Row],[M1-1]:[M18-13]])</f>
        <v>0</v>
      </c>
    </row>
    <row r="169" spans="1:15" ht="40" customHeight="1" x14ac:dyDescent="0.15">
      <c r="A169" s="167" t="s">
        <v>157</v>
      </c>
      <c r="B169" s="168" t="s">
        <v>158</v>
      </c>
      <c r="C169" s="63" t="str">
        <f t="shared" si="72"/>
        <v/>
      </c>
      <c r="D169" s="63" t="str">
        <f t="shared" si="73"/>
        <v/>
      </c>
      <c r="E169" s="63" t="str">
        <f t="shared" si="74"/>
        <v/>
      </c>
      <c r="F169" s="63" t="str">
        <f t="shared" si="75"/>
        <v/>
      </c>
      <c r="G169" s="63" t="str">
        <f t="shared" si="76"/>
        <v/>
      </c>
      <c r="H169" s="63" t="str">
        <f t="shared" si="77"/>
        <v/>
      </c>
      <c r="I169" s="63" t="str">
        <f t="shared" si="78"/>
        <v/>
      </c>
      <c r="J169" s="63" t="str">
        <f t="shared" si="79"/>
        <v/>
      </c>
      <c r="K169" s="63" t="str">
        <f t="shared" si="80"/>
        <v/>
      </c>
      <c r="L169" s="63" t="str">
        <f t="shared" si="81"/>
        <v/>
      </c>
      <c r="M169" s="63" t="str">
        <f t="shared" si="82"/>
        <v/>
      </c>
      <c r="N169" s="165" t="str">
        <f t="shared" si="83"/>
        <v/>
      </c>
      <c r="O169" s="165">
        <f>SUM(Table25[[#This Row],[M1-1]:[M18-13]])</f>
        <v>0</v>
      </c>
    </row>
    <row r="170" spans="1:15" ht="40" customHeight="1" x14ac:dyDescent="0.15">
      <c r="A170" s="169" t="s">
        <v>160</v>
      </c>
      <c r="B170" s="170" t="s">
        <v>161</v>
      </c>
      <c r="C170" s="63" t="str">
        <f t="shared" si="72"/>
        <v/>
      </c>
      <c r="D170" s="63" t="str">
        <f t="shared" si="73"/>
        <v/>
      </c>
      <c r="E170" s="63" t="str">
        <f t="shared" si="74"/>
        <v/>
      </c>
      <c r="F170" s="63" t="str">
        <f t="shared" si="75"/>
        <v/>
      </c>
      <c r="G170" s="63" t="str">
        <f t="shared" si="76"/>
        <v/>
      </c>
      <c r="H170" s="63" t="str">
        <f t="shared" si="77"/>
        <v/>
      </c>
      <c r="I170" s="63" t="str">
        <f t="shared" si="78"/>
        <v/>
      </c>
      <c r="J170" s="63" t="str">
        <f t="shared" si="79"/>
        <v/>
      </c>
      <c r="K170" s="63" t="str">
        <f t="shared" si="80"/>
        <v/>
      </c>
      <c r="L170" s="63" t="str">
        <f t="shared" si="81"/>
        <v/>
      </c>
      <c r="M170" s="63" t="str">
        <f t="shared" si="82"/>
        <v/>
      </c>
      <c r="N170" s="165" t="str">
        <f t="shared" si="83"/>
        <v/>
      </c>
      <c r="O170" s="165">
        <f>SUM(Table25[[#This Row],[M1-1]:[M18-13]])</f>
        <v>0</v>
      </c>
    </row>
    <row r="171" spans="1:15" ht="40" customHeight="1" x14ac:dyDescent="0.15">
      <c r="A171" s="167" t="s">
        <v>163</v>
      </c>
      <c r="B171" s="168" t="s">
        <v>164</v>
      </c>
      <c r="C171" s="63" t="str">
        <f t="shared" si="72"/>
        <v/>
      </c>
      <c r="D171" s="63" t="str">
        <f t="shared" si="73"/>
        <v/>
      </c>
      <c r="E171" s="63" t="str">
        <f t="shared" si="74"/>
        <v/>
      </c>
      <c r="F171" s="63" t="str">
        <f t="shared" si="75"/>
        <v/>
      </c>
      <c r="G171" s="63" t="str">
        <f t="shared" si="76"/>
        <v/>
      </c>
      <c r="H171" s="63" t="str">
        <f t="shared" si="77"/>
        <v/>
      </c>
      <c r="I171" s="63" t="str">
        <f t="shared" si="78"/>
        <v/>
      </c>
      <c r="J171" s="63" t="str">
        <f t="shared" si="79"/>
        <v/>
      </c>
      <c r="K171" s="63" t="str">
        <f t="shared" si="80"/>
        <v/>
      </c>
      <c r="L171" s="63" t="str">
        <f t="shared" si="81"/>
        <v/>
      </c>
      <c r="M171" s="63" t="str">
        <f t="shared" si="82"/>
        <v/>
      </c>
      <c r="N171" s="165" t="str">
        <f t="shared" si="83"/>
        <v/>
      </c>
      <c r="O171" s="165">
        <f>SUM(Table25[[#This Row],[M1-1]:[M18-13]])</f>
        <v>0</v>
      </c>
    </row>
    <row r="172" spans="1:15" ht="40" customHeight="1" x14ac:dyDescent="0.15">
      <c r="A172" s="169" t="s">
        <v>166</v>
      </c>
      <c r="B172" s="170" t="s">
        <v>167</v>
      </c>
      <c r="C172" s="63" t="str">
        <f t="shared" si="72"/>
        <v/>
      </c>
      <c r="D172" s="63" t="str">
        <f t="shared" si="73"/>
        <v/>
      </c>
      <c r="E172" s="63" t="str">
        <f t="shared" si="74"/>
        <v/>
      </c>
      <c r="F172" s="63" t="str">
        <f t="shared" si="75"/>
        <v/>
      </c>
      <c r="G172" s="63" t="str">
        <f t="shared" si="76"/>
        <v/>
      </c>
      <c r="H172" s="63" t="str">
        <f t="shared" si="77"/>
        <v/>
      </c>
      <c r="I172" s="63" t="str">
        <f t="shared" si="78"/>
        <v/>
      </c>
      <c r="J172" s="63" t="str">
        <f t="shared" si="79"/>
        <v/>
      </c>
      <c r="K172" s="63" t="str">
        <f t="shared" si="80"/>
        <v/>
      </c>
      <c r="L172" s="63" t="str">
        <f t="shared" si="81"/>
        <v/>
      </c>
      <c r="M172" s="63" t="str">
        <f t="shared" si="82"/>
        <v/>
      </c>
      <c r="N172" s="165" t="str">
        <f t="shared" si="83"/>
        <v/>
      </c>
      <c r="O172" s="165">
        <f>SUM(Table25[[#This Row],[M1-1]:[M18-13]])</f>
        <v>0</v>
      </c>
    </row>
    <row r="173" spans="1:15" ht="40" customHeight="1" x14ac:dyDescent="0.15">
      <c r="A173" s="167" t="s">
        <v>168</v>
      </c>
      <c r="B173" s="168" t="s">
        <v>169</v>
      </c>
      <c r="C173" s="63" t="str">
        <f t="shared" si="72"/>
        <v/>
      </c>
      <c r="D173" s="63" t="str">
        <f t="shared" si="73"/>
        <v/>
      </c>
      <c r="E173" s="63" t="str">
        <f t="shared" si="74"/>
        <v/>
      </c>
      <c r="F173" s="63" t="str">
        <f t="shared" si="75"/>
        <v/>
      </c>
      <c r="G173" s="63" t="str">
        <f t="shared" si="76"/>
        <v/>
      </c>
      <c r="H173" s="63" t="str">
        <f t="shared" si="77"/>
        <v/>
      </c>
      <c r="I173" s="63" t="str">
        <f t="shared" si="78"/>
        <v/>
      </c>
      <c r="J173" s="63" t="str">
        <f t="shared" si="79"/>
        <v/>
      </c>
      <c r="K173" s="63" t="str">
        <f t="shared" si="80"/>
        <v/>
      </c>
      <c r="L173" s="63" t="str">
        <f t="shared" si="81"/>
        <v/>
      </c>
      <c r="M173" s="63" t="str">
        <f t="shared" si="82"/>
        <v/>
      </c>
      <c r="N173" s="165" t="str">
        <f t="shared" si="83"/>
        <v/>
      </c>
      <c r="O173" s="165">
        <f>SUM(Table25[[#This Row],[M1-1]:[M18-13]])</f>
        <v>0</v>
      </c>
    </row>
    <row r="174" spans="1:15" ht="40" customHeight="1" x14ac:dyDescent="0.15">
      <c r="A174" s="169" t="s">
        <v>170</v>
      </c>
      <c r="B174" s="170" t="s">
        <v>171</v>
      </c>
      <c r="C174" s="63" t="str">
        <f t="shared" si="72"/>
        <v/>
      </c>
      <c r="D174" s="63" t="str">
        <f t="shared" si="73"/>
        <v/>
      </c>
      <c r="E174" s="63" t="str">
        <f t="shared" si="74"/>
        <v/>
      </c>
      <c r="F174" s="63" t="str">
        <f t="shared" si="75"/>
        <v/>
      </c>
      <c r="G174" s="63" t="str">
        <f t="shared" si="76"/>
        <v/>
      </c>
      <c r="H174" s="63" t="str">
        <f t="shared" si="77"/>
        <v/>
      </c>
      <c r="I174" s="63" t="str">
        <f t="shared" si="78"/>
        <v/>
      </c>
      <c r="J174" s="63" t="str">
        <f t="shared" si="79"/>
        <v/>
      </c>
      <c r="K174" s="63" t="str">
        <f t="shared" si="80"/>
        <v/>
      </c>
      <c r="L174" s="63" t="str">
        <f t="shared" si="81"/>
        <v/>
      </c>
      <c r="M174" s="63" t="str">
        <f t="shared" si="82"/>
        <v/>
      </c>
      <c r="N174" s="165" t="str">
        <f t="shared" si="83"/>
        <v/>
      </c>
      <c r="O174" s="165">
        <f>SUM(Table25[[#This Row],[M1-1]:[M18-13]])</f>
        <v>0</v>
      </c>
    </row>
    <row r="175" spans="1:15" ht="40" customHeight="1" x14ac:dyDescent="0.15">
      <c r="A175" s="167" t="s">
        <v>172</v>
      </c>
      <c r="B175" s="168" t="s">
        <v>173</v>
      </c>
      <c r="C175" s="63" t="str">
        <f t="shared" si="72"/>
        <v/>
      </c>
      <c r="D175" s="63" t="str">
        <f t="shared" si="73"/>
        <v/>
      </c>
      <c r="E175" s="63" t="str">
        <f t="shared" si="74"/>
        <v/>
      </c>
      <c r="F175" s="63" t="str">
        <f t="shared" si="75"/>
        <v/>
      </c>
      <c r="G175" s="63" t="str">
        <f t="shared" si="76"/>
        <v/>
      </c>
      <c r="H175" s="63" t="str">
        <f t="shared" si="77"/>
        <v/>
      </c>
      <c r="I175" s="63" t="str">
        <f t="shared" si="78"/>
        <v/>
      </c>
      <c r="J175" s="63" t="str">
        <f t="shared" si="79"/>
        <v/>
      </c>
      <c r="K175" s="63" t="str">
        <f t="shared" si="80"/>
        <v/>
      </c>
      <c r="L175" s="63" t="str">
        <f t="shared" si="81"/>
        <v/>
      </c>
      <c r="M175" s="63" t="str">
        <f t="shared" si="82"/>
        <v/>
      </c>
      <c r="N175" s="165" t="str">
        <f t="shared" si="83"/>
        <v/>
      </c>
      <c r="O175" s="165">
        <f>SUM(Table25[[#This Row],[M1-1]:[M18-13]])</f>
        <v>0</v>
      </c>
    </row>
    <row r="176" spans="1:15" ht="40" customHeight="1" x14ac:dyDescent="0.15">
      <c r="A176" s="167" t="s">
        <v>174</v>
      </c>
      <c r="B176" s="168" t="s">
        <v>175</v>
      </c>
      <c r="C176" s="63" t="str">
        <f t="shared" si="72"/>
        <v/>
      </c>
      <c r="D176" s="63" t="str">
        <f t="shared" si="73"/>
        <v/>
      </c>
      <c r="E176" s="63" t="str">
        <f t="shared" si="74"/>
        <v/>
      </c>
      <c r="F176" s="63" t="str">
        <f t="shared" si="75"/>
        <v/>
      </c>
      <c r="G176" s="63" t="str">
        <f t="shared" si="76"/>
        <v/>
      </c>
      <c r="H176" s="63" t="str">
        <f t="shared" si="77"/>
        <v/>
      </c>
      <c r="I176" s="63" t="str">
        <f t="shared" si="78"/>
        <v/>
      </c>
      <c r="J176" s="63" t="str">
        <f t="shared" si="79"/>
        <v/>
      </c>
      <c r="K176" s="63" t="str">
        <f t="shared" si="80"/>
        <v/>
      </c>
      <c r="L176" s="63" t="str">
        <f t="shared" si="81"/>
        <v/>
      </c>
      <c r="M176" s="63" t="str">
        <f t="shared" si="82"/>
        <v/>
      </c>
      <c r="N176" s="165" t="str">
        <f t="shared" si="83"/>
        <v/>
      </c>
      <c r="O176" s="165">
        <f>SUM(Table25[[#This Row],[M1-1]:[M18-13]])</f>
        <v>0</v>
      </c>
    </row>
    <row r="177" spans="1:15" ht="40" customHeight="1" x14ac:dyDescent="0.15">
      <c r="A177" s="169" t="s">
        <v>176</v>
      </c>
      <c r="B177" s="170" t="s">
        <v>177</v>
      </c>
      <c r="C177" s="63" t="str">
        <f t="shared" si="72"/>
        <v/>
      </c>
      <c r="D177" s="63" t="str">
        <f t="shared" si="73"/>
        <v/>
      </c>
      <c r="E177" s="63" t="str">
        <f t="shared" si="74"/>
        <v/>
      </c>
      <c r="F177" s="63" t="str">
        <f t="shared" si="75"/>
        <v/>
      </c>
      <c r="G177" s="63" t="str">
        <f t="shared" si="76"/>
        <v/>
      </c>
      <c r="H177" s="63" t="str">
        <f t="shared" si="77"/>
        <v/>
      </c>
      <c r="I177" s="63" t="str">
        <f t="shared" si="78"/>
        <v/>
      </c>
      <c r="J177" s="63" t="str">
        <f t="shared" si="79"/>
        <v/>
      </c>
      <c r="K177" s="63" t="str">
        <f t="shared" si="80"/>
        <v/>
      </c>
      <c r="L177" s="63" t="str">
        <f t="shared" si="81"/>
        <v/>
      </c>
      <c r="M177" s="63" t="str">
        <f t="shared" si="82"/>
        <v/>
      </c>
      <c r="N177" s="165" t="str">
        <f t="shared" si="83"/>
        <v/>
      </c>
      <c r="O177" s="165">
        <f>SUM(Table25[[#This Row],[M1-1]:[M18-13]])</f>
        <v>0</v>
      </c>
    </row>
    <row r="178" spans="1:15" ht="40" customHeight="1" x14ac:dyDescent="0.15">
      <c r="A178" s="169" t="s">
        <v>178</v>
      </c>
      <c r="B178" s="170" t="s">
        <v>179</v>
      </c>
      <c r="C178" s="63" t="str">
        <f t="shared" si="72"/>
        <v/>
      </c>
      <c r="D178" s="63" t="str">
        <f t="shared" si="73"/>
        <v/>
      </c>
      <c r="E178" s="63" t="str">
        <f t="shared" si="74"/>
        <v/>
      </c>
      <c r="F178" s="63" t="str">
        <f t="shared" si="75"/>
        <v/>
      </c>
      <c r="G178" s="63" t="str">
        <f t="shared" si="76"/>
        <v/>
      </c>
      <c r="H178" s="63" t="str">
        <f t="shared" si="77"/>
        <v/>
      </c>
      <c r="I178" s="63" t="str">
        <f t="shared" si="78"/>
        <v/>
      </c>
      <c r="J178" s="63" t="str">
        <f t="shared" si="79"/>
        <v/>
      </c>
      <c r="K178" s="63" t="str">
        <f t="shared" si="80"/>
        <v/>
      </c>
      <c r="L178" s="63" t="str">
        <f t="shared" si="81"/>
        <v/>
      </c>
      <c r="M178" s="63" t="str">
        <f t="shared" si="82"/>
        <v/>
      </c>
      <c r="N178" s="165" t="str">
        <f t="shared" si="83"/>
        <v/>
      </c>
      <c r="O178" s="165">
        <f>SUM(Table25[[#This Row],[M1-1]:[M18-13]])</f>
        <v>0</v>
      </c>
    </row>
    <row r="179" spans="1:15" ht="40" customHeight="1" x14ac:dyDescent="0.15">
      <c r="A179" s="169" t="s">
        <v>180</v>
      </c>
      <c r="B179" s="170" t="s">
        <v>181</v>
      </c>
      <c r="C179" s="63" t="str">
        <f t="shared" si="72"/>
        <v/>
      </c>
      <c r="D179" s="63" t="str">
        <f t="shared" si="73"/>
        <v/>
      </c>
      <c r="E179" s="63" t="str">
        <f t="shared" si="74"/>
        <v/>
      </c>
      <c r="F179" s="63" t="str">
        <f t="shared" si="75"/>
        <v/>
      </c>
      <c r="G179" s="63" t="str">
        <f t="shared" si="76"/>
        <v/>
      </c>
      <c r="H179" s="63" t="str">
        <f t="shared" si="77"/>
        <v/>
      </c>
      <c r="I179" s="63" t="str">
        <f t="shared" si="78"/>
        <v/>
      </c>
      <c r="J179" s="63" t="str">
        <f t="shared" si="79"/>
        <v/>
      </c>
      <c r="K179" s="63" t="str">
        <f t="shared" si="80"/>
        <v/>
      </c>
      <c r="L179" s="63" t="str">
        <f t="shared" si="81"/>
        <v/>
      </c>
      <c r="M179" s="63" t="str">
        <f t="shared" si="82"/>
        <v/>
      </c>
      <c r="N179" s="165" t="str">
        <f t="shared" si="83"/>
        <v/>
      </c>
      <c r="O179" s="165">
        <f>SUM(Table25[[#This Row],[M1-1]:[M18-13]])</f>
        <v>0</v>
      </c>
    </row>
    <row r="180" spans="1:15" ht="40" customHeight="1" x14ac:dyDescent="0.15">
      <c r="A180" s="167" t="s">
        <v>182</v>
      </c>
      <c r="B180" s="168" t="s">
        <v>183</v>
      </c>
      <c r="C180" s="63" t="str">
        <f t="shared" si="72"/>
        <v/>
      </c>
      <c r="D180" s="63" t="str">
        <f t="shared" si="73"/>
        <v/>
      </c>
      <c r="E180" s="63" t="str">
        <f t="shared" si="74"/>
        <v/>
      </c>
      <c r="F180" s="63" t="str">
        <f t="shared" si="75"/>
        <v/>
      </c>
      <c r="G180" s="63" t="str">
        <f t="shared" si="76"/>
        <v/>
      </c>
      <c r="H180" s="63" t="str">
        <f t="shared" si="77"/>
        <v/>
      </c>
      <c r="I180" s="63" t="str">
        <f t="shared" si="78"/>
        <v/>
      </c>
      <c r="J180" s="63" t="str">
        <f t="shared" si="79"/>
        <v/>
      </c>
      <c r="K180" s="63" t="str">
        <f t="shared" si="80"/>
        <v/>
      </c>
      <c r="L180" s="63" t="str">
        <f t="shared" si="81"/>
        <v/>
      </c>
      <c r="M180" s="63" t="str">
        <f t="shared" si="82"/>
        <v/>
      </c>
      <c r="N180" s="165" t="str">
        <f t="shared" si="83"/>
        <v/>
      </c>
      <c r="O180" s="165">
        <f>SUM(Table25[[#This Row],[M1-1]:[M18-13]])</f>
        <v>0</v>
      </c>
    </row>
    <row r="181" spans="1:15" ht="40" customHeight="1" x14ac:dyDescent="0.15">
      <c r="A181" s="167" t="s">
        <v>184</v>
      </c>
      <c r="B181" s="168" t="s">
        <v>185</v>
      </c>
      <c r="C181" s="63" t="str">
        <f t="shared" si="72"/>
        <v/>
      </c>
      <c r="D181" s="63" t="str">
        <f t="shared" si="73"/>
        <v/>
      </c>
      <c r="E181" s="63" t="str">
        <f t="shared" si="74"/>
        <v/>
      </c>
      <c r="F181" s="63" t="str">
        <f t="shared" si="75"/>
        <v/>
      </c>
      <c r="G181" s="63" t="str">
        <f t="shared" si="76"/>
        <v/>
      </c>
      <c r="H181" s="63" t="str">
        <f t="shared" si="77"/>
        <v/>
      </c>
      <c r="I181" s="63" t="str">
        <f t="shared" si="78"/>
        <v/>
      </c>
      <c r="J181" s="63" t="str">
        <f t="shared" si="79"/>
        <v/>
      </c>
      <c r="K181" s="63" t="str">
        <f t="shared" si="80"/>
        <v/>
      </c>
      <c r="L181" s="63" t="str">
        <f t="shared" si="81"/>
        <v/>
      </c>
      <c r="M181" s="63" t="str">
        <f t="shared" si="82"/>
        <v/>
      </c>
      <c r="N181" s="165" t="str">
        <f t="shared" si="83"/>
        <v/>
      </c>
      <c r="O181" s="165">
        <f>SUM(Table25[[#This Row],[M1-1]:[M18-13]])</f>
        <v>0</v>
      </c>
    </row>
    <row r="182" spans="1:15" ht="40" customHeight="1" x14ac:dyDescent="0.15">
      <c r="A182" s="163" t="s">
        <v>186</v>
      </c>
      <c r="B182" s="164"/>
      <c r="C182" s="63" t="str">
        <f t="shared" si="72"/>
        <v/>
      </c>
      <c r="D182" s="63" t="str">
        <f t="shared" si="73"/>
        <v/>
      </c>
      <c r="E182" s="63" t="str">
        <f t="shared" si="74"/>
        <v/>
      </c>
      <c r="F182" s="63" t="str">
        <f t="shared" si="75"/>
        <v/>
      </c>
      <c r="G182" s="63" t="str">
        <f t="shared" si="76"/>
        <v/>
      </c>
      <c r="H182" s="63" t="str">
        <f t="shared" si="77"/>
        <v/>
      </c>
      <c r="I182" s="63" t="str">
        <f t="shared" si="78"/>
        <v/>
      </c>
      <c r="J182" s="63" t="str">
        <f t="shared" si="79"/>
        <v/>
      </c>
      <c r="K182" s="63" t="str">
        <f t="shared" si="80"/>
        <v/>
      </c>
      <c r="L182" s="63" t="str">
        <f t="shared" si="81"/>
        <v/>
      </c>
      <c r="M182" s="63" t="str">
        <f t="shared" si="82"/>
        <v/>
      </c>
      <c r="N182" s="165" t="str">
        <f t="shared" si="83"/>
        <v/>
      </c>
      <c r="O182" s="165">
        <f>SUM(Table25[[#This Row],[M1-1]:[M18-13]])</f>
        <v>0</v>
      </c>
    </row>
    <row r="183" spans="1:15" ht="40" customHeight="1" x14ac:dyDescent="0.15">
      <c r="A183" s="167" t="s">
        <v>187</v>
      </c>
      <c r="B183" s="168" t="s">
        <v>188</v>
      </c>
      <c r="C183" s="63" t="str">
        <f t="shared" ref="C183:C214" si="84">J73</f>
        <v/>
      </c>
      <c r="D183" s="63" t="str">
        <f t="shared" ref="D183:D214" si="85">R73</f>
        <v/>
      </c>
      <c r="E183" s="63" t="str">
        <f t="shared" ref="E183:E214" si="86">Z73</f>
        <v/>
      </c>
      <c r="F183" s="63" t="str">
        <f t="shared" ref="F183:F214" si="87">AH73</f>
        <v/>
      </c>
      <c r="G183" s="63" t="str">
        <f t="shared" ref="G183:G214" si="88">AP73</f>
        <v/>
      </c>
      <c r="H183" s="63" t="str">
        <f t="shared" ref="H183:H214" si="89">AX73</f>
        <v/>
      </c>
      <c r="I183" s="63" t="str">
        <f t="shared" ref="I183:I214" si="90">BF73</f>
        <v/>
      </c>
      <c r="J183" s="63" t="str">
        <f t="shared" ref="J183:J214" si="91">BN73</f>
        <v/>
      </c>
      <c r="K183" s="63" t="str">
        <f t="shared" ref="K183:K214" si="92">BV73</f>
        <v/>
      </c>
      <c r="L183" s="63" t="str">
        <f t="shared" ref="L183:L214" si="93">CD73</f>
        <v/>
      </c>
      <c r="M183" s="63" t="str">
        <f t="shared" ref="M183:M214" si="94">CL73</f>
        <v/>
      </c>
      <c r="N183" s="165" t="str">
        <f t="shared" ref="N183:N214" si="95">CT73</f>
        <v/>
      </c>
      <c r="O183" s="165">
        <f>SUM(Table25[[#This Row],[M1-1]:[M18-13]])</f>
        <v>0</v>
      </c>
    </row>
    <row r="184" spans="1:15" ht="40" customHeight="1" x14ac:dyDescent="0.15">
      <c r="A184" s="169" t="s">
        <v>189</v>
      </c>
      <c r="B184" s="170" t="s">
        <v>190</v>
      </c>
      <c r="C184" s="63" t="str">
        <f t="shared" si="84"/>
        <v/>
      </c>
      <c r="D184" s="63" t="str">
        <f t="shared" si="85"/>
        <v/>
      </c>
      <c r="E184" s="63" t="str">
        <f t="shared" si="86"/>
        <v/>
      </c>
      <c r="F184" s="63" t="str">
        <f t="shared" si="87"/>
        <v/>
      </c>
      <c r="G184" s="63" t="str">
        <f t="shared" si="88"/>
        <v/>
      </c>
      <c r="H184" s="63" t="str">
        <f t="shared" si="89"/>
        <v/>
      </c>
      <c r="I184" s="63" t="str">
        <f t="shared" si="90"/>
        <v/>
      </c>
      <c r="J184" s="63" t="str">
        <f t="shared" si="91"/>
        <v/>
      </c>
      <c r="K184" s="63" t="str">
        <f t="shared" si="92"/>
        <v/>
      </c>
      <c r="L184" s="63" t="str">
        <f t="shared" si="93"/>
        <v/>
      </c>
      <c r="M184" s="63" t="str">
        <f t="shared" si="94"/>
        <v/>
      </c>
      <c r="N184" s="165" t="str">
        <f t="shared" si="95"/>
        <v/>
      </c>
      <c r="O184" s="165">
        <f>SUM(Table25[[#This Row],[M1-1]:[M18-13]])</f>
        <v>0</v>
      </c>
    </row>
    <row r="185" spans="1:15" ht="40" customHeight="1" x14ac:dyDescent="0.15">
      <c r="A185" s="167" t="s">
        <v>191</v>
      </c>
      <c r="B185" s="168" t="s">
        <v>192</v>
      </c>
      <c r="C185" s="63" t="str">
        <f t="shared" si="84"/>
        <v/>
      </c>
      <c r="D185" s="63" t="str">
        <f t="shared" si="85"/>
        <v/>
      </c>
      <c r="E185" s="63" t="str">
        <f t="shared" si="86"/>
        <v/>
      </c>
      <c r="F185" s="63" t="str">
        <f t="shared" si="87"/>
        <v/>
      </c>
      <c r="G185" s="63" t="str">
        <f t="shared" si="88"/>
        <v/>
      </c>
      <c r="H185" s="63" t="str">
        <f t="shared" si="89"/>
        <v/>
      </c>
      <c r="I185" s="63" t="str">
        <f t="shared" si="90"/>
        <v/>
      </c>
      <c r="J185" s="63" t="str">
        <f t="shared" si="91"/>
        <v/>
      </c>
      <c r="K185" s="63" t="str">
        <f t="shared" si="92"/>
        <v/>
      </c>
      <c r="L185" s="63" t="str">
        <f t="shared" si="93"/>
        <v/>
      </c>
      <c r="M185" s="63" t="str">
        <f t="shared" si="94"/>
        <v/>
      </c>
      <c r="N185" s="165" t="str">
        <f t="shared" si="95"/>
        <v/>
      </c>
      <c r="O185" s="165">
        <f>SUM(Table25[[#This Row],[M1-1]:[M18-13]])</f>
        <v>0</v>
      </c>
    </row>
    <row r="186" spans="1:15" ht="40" customHeight="1" x14ac:dyDescent="0.15">
      <c r="A186" s="169" t="s">
        <v>193</v>
      </c>
      <c r="B186" s="170" t="s">
        <v>194</v>
      </c>
      <c r="C186" s="63" t="str">
        <f t="shared" si="84"/>
        <v/>
      </c>
      <c r="D186" s="63" t="str">
        <f t="shared" si="85"/>
        <v/>
      </c>
      <c r="E186" s="63" t="str">
        <f t="shared" si="86"/>
        <v/>
      </c>
      <c r="F186" s="63" t="str">
        <f t="shared" si="87"/>
        <v/>
      </c>
      <c r="G186" s="63" t="str">
        <f t="shared" si="88"/>
        <v/>
      </c>
      <c r="H186" s="63" t="str">
        <f t="shared" si="89"/>
        <v/>
      </c>
      <c r="I186" s="63" t="str">
        <f t="shared" si="90"/>
        <v/>
      </c>
      <c r="J186" s="63" t="str">
        <f t="shared" si="91"/>
        <v/>
      </c>
      <c r="K186" s="63" t="str">
        <f t="shared" si="92"/>
        <v/>
      </c>
      <c r="L186" s="63" t="str">
        <f t="shared" si="93"/>
        <v/>
      </c>
      <c r="M186" s="63" t="str">
        <f t="shared" si="94"/>
        <v/>
      </c>
      <c r="N186" s="165" t="str">
        <f t="shared" si="95"/>
        <v/>
      </c>
      <c r="O186" s="165">
        <f>SUM(Table25[[#This Row],[M1-1]:[M18-13]])</f>
        <v>0</v>
      </c>
    </row>
    <row r="187" spans="1:15" ht="40" customHeight="1" x14ac:dyDescent="0.15">
      <c r="A187" s="169" t="s">
        <v>195</v>
      </c>
      <c r="B187" s="170" t="s">
        <v>196</v>
      </c>
      <c r="C187" s="63" t="str">
        <f t="shared" si="84"/>
        <v/>
      </c>
      <c r="D187" s="63" t="str">
        <f t="shared" si="85"/>
        <v/>
      </c>
      <c r="E187" s="63" t="str">
        <f t="shared" si="86"/>
        <v/>
      </c>
      <c r="F187" s="63" t="str">
        <f t="shared" si="87"/>
        <v/>
      </c>
      <c r="G187" s="63" t="str">
        <f t="shared" si="88"/>
        <v/>
      </c>
      <c r="H187" s="63" t="str">
        <f t="shared" si="89"/>
        <v/>
      </c>
      <c r="I187" s="63" t="str">
        <f t="shared" si="90"/>
        <v/>
      </c>
      <c r="J187" s="63" t="str">
        <f t="shared" si="91"/>
        <v/>
      </c>
      <c r="K187" s="63" t="str">
        <f t="shared" si="92"/>
        <v/>
      </c>
      <c r="L187" s="63" t="str">
        <f t="shared" si="93"/>
        <v/>
      </c>
      <c r="M187" s="63" t="str">
        <f t="shared" si="94"/>
        <v/>
      </c>
      <c r="N187" s="165" t="str">
        <f t="shared" si="95"/>
        <v/>
      </c>
      <c r="O187" s="165">
        <f>SUM(Table25[[#This Row],[M1-1]:[M18-13]])</f>
        <v>0</v>
      </c>
    </row>
    <row r="188" spans="1:15" ht="40" customHeight="1" x14ac:dyDescent="0.15">
      <c r="A188" s="163" t="s">
        <v>197</v>
      </c>
      <c r="B188" s="164"/>
      <c r="C188" s="63" t="str">
        <f t="shared" si="84"/>
        <v/>
      </c>
      <c r="D188" s="63" t="str">
        <f t="shared" si="85"/>
        <v/>
      </c>
      <c r="E188" s="63" t="str">
        <f t="shared" si="86"/>
        <v/>
      </c>
      <c r="F188" s="63" t="str">
        <f t="shared" si="87"/>
        <v/>
      </c>
      <c r="G188" s="63" t="str">
        <f t="shared" si="88"/>
        <v/>
      </c>
      <c r="H188" s="63" t="str">
        <f t="shared" si="89"/>
        <v/>
      </c>
      <c r="I188" s="63" t="str">
        <f t="shared" si="90"/>
        <v/>
      </c>
      <c r="J188" s="63" t="str">
        <f t="shared" si="91"/>
        <v/>
      </c>
      <c r="K188" s="63" t="str">
        <f t="shared" si="92"/>
        <v/>
      </c>
      <c r="L188" s="63" t="str">
        <f t="shared" si="93"/>
        <v/>
      </c>
      <c r="M188" s="63" t="str">
        <f t="shared" si="94"/>
        <v/>
      </c>
      <c r="N188" s="165" t="str">
        <f t="shared" si="95"/>
        <v/>
      </c>
      <c r="O188" s="165">
        <f>SUM(Table25[[#This Row],[M1-1]:[M18-13]])</f>
        <v>0</v>
      </c>
    </row>
    <row r="189" spans="1:15" ht="40" customHeight="1" x14ac:dyDescent="0.15">
      <c r="A189" s="169" t="s">
        <v>198</v>
      </c>
      <c r="B189" s="170" t="s">
        <v>199</v>
      </c>
      <c r="C189" s="63" t="str">
        <f t="shared" si="84"/>
        <v/>
      </c>
      <c r="D189" s="63" t="str">
        <f t="shared" si="85"/>
        <v/>
      </c>
      <c r="E189" s="63" t="str">
        <f t="shared" si="86"/>
        <v/>
      </c>
      <c r="F189" s="63" t="str">
        <f t="shared" si="87"/>
        <v/>
      </c>
      <c r="G189" s="63" t="str">
        <f t="shared" si="88"/>
        <v/>
      </c>
      <c r="H189" s="63" t="str">
        <f t="shared" si="89"/>
        <v/>
      </c>
      <c r="I189" s="63" t="str">
        <f t="shared" si="90"/>
        <v/>
      </c>
      <c r="J189" s="63" t="str">
        <f t="shared" si="91"/>
        <v/>
      </c>
      <c r="K189" s="63" t="str">
        <f t="shared" si="92"/>
        <v/>
      </c>
      <c r="L189" s="63" t="str">
        <f t="shared" si="93"/>
        <v/>
      </c>
      <c r="M189" s="63" t="str">
        <f t="shared" si="94"/>
        <v/>
      </c>
      <c r="N189" s="165" t="str">
        <f t="shared" si="95"/>
        <v/>
      </c>
      <c r="O189" s="165">
        <f>SUM(Table25[[#This Row],[M1-1]:[M18-13]])</f>
        <v>0</v>
      </c>
    </row>
    <row r="190" spans="1:15" ht="40" customHeight="1" x14ac:dyDescent="0.15">
      <c r="A190" s="167" t="s">
        <v>200</v>
      </c>
      <c r="B190" s="168" t="s">
        <v>201</v>
      </c>
      <c r="C190" s="63" t="str">
        <f t="shared" si="84"/>
        <v/>
      </c>
      <c r="D190" s="63" t="str">
        <f t="shared" si="85"/>
        <v/>
      </c>
      <c r="E190" s="63" t="str">
        <f t="shared" si="86"/>
        <v/>
      </c>
      <c r="F190" s="63" t="str">
        <f t="shared" si="87"/>
        <v/>
      </c>
      <c r="G190" s="63" t="str">
        <f t="shared" si="88"/>
        <v/>
      </c>
      <c r="H190" s="63" t="str">
        <f t="shared" si="89"/>
        <v/>
      </c>
      <c r="I190" s="63" t="str">
        <f t="shared" si="90"/>
        <v/>
      </c>
      <c r="J190" s="63" t="str">
        <f t="shared" si="91"/>
        <v/>
      </c>
      <c r="K190" s="63" t="str">
        <f t="shared" si="92"/>
        <v/>
      </c>
      <c r="L190" s="63" t="str">
        <f t="shared" si="93"/>
        <v/>
      </c>
      <c r="M190" s="63" t="str">
        <f t="shared" si="94"/>
        <v/>
      </c>
      <c r="N190" s="165" t="str">
        <f t="shared" si="95"/>
        <v/>
      </c>
      <c r="O190" s="165">
        <f>SUM(Table25[[#This Row],[M1-1]:[M18-13]])</f>
        <v>0</v>
      </c>
    </row>
    <row r="191" spans="1:15" ht="40" customHeight="1" x14ac:dyDescent="0.15">
      <c r="A191" s="169" t="s">
        <v>202</v>
      </c>
      <c r="B191" s="170" t="s">
        <v>203</v>
      </c>
      <c r="C191" s="63" t="str">
        <f t="shared" si="84"/>
        <v/>
      </c>
      <c r="D191" s="63" t="str">
        <f t="shared" si="85"/>
        <v/>
      </c>
      <c r="E191" s="63" t="str">
        <f t="shared" si="86"/>
        <v/>
      </c>
      <c r="F191" s="63" t="str">
        <f t="shared" si="87"/>
        <v/>
      </c>
      <c r="G191" s="63" t="str">
        <f t="shared" si="88"/>
        <v/>
      </c>
      <c r="H191" s="63" t="str">
        <f t="shared" si="89"/>
        <v/>
      </c>
      <c r="I191" s="63" t="str">
        <f t="shared" si="90"/>
        <v/>
      </c>
      <c r="J191" s="63" t="str">
        <f t="shared" si="91"/>
        <v/>
      </c>
      <c r="K191" s="63" t="str">
        <f t="shared" si="92"/>
        <v/>
      </c>
      <c r="L191" s="63" t="str">
        <f t="shared" si="93"/>
        <v/>
      </c>
      <c r="M191" s="63" t="str">
        <f t="shared" si="94"/>
        <v/>
      </c>
      <c r="N191" s="165" t="str">
        <f t="shared" si="95"/>
        <v/>
      </c>
      <c r="O191" s="165">
        <f>SUM(Table25[[#This Row],[M1-1]:[M18-13]])</f>
        <v>0</v>
      </c>
    </row>
    <row r="192" spans="1:15" ht="40" customHeight="1" x14ac:dyDescent="0.15">
      <c r="A192" s="167" t="s">
        <v>204</v>
      </c>
      <c r="B192" s="168" t="s">
        <v>205</v>
      </c>
      <c r="C192" s="63" t="str">
        <f t="shared" si="84"/>
        <v/>
      </c>
      <c r="D192" s="63" t="str">
        <f t="shared" si="85"/>
        <v/>
      </c>
      <c r="E192" s="63" t="str">
        <f t="shared" si="86"/>
        <v/>
      </c>
      <c r="F192" s="63" t="str">
        <f t="shared" si="87"/>
        <v/>
      </c>
      <c r="G192" s="63" t="str">
        <f t="shared" si="88"/>
        <v/>
      </c>
      <c r="H192" s="63" t="str">
        <f t="shared" si="89"/>
        <v/>
      </c>
      <c r="I192" s="63" t="str">
        <f t="shared" si="90"/>
        <v/>
      </c>
      <c r="J192" s="63" t="str">
        <f t="shared" si="91"/>
        <v/>
      </c>
      <c r="K192" s="63" t="str">
        <f t="shared" si="92"/>
        <v/>
      </c>
      <c r="L192" s="63" t="str">
        <f t="shared" si="93"/>
        <v/>
      </c>
      <c r="M192" s="63" t="str">
        <f t="shared" si="94"/>
        <v/>
      </c>
      <c r="N192" s="165" t="str">
        <f t="shared" si="95"/>
        <v/>
      </c>
      <c r="O192" s="165">
        <f>SUM(Table25[[#This Row],[M1-1]:[M18-13]])</f>
        <v>0</v>
      </c>
    </row>
    <row r="193" spans="1:15" ht="40" customHeight="1" x14ac:dyDescent="0.15">
      <c r="A193" s="169" t="s">
        <v>206</v>
      </c>
      <c r="B193" s="170" t="s">
        <v>207</v>
      </c>
      <c r="C193" s="63" t="str">
        <f t="shared" si="84"/>
        <v/>
      </c>
      <c r="D193" s="63" t="str">
        <f t="shared" si="85"/>
        <v/>
      </c>
      <c r="E193" s="63" t="str">
        <f t="shared" si="86"/>
        <v/>
      </c>
      <c r="F193" s="63" t="str">
        <f t="shared" si="87"/>
        <v/>
      </c>
      <c r="G193" s="63" t="str">
        <f t="shared" si="88"/>
        <v/>
      </c>
      <c r="H193" s="63" t="str">
        <f t="shared" si="89"/>
        <v/>
      </c>
      <c r="I193" s="63" t="str">
        <f t="shared" si="90"/>
        <v/>
      </c>
      <c r="J193" s="63" t="str">
        <f t="shared" si="91"/>
        <v/>
      </c>
      <c r="K193" s="63" t="str">
        <f t="shared" si="92"/>
        <v/>
      </c>
      <c r="L193" s="63" t="str">
        <f t="shared" si="93"/>
        <v/>
      </c>
      <c r="M193" s="63" t="str">
        <f t="shared" si="94"/>
        <v/>
      </c>
      <c r="N193" s="165" t="str">
        <f t="shared" si="95"/>
        <v/>
      </c>
      <c r="O193" s="165">
        <f>SUM(Table25[[#This Row],[M1-1]:[M18-13]])</f>
        <v>0</v>
      </c>
    </row>
    <row r="194" spans="1:15" ht="40" customHeight="1" x14ac:dyDescent="0.15">
      <c r="A194" s="167" t="s">
        <v>208</v>
      </c>
      <c r="B194" s="168" t="s">
        <v>209</v>
      </c>
      <c r="C194" s="63" t="str">
        <f t="shared" si="84"/>
        <v/>
      </c>
      <c r="D194" s="63" t="str">
        <f t="shared" si="85"/>
        <v/>
      </c>
      <c r="E194" s="63" t="str">
        <f t="shared" si="86"/>
        <v/>
      </c>
      <c r="F194" s="63" t="str">
        <f t="shared" si="87"/>
        <v/>
      </c>
      <c r="G194" s="63" t="str">
        <f t="shared" si="88"/>
        <v/>
      </c>
      <c r="H194" s="63" t="str">
        <f t="shared" si="89"/>
        <v/>
      </c>
      <c r="I194" s="63" t="str">
        <f t="shared" si="90"/>
        <v/>
      </c>
      <c r="J194" s="63" t="str">
        <f t="shared" si="91"/>
        <v/>
      </c>
      <c r="K194" s="63" t="str">
        <f t="shared" si="92"/>
        <v/>
      </c>
      <c r="L194" s="63" t="str">
        <f t="shared" si="93"/>
        <v/>
      </c>
      <c r="M194" s="63" t="str">
        <f t="shared" si="94"/>
        <v/>
      </c>
      <c r="N194" s="165" t="str">
        <f t="shared" si="95"/>
        <v/>
      </c>
      <c r="O194" s="165">
        <f>SUM(Table25[[#This Row],[M1-1]:[M18-13]])</f>
        <v>0</v>
      </c>
    </row>
    <row r="195" spans="1:15" ht="40" customHeight="1" x14ac:dyDescent="0.15">
      <c r="A195" s="169" t="s">
        <v>210</v>
      </c>
      <c r="B195" s="170" t="s">
        <v>211</v>
      </c>
      <c r="C195" s="63" t="str">
        <f t="shared" si="84"/>
        <v/>
      </c>
      <c r="D195" s="63" t="str">
        <f t="shared" si="85"/>
        <v/>
      </c>
      <c r="E195" s="63" t="str">
        <f t="shared" si="86"/>
        <v/>
      </c>
      <c r="F195" s="63" t="str">
        <f t="shared" si="87"/>
        <v/>
      </c>
      <c r="G195" s="63" t="str">
        <f t="shared" si="88"/>
        <v/>
      </c>
      <c r="H195" s="63" t="str">
        <f t="shared" si="89"/>
        <v/>
      </c>
      <c r="I195" s="63" t="str">
        <f t="shared" si="90"/>
        <v/>
      </c>
      <c r="J195" s="63" t="str">
        <f t="shared" si="91"/>
        <v/>
      </c>
      <c r="K195" s="63" t="str">
        <f t="shared" si="92"/>
        <v/>
      </c>
      <c r="L195" s="63" t="str">
        <f t="shared" si="93"/>
        <v/>
      </c>
      <c r="M195" s="63" t="str">
        <f t="shared" si="94"/>
        <v/>
      </c>
      <c r="N195" s="165" t="str">
        <f t="shared" si="95"/>
        <v/>
      </c>
      <c r="O195" s="165">
        <f>SUM(Table25[[#This Row],[M1-1]:[M18-13]])</f>
        <v>0</v>
      </c>
    </row>
    <row r="196" spans="1:15" ht="40" customHeight="1" x14ac:dyDescent="0.15">
      <c r="A196" s="167" t="s">
        <v>212</v>
      </c>
      <c r="B196" s="168" t="s">
        <v>213</v>
      </c>
      <c r="C196" s="63" t="str">
        <f t="shared" si="84"/>
        <v/>
      </c>
      <c r="D196" s="63" t="str">
        <f t="shared" si="85"/>
        <v/>
      </c>
      <c r="E196" s="63" t="str">
        <f t="shared" si="86"/>
        <v/>
      </c>
      <c r="F196" s="63" t="str">
        <f t="shared" si="87"/>
        <v/>
      </c>
      <c r="G196" s="63" t="str">
        <f t="shared" si="88"/>
        <v/>
      </c>
      <c r="H196" s="63" t="str">
        <f t="shared" si="89"/>
        <v/>
      </c>
      <c r="I196" s="63" t="str">
        <f t="shared" si="90"/>
        <v/>
      </c>
      <c r="J196" s="63" t="str">
        <f t="shared" si="91"/>
        <v/>
      </c>
      <c r="K196" s="63" t="str">
        <f t="shared" si="92"/>
        <v/>
      </c>
      <c r="L196" s="63" t="str">
        <f t="shared" si="93"/>
        <v/>
      </c>
      <c r="M196" s="63" t="str">
        <f t="shared" si="94"/>
        <v/>
      </c>
      <c r="N196" s="165" t="str">
        <f t="shared" si="95"/>
        <v/>
      </c>
      <c r="O196" s="165">
        <f>SUM(Table25[[#This Row],[M1-1]:[M18-13]])</f>
        <v>0</v>
      </c>
    </row>
    <row r="197" spans="1:15" ht="40" customHeight="1" x14ac:dyDescent="0.15">
      <c r="A197" s="167" t="s">
        <v>214</v>
      </c>
      <c r="B197" s="168" t="s">
        <v>215</v>
      </c>
      <c r="C197" s="63" t="str">
        <f t="shared" si="84"/>
        <v/>
      </c>
      <c r="D197" s="63" t="str">
        <f t="shared" si="85"/>
        <v/>
      </c>
      <c r="E197" s="63" t="str">
        <f t="shared" si="86"/>
        <v/>
      </c>
      <c r="F197" s="63" t="str">
        <f t="shared" si="87"/>
        <v/>
      </c>
      <c r="G197" s="63" t="str">
        <f t="shared" si="88"/>
        <v/>
      </c>
      <c r="H197" s="63" t="str">
        <f t="shared" si="89"/>
        <v/>
      </c>
      <c r="I197" s="63" t="str">
        <f t="shared" si="90"/>
        <v/>
      </c>
      <c r="J197" s="63" t="str">
        <f t="shared" si="91"/>
        <v/>
      </c>
      <c r="K197" s="63" t="str">
        <f t="shared" si="92"/>
        <v/>
      </c>
      <c r="L197" s="63" t="str">
        <f t="shared" si="93"/>
        <v/>
      </c>
      <c r="M197" s="63" t="str">
        <f t="shared" si="94"/>
        <v/>
      </c>
      <c r="N197" s="165" t="str">
        <f t="shared" si="95"/>
        <v/>
      </c>
      <c r="O197" s="165">
        <f>SUM(Table25[[#This Row],[M1-1]:[M18-13]])</f>
        <v>0</v>
      </c>
    </row>
    <row r="198" spans="1:15" ht="40" customHeight="1" x14ac:dyDescent="0.15">
      <c r="A198" s="163" t="s">
        <v>216</v>
      </c>
      <c r="B198" s="164"/>
      <c r="C198" s="63" t="str">
        <f t="shared" si="84"/>
        <v/>
      </c>
      <c r="D198" s="63" t="str">
        <f t="shared" si="85"/>
        <v/>
      </c>
      <c r="E198" s="63" t="str">
        <f t="shared" si="86"/>
        <v/>
      </c>
      <c r="F198" s="63" t="str">
        <f t="shared" si="87"/>
        <v/>
      </c>
      <c r="G198" s="63" t="str">
        <f t="shared" si="88"/>
        <v/>
      </c>
      <c r="H198" s="63" t="str">
        <f t="shared" si="89"/>
        <v/>
      </c>
      <c r="I198" s="63" t="str">
        <f t="shared" si="90"/>
        <v/>
      </c>
      <c r="J198" s="63" t="str">
        <f t="shared" si="91"/>
        <v/>
      </c>
      <c r="K198" s="63" t="str">
        <f t="shared" si="92"/>
        <v/>
      </c>
      <c r="L198" s="63" t="str">
        <f t="shared" si="93"/>
        <v/>
      </c>
      <c r="M198" s="63" t="str">
        <f t="shared" si="94"/>
        <v/>
      </c>
      <c r="N198" s="165" t="str">
        <f t="shared" si="95"/>
        <v/>
      </c>
      <c r="O198" s="165">
        <f>SUM(Table25[[#This Row],[M1-1]:[M18-13]])</f>
        <v>0</v>
      </c>
    </row>
    <row r="199" spans="1:15" ht="40" customHeight="1" x14ac:dyDescent="0.15">
      <c r="A199" s="167" t="s">
        <v>217</v>
      </c>
      <c r="B199" s="168" t="s">
        <v>218</v>
      </c>
      <c r="C199" s="63" t="str">
        <f t="shared" si="84"/>
        <v/>
      </c>
      <c r="D199" s="63" t="str">
        <f t="shared" si="85"/>
        <v/>
      </c>
      <c r="E199" s="63" t="str">
        <f t="shared" si="86"/>
        <v/>
      </c>
      <c r="F199" s="63" t="str">
        <f t="shared" si="87"/>
        <v/>
      </c>
      <c r="G199" s="63" t="str">
        <f t="shared" si="88"/>
        <v/>
      </c>
      <c r="H199" s="63" t="str">
        <f t="shared" si="89"/>
        <v/>
      </c>
      <c r="I199" s="63" t="str">
        <f t="shared" si="90"/>
        <v/>
      </c>
      <c r="J199" s="63" t="str">
        <f t="shared" si="91"/>
        <v/>
      </c>
      <c r="K199" s="63" t="str">
        <f t="shared" si="92"/>
        <v/>
      </c>
      <c r="L199" s="63" t="str">
        <f t="shared" si="93"/>
        <v/>
      </c>
      <c r="M199" s="63" t="str">
        <f t="shared" si="94"/>
        <v/>
      </c>
      <c r="N199" s="165" t="str">
        <f t="shared" si="95"/>
        <v/>
      </c>
      <c r="O199" s="165">
        <f>SUM(Table25[[#This Row],[M1-1]:[M18-13]])</f>
        <v>0</v>
      </c>
    </row>
    <row r="200" spans="1:15" ht="40" customHeight="1" x14ac:dyDescent="0.15">
      <c r="A200" s="169" t="s">
        <v>219</v>
      </c>
      <c r="B200" s="170" t="s">
        <v>220</v>
      </c>
      <c r="C200" s="63" t="str">
        <f t="shared" si="84"/>
        <v/>
      </c>
      <c r="D200" s="63" t="str">
        <f t="shared" si="85"/>
        <v/>
      </c>
      <c r="E200" s="63" t="str">
        <f t="shared" si="86"/>
        <v/>
      </c>
      <c r="F200" s="63" t="str">
        <f t="shared" si="87"/>
        <v/>
      </c>
      <c r="G200" s="63" t="str">
        <f t="shared" si="88"/>
        <v/>
      </c>
      <c r="H200" s="63" t="str">
        <f t="shared" si="89"/>
        <v/>
      </c>
      <c r="I200" s="63" t="str">
        <f t="shared" si="90"/>
        <v/>
      </c>
      <c r="J200" s="63" t="str">
        <f t="shared" si="91"/>
        <v/>
      </c>
      <c r="K200" s="63" t="str">
        <f t="shared" si="92"/>
        <v/>
      </c>
      <c r="L200" s="63" t="str">
        <f t="shared" si="93"/>
        <v/>
      </c>
      <c r="M200" s="63" t="str">
        <f t="shared" si="94"/>
        <v/>
      </c>
      <c r="N200" s="165" t="str">
        <f t="shared" si="95"/>
        <v/>
      </c>
      <c r="O200" s="165">
        <f>SUM(Table25[[#This Row],[M1-1]:[M18-13]])</f>
        <v>0</v>
      </c>
    </row>
    <row r="201" spans="1:15" ht="40" customHeight="1" x14ac:dyDescent="0.15">
      <c r="A201" s="167" t="s">
        <v>221</v>
      </c>
      <c r="B201" s="168" t="s">
        <v>222</v>
      </c>
      <c r="C201" s="63" t="str">
        <f t="shared" si="84"/>
        <v/>
      </c>
      <c r="D201" s="63" t="str">
        <f t="shared" si="85"/>
        <v/>
      </c>
      <c r="E201" s="63" t="str">
        <f t="shared" si="86"/>
        <v/>
      </c>
      <c r="F201" s="63" t="str">
        <f t="shared" si="87"/>
        <v/>
      </c>
      <c r="G201" s="63" t="str">
        <f t="shared" si="88"/>
        <v/>
      </c>
      <c r="H201" s="63" t="str">
        <f t="shared" si="89"/>
        <v/>
      </c>
      <c r="I201" s="63" t="str">
        <f t="shared" si="90"/>
        <v/>
      </c>
      <c r="J201" s="63" t="str">
        <f t="shared" si="91"/>
        <v/>
      </c>
      <c r="K201" s="63" t="str">
        <f t="shared" si="92"/>
        <v/>
      </c>
      <c r="L201" s="63" t="str">
        <f t="shared" si="93"/>
        <v/>
      </c>
      <c r="M201" s="63" t="str">
        <f t="shared" si="94"/>
        <v/>
      </c>
      <c r="N201" s="165" t="str">
        <f t="shared" si="95"/>
        <v/>
      </c>
      <c r="O201" s="165">
        <f>SUM(Table25[[#This Row],[M1-1]:[M18-13]])</f>
        <v>0</v>
      </c>
    </row>
    <row r="202" spans="1:15" ht="40" customHeight="1" x14ac:dyDescent="0.15">
      <c r="A202" s="169" t="s">
        <v>223</v>
      </c>
      <c r="B202" s="170" t="s">
        <v>224</v>
      </c>
      <c r="C202" s="63" t="str">
        <f t="shared" si="84"/>
        <v/>
      </c>
      <c r="D202" s="63" t="str">
        <f t="shared" si="85"/>
        <v/>
      </c>
      <c r="E202" s="63" t="str">
        <f t="shared" si="86"/>
        <v/>
      </c>
      <c r="F202" s="63" t="str">
        <f t="shared" si="87"/>
        <v/>
      </c>
      <c r="G202" s="63" t="str">
        <f t="shared" si="88"/>
        <v/>
      </c>
      <c r="H202" s="63" t="str">
        <f t="shared" si="89"/>
        <v/>
      </c>
      <c r="I202" s="63" t="str">
        <f t="shared" si="90"/>
        <v/>
      </c>
      <c r="J202" s="63" t="str">
        <f t="shared" si="91"/>
        <v/>
      </c>
      <c r="K202" s="63" t="str">
        <f t="shared" si="92"/>
        <v/>
      </c>
      <c r="L202" s="63" t="str">
        <f t="shared" si="93"/>
        <v/>
      </c>
      <c r="M202" s="63" t="str">
        <f t="shared" si="94"/>
        <v/>
      </c>
      <c r="N202" s="165" t="str">
        <f t="shared" si="95"/>
        <v/>
      </c>
      <c r="O202" s="165">
        <f>SUM(Table25[[#This Row],[M1-1]:[M18-13]])</f>
        <v>0</v>
      </c>
    </row>
    <row r="203" spans="1:15" ht="40" customHeight="1" x14ac:dyDescent="0.15">
      <c r="A203" s="167" t="s">
        <v>225</v>
      </c>
      <c r="B203" s="168" t="s">
        <v>226</v>
      </c>
      <c r="C203" s="63" t="str">
        <f t="shared" si="84"/>
        <v/>
      </c>
      <c r="D203" s="63" t="str">
        <f t="shared" si="85"/>
        <v/>
      </c>
      <c r="E203" s="63" t="str">
        <f t="shared" si="86"/>
        <v/>
      </c>
      <c r="F203" s="63" t="str">
        <f t="shared" si="87"/>
        <v/>
      </c>
      <c r="G203" s="63" t="str">
        <f t="shared" si="88"/>
        <v/>
      </c>
      <c r="H203" s="63" t="str">
        <f t="shared" si="89"/>
        <v/>
      </c>
      <c r="I203" s="63" t="str">
        <f t="shared" si="90"/>
        <v/>
      </c>
      <c r="J203" s="63" t="str">
        <f t="shared" si="91"/>
        <v/>
      </c>
      <c r="K203" s="63" t="str">
        <f t="shared" si="92"/>
        <v/>
      </c>
      <c r="L203" s="63" t="str">
        <f t="shared" si="93"/>
        <v/>
      </c>
      <c r="M203" s="63" t="str">
        <f t="shared" si="94"/>
        <v/>
      </c>
      <c r="N203" s="165" t="str">
        <f t="shared" si="95"/>
        <v/>
      </c>
      <c r="O203" s="165">
        <f>SUM(Table25[[#This Row],[M1-1]:[M18-13]])</f>
        <v>0</v>
      </c>
    </row>
    <row r="204" spans="1:15" ht="40" customHeight="1" x14ac:dyDescent="0.15">
      <c r="A204" s="167" t="s">
        <v>227</v>
      </c>
      <c r="B204" s="168" t="s">
        <v>228</v>
      </c>
      <c r="C204" s="63" t="str">
        <f t="shared" si="84"/>
        <v/>
      </c>
      <c r="D204" s="63" t="str">
        <f t="shared" si="85"/>
        <v/>
      </c>
      <c r="E204" s="63" t="str">
        <f t="shared" si="86"/>
        <v/>
      </c>
      <c r="F204" s="63" t="str">
        <f t="shared" si="87"/>
        <v/>
      </c>
      <c r="G204" s="63" t="str">
        <f t="shared" si="88"/>
        <v/>
      </c>
      <c r="H204" s="63" t="str">
        <f t="shared" si="89"/>
        <v/>
      </c>
      <c r="I204" s="63" t="str">
        <f t="shared" si="90"/>
        <v/>
      </c>
      <c r="J204" s="63" t="str">
        <f t="shared" si="91"/>
        <v/>
      </c>
      <c r="K204" s="63" t="str">
        <f t="shared" si="92"/>
        <v/>
      </c>
      <c r="L204" s="63" t="str">
        <f t="shared" si="93"/>
        <v/>
      </c>
      <c r="M204" s="63" t="str">
        <f t="shared" si="94"/>
        <v/>
      </c>
      <c r="N204" s="165" t="str">
        <f t="shared" si="95"/>
        <v/>
      </c>
      <c r="O204" s="165">
        <f>SUM(Table25[[#This Row],[M1-1]:[M18-13]])</f>
        <v>0</v>
      </c>
    </row>
    <row r="205" spans="1:15" ht="40" customHeight="1" x14ac:dyDescent="0.15">
      <c r="A205" s="163" t="s">
        <v>229</v>
      </c>
      <c r="B205" s="164"/>
      <c r="C205" s="63" t="str">
        <f t="shared" si="84"/>
        <v/>
      </c>
      <c r="D205" s="63" t="str">
        <f t="shared" si="85"/>
        <v/>
      </c>
      <c r="E205" s="63" t="str">
        <f t="shared" si="86"/>
        <v/>
      </c>
      <c r="F205" s="63" t="str">
        <f t="shared" si="87"/>
        <v/>
      </c>
      <c r="G205" s="63" t="str">
        <f t="shared" si="88"/>
        <v/>
      </c>
      <c r="H205" s="63" t="str">
        <f t="shared" si="89"/>
        <v/>
      </c>
      <c r="I205" s="63" t="str">
        <f t="shared" si="90"/>
        <v/>
      </c>
      <c r="J205" s="63" t="str">
        <f t="shared" si="91"/>
        <v/>
      </c>
      <c r="K205" s="63" t="str">
        <f t="shared" si="92"/>
        <v/>
      </c>
      <c r="L205" s="63" t="str">
        <f t="shared" si="93"/>
        <v/>
      </c>
      <c r="M205" s="63" t="str">
        <f t="shared" si="94"/>
        <v/>
      </c>
      <c r="N205" s="165" t="str">
        <f t="shared" si="95"/>
        <v/>
      </c>
      <c r="O205" s="165">
        <f>SUM(Table25[[#This Row],[M1-1]:[M18-13]])</f>
        <v>0</v>
      </c>
    </row>
    <row r="206" spans="1:15" ht="40" customHeight="1" x14ac:dyDescent="0.15">
      <c r="A206" s="167" t="s">
        <v>230</v>
      </c>
      <c r="B206" s="168" t="s">
        <v>231</v>
      </c>
      <c r="C206" s="63" t="str">
        <f t="shared" si="84"/>
        <v/>
      </c>
      <c r="D206" s="63" t="str">
        <f t="shared" si="85"/>
        <v/>
      </c>
      <c r="E206" s="63" t="str">
        <f t="shared" si="86"/>
        <v/>
      </c>
      <c r="F206" s="63" t="str">
        <f t="shared" si="87"/>
        <v/>
      </c>
      <c r="G206" s="63" t="str">
        <f t="shared" si="88"/>
        <v/>
      </c>
      <c r="H206" s="63" t="str">
        <f t="shared" si="89"/>
        <v/>
      </c>
      <c r="I206" s="63" t="str">
        <f t="shared" si="90"/>
        <v/>
      </c>
      <c r="J206" s="63" t="str">
        <f t="shared" si="91"/>
        <v/>
      </c>
      <c r="K206" s="63" t="str">
        <f t="shared" si="92"/>
        <v/>
      </c>
      <c r="L206" s="63" t="str">
        <f t="shared" si="93"/>
        <v/>
      </c>
      <c r="M206" s="63" t="str">
        <f t="shared" si="94"/>
        <v/>
      </c>
      <c r="N206" s="165" t="str">
        <f t="shared" si="95"/>
        <v/>
      </c>
      <c r="O206" s="165">
        <f>SUM(Table25[[#This Row],[M1-1]:[M18-13]])</f>
        <v>0</v>
      </c>
    </row>
    <row r="207" spans="1:15" ht="40" customHeight="1" x14ac:dyDescent="0.15">
      <c r="A207" s="169" t="s">
        <v>232</v>
      </c>
      <c r="B207" s="170" t="s">
        <v>233</v>
      </c>
      <c r="C207" s="63" t="str">
        <f t="shared" si="84"/>
        <v/>
      </c>
      <c r="D207" s="63" t="str">
        <f t="shared" si="85"/>
        <v/>
      </c>
      <c r="E207" s="63" t="str">
        <f t="shared" si="86"/>
        <v/>
      </c>
      <c r="F207" s="63" t="str">
        <f t="shared" si="87"/>
        <v/>
      </c>
      <c r="G207" s="63" t="str">
        <f t="shared" si="88"/>
        <v/>
      </c>
      <c r="H207" s="63" t="str">
        <f t="shared" si="89"/>
        <v/>
      </c>
      <c r="I207" s="63" t="str">
        <f t="shared" si="90"/>
        <v/>
      </c>
      <c r="J207" s="63" t="str">
        <f t="shared" si="91"/>
        <v/>
      </c>
      <c r="K207" s="63" t="str">
        <f t="shared" si="92"/>
        <v/>
      </c>
      <c r="L207" s="63" t="str">
        <f t="shared" si="93"/>
        <v/>
      </c>
      <c r="M207" s="63" t="str">
        <f t="shared" si="94"/>
        <v/>
      </c>
      <c r="N207" s="165" t="str">
        <f t="shared" si="95"/>
        <v/>
      </c>
      <c r="O207" s="165">
        <f>SUM(Table25[[#This Row],[M1-1]:[M18-13]])</f>
        <v>0</v>
      </c>
    </row>
    <row r="208" spans="1:15" ht="40" customHeight="1" x14ac:dyDescent="0.15">
      <c r="A208" s="167" t="s">
        <v>234</v>
      </c>
      <c r="B208" s="168" t="s">
        <v>235</v>
      </c>
      <c r="C208" s="63" t="str">
        <f t="shared" si="84"/>
        <v/>
      </c>
      <c r="D208" s="63" t="str">
        <f t="shared" si="85"/>
        <v/>
      </c>
      <c r="E208" s="63" t="str">
        <f t="shared" si="86"/>
        <v/>
      </c>
      <c r="F208" s="63" t="str">
        <f t="shared" si="87"/>
        <v/>
      </c>
      <c r="G208" s="63" t="str">
        <f t="shared" si="88"/>
        <v/>
      </c>
      <c r="H208" s="63" t="str">
        <f t="shared" si="89"/>
        <v/>
      </c>
      <c r="I208" s="63" t="str">
        <f t="shared" si="90"/>
        <v/>
      </c>
      <c r="J208" s="63" t="str">
        <f t="shared" si="91"/>
        <v/>
      </c>
      <c r="K208" s="63" t="str">
        <f t="shared" si="92"/>
        <v/>
      </c>
      <c r="L208" s="63" t="str">
        <f t="shared" si="93"/>
        <v/>
      </c>
      <c r="M208" s="63" t="str">
        <f t="shared" si="94"/>
        <v/>
      </c>
      <c r="N208" s="165" t="str">
        <f t="shared" si="95"/>
        <v/>
      </c>
      <c r="O208" s="165">
        <f>SUM(Table25[[#This Row],[M1-1]:[M18-13]])</f>
        <v>0</v>
      </c>
    </row>
    <row r="209" spans="1:15" ht="40" customHeight="1" x14ac:dyDescent="0.15">
      <c r="A209" s="167" t="s">
        <v>236</v>
      </c>
      <c r="B209" s="168" t="s">
        <v>237</v>
      </c>
      <c r="C209" s="63" t="str">
        <f t="shared" si="84"/>
        <v/>
      </c>
      <c r="D209" s="63" t="str">
        <f t="shared" si="85"/>
        <v/>
      </c>
      <c r="E209" s="63" t="str">
        <f t="shared" si="86"/>
        <v/>
      </c>
      <c r="F209" s="63" t="str">
        <f t="shared" si="87"/>
        <v/>
      </c>
      <c r="G209" s="63" t="str">
        <f t="shared" si="88"/>
        <v/>
      </c>
      <c r="H209" s="63" t="str">
        <f t="shared" si="89"/>
        <v/>
      </c>
      <c r="I209" s="63" t="str">
        <f t="shared" si="90"/>
        <v/>
      </c>
      <c r="J209" s="63" t="str">
        <f t="shared" si="91"/>
        <v/>
      </c>
      <c r="K209" s="63" t="str">
        <f t="shared" si="92"/>
        <v/>
      </c>
      <c r="L209" s="63" t="str">
        <f t="shared" si="93"/>
        <v/>
      </c>
      <c r="M209" s="63" t="str">
        <f t="shared" si="94"/>
        <v/>
      </c>
      <c r="N209" s="165" t="str">
        <f t="shared" si="95"/>
        <v/>
      </c>
      <c r="O209" s="165">
        <f>SUM(Table25[[#This Row],[M1-1]:[M18-13]])</f>
        <v>0</v>
      </c>
    </row>
    <row r="210" spans="1:15" ht="40" customHeight="1" x14ac:dyDescent="0.15">
      <c r="A210" s="163" t="s">
        <v>238</v>
      </c>
      <c r="B210" s="164"/>
      <c r="C210" s="63" t="str">
        <f t="shared" si="84"/>
        <v/>
      </c>
      <c r="D210" s="63" t="str">
        <f t="shared" si="85"/>
        <v/>
      </c>
      <c r="E210" s="63" t="str">
        <f t="shared" si="86"/>
        <v/>
      </c>
      <c r="F210" s="63" t="str">
        <f t="shared" si="87"/>
        <v/>
      </c>
      <c r="G210" s="63" t="str">
        <f t="shared" si="88"/>
        <v/>
      </c>
      <c r="H210" s="63" t="str">
        <f t="shared" si="89"/>
        <v/>
      </c>
      <c r="I210" s="63" t="str">
        <f t="shared" si="90"/>
        <v/>
      </c>
      <c r="J210" s="63" t="str">
        <f t="shared" si="91"/>
        <v/>
      </c>
      <c r="K210" s="63" t="str">
        <f t="shared" si="92"/>
        <v/>
      </c>
      <c r="L210" s="63" t="str">
        <f t="shared" si="93"/>
        <v/>
      </c>
      <c r="M210" s="63" t="str">
        <f t="shared" si="94"/>
        <v/>
      </c>
      <c r="N210" s="165" t="str">
        <f t="shared" si="95"/>
        <v/>
      </c>
      <c r="O210" s="165">
        <f>SUM(Table25[[#This Row],[M1-1]:[M18-13]])</f>
        <v>0</v>
      </c>
    </row>
    <row r="211" spans="1:15" ht="40" customHeight="1" x14ac:dyDescent="0.15">
      <c r="A211" s="167" t="s">
        <v>239</v>
      </c>
      <c r="B211" s="168" t="s">
        <v>240</v>
      </c>
      <c r="C211" s="63" t="str">
        <f t="shared" si="84"/>
        <v/>
      </c>
      <c r="D211" s="63" t="str">
        <f t="shared" si="85"/>
        <v/>
      </c>
      <c r="E211" s="63" t="str">
        <f t="shared" si="86"/>
        <v/>
      </c>
      <c r="F211" s="63" t="str">
        <f t="shared" si="87"/>
        <v/>
      </c>
      <c r="G211" s="63" t="str">
        <f t="shared" si="88"/>
        <v/>
      </c>
      <c r="H211" s="63" t="str">
        <f t="shared" si="89"/>
        <v/>
      </c>
      <c r="I211" s="63" t="str">
        <f t="shared" si="90"/>
        <v/>
      </c>
      <c r="J211" s="63" t="str">
        <f t="shared" si="91"/>
        <v/>
      </c>
      <c r="K211" s="63" t="str">
        <f t="shared" si="92"/>
        <v/>
      </c>
      <c r="L211" s="63" t="str">
        <f t="shared" si="93"/>
        <v/>
      </c>
      <c r="M211" s="63" t="str">
        <f t="shared" si="94"/>
        <v/>
      </c>
      <c r="N211" s="165" t="str">
        <f t="shared" si="95"/>
        <v/>
      </c>
      <c r="O211" s="165">
        <f>SUM(Table25[[#This Row],[M1-1]:[M18-13]])</f>
        <v>0</v>
      </c>
    </row>
    <row r="212" spans="1:15" ht="40" customHeight="1" x14ac:dyDescent="0.15">
      <c r="A212" s="169" t="s">
        <v>241</v>
      </c>
      <c r="B212" s="170" t="s">
        <v>242</v>
      </c>
      <c r="C212" s="63" t="str">
        <f t="shared" si="84"/>
        <v/>
      </c>
      <c r="D212" s="63" t="str">
        <f t="shared" si="85"/>
        <v/>
      </c>
      <c r="E212" s="63" t="str">
        <f t="shared" si="86"/>
        <v/>
      </c>
      <c r="F212" s="63" t="str">
        <f t="shared" si="87"/>
        <v/>
      </c>
      <c r="G212" s="63" t="str">
        <f t="shared" si="88"/>
        <v/>
      </c>
      <c r="H212" s="63" t="str">
        <f t="shared" si="89"/>
        <v/>
      </c>
      <c r="I212" s="63" t="str">
        <f t="shared" si="90"/>
        <v/>
      </c>
      <c r="J212" s="63" t="str">
        <f t="shared" si="91"/>
        <v/>
      </c>
      <c r="K212" s="63" t="str">
        <f t="shared" si="92"/>
        <v/>
      </c>
      <c r="L212" s="63" t="str">
        <f t="shared" si="93"/>
        <v/>
      </c>
      <c r="M212" s="63" t="str">
        <f t="shared" si="94"/>
        <v/>
      </c>
      <c r="N212" s="165" t="str">
        <f t="shared" si="95"/>
        <v/>
      </c>
      <c r="O212" s="165">
        <f>SUM(Table25[[#This Row],[M1-1]:[M18-13]])</f>
        <v>0</v>
      </c>
    </row>
    <row r="213" spans="1:15" ht="40" customHeight="1" x14ac:dyDescent="0.15">
      <c r="A213" s="167" t="s">
        <v>243</v>
      </c>
      <c r="B213" s="168" t="s">
        <v>244</v>
      </c>
      <c r="C213" s="63" t="str">
        <f t="shared" si="84"/>
        <v/>
      </c>
      <c r="D213" s="63" t="str">
        <f t="shared" si="85"/>
        <v/>
      </c>
      <c r="E213" s="63" t="str">
        <f t="shared" si="86"/>
        <v/>
      </c>
      <c r="F213" s="63" t="str">
        <f t="shared" si="87"/>
        <v/>
      </c>
      <c r="G213" s="63" t="str">
        <f t="shared" si="88"/>
        <v/>
      </c>
      <c r="H213" s="63" t="str">
        <f t="shared" si="89"/>
        <v/>
      </c>
      <c r="I213" s="63" t="str">
        <f t="shared" si="90"/>
        <v/>
      </c>
      <c r="J213" s="63" t="str">
        <f t="shared" si="91"/>
        <v/>
      </c>
      <c r="K213" s="63" t="str">
        <f t="shared" si="92"/>
        <v/>
      </c>
      <c r="L213" s="63" t="str">
        <f t="shared" si="93"/>
        <v/>
      </c>
      <c r="M213" s="63" t="str">
        <f t="shared" si="94"/>
        <v/>
      </c>
      <c r="N213" s="165" t="str">
        <f t="shared" si="95"/>
        <v/>
      </c>
      <c r="O213" s="165">
        <f>SUM(Table25[[#This Row],[M1-1]:[M18-13]])</f>
        <v>0</v>
      </c>
    </row>
    <row r="214" spans="1:15" ht="40" customHeight="1" x14ac:dyDescent="0.15">
      <c r="A214" s="169" t="s">
        <v>245</v>
      </c>
      <c r="B214" s="170" t="s">
        <v>246</v>
      </c>
      <c r="C214" s="63" t="str">
        <f t="shared" si="84"/>
        <v/>
      </c>
      <c r="D214" s="63" t="str">
        <f t="shared" si="85"/>
        <v/>
      </c>
      <c r="E214" s="63" t="str">
        <f t="shared" si="86"/>
        <v/>
      </c>
      <c r="F214" s="63" t="str">
        <f t="shared" si="87"/>
        <v/>
      </c>
      <c r="G214" s="63" t="str">
        <f t="shared" si="88"/>
        <v/>
      </c>
      <c r="H214" s="63" t="str">
        <f t="shared" si="89"/>
        <v/>
      </c>
      <c r="I214" s="63" t="str">
        <f t="shared" si="90"/>
        <v/>
      </c>
      <c r="J214" s="63" t="str">
        <f t="shared" si="91"/>
        <v/>
      </c>
      <c r="K214" s="63" t="str">
        <f t="shared" si="92"/>
        <v/>
      </c>
      <c r="L214" s="63" t="str">
        <f t="shared" si="93"/>
        <v/>
      </c>
      <c r="M214" s="63" t="str">
        <f t="shared" si="94"/>
        <v/>
      </c>
      <c r="N214" s="165" t="str">
        <f t="shared" si="95"/>
        <v/>
      </c>
      <c r="O214" s="165">
        <f>SUM(Table25[[#This Row],[M1-1]:[M18-13]])</f>
        <v>0</v>
      </c>
    </row>
    <row r="215" spans="1:15" ht="40" customHeight="1" x14ac:dyDescent="0.15">
      <c r="A215" s="169" t="s">
        <v>247</v>
      </c>
      <c r="B215" s="170" t="s">
        <v>248</v>
      </c>
      <c r="C215" s="63" t="str">
        <f t="shared" ref="C215:C246" si="96">J105</f>
        <v/>
      </c>
      <c r="D215" s="63" t="str">
        <f t="shared" ref="D215:D246" si="97">R105</f>
        <v/>
      </c>
      <c r="E215" s="63" t="str">
        <f t="shared" ref="E215:E246" si="98">Z105</f>
        <v/>
      </c>
      <c r="F215" s="63" t="str">
        <f t="shared" ref="F215:F246" si="99">AH105</f>
        <v/>
      </c>
      <c r="G215" s="63" t="str">
        <f t="shared" ref="G215:G246" si="100">AP105</f>
        <v/>
      </c>
      <c r="H215" s="63" t="str">
        <f t="shared" ref="H215:H246" si="101">AX105</f>
        <v/>
      </c>
      <c r="I215" s="63" t="str">
        <f t="shared" ref="I215:I246" si="102">BF105</f>
        <v/>
      </c>
      <c r="J215" s="63" t="str">
        <f t="shared" ref="J215:J246" si="103">BN105</f>
        <v/>
      </c>
      <c r="K215" s="63" t="str">
        <f t="shared" ref="K215:K246" si="104">BV105</f>
        <v/>
      </c>
      <c r="L215" s="63" t="str">
        <f t="shared" ref="L215:L246" si="105">CD105</f>
        <v/>
      </c>
      <c r="M215" s="63" t="str">
        <f t="shared" ref="M215:M246" si="106">CL105</f>
        <v/>
      </c>
      <c r="N215" s="165" t="str">
        <f t="shared" ref="N215:N246" si="107">CT105</f>
        <v/>
      </c>
      <c r="O215" s="165">
        <f>SUM(Table25[[#This Row],[M1-1]:[M18-13]])</f>
        <v>0</v>
      </c>
    </row>
    <row r="216" spans="1:15" ht="40" customHeight="1" x14ac:dyDescent="0.15">
      <c r="A216" s="169" t="s">
        <v>249</v>
      </c>
      <c r="B216" s="170" t="s">
        <v>250</v>
      </c>
      <c r="C216" s="63" t="str">
        <f t="shared" si="96"/>
        <v/>
      </c>
      <c r="D216" s="63" t="str">
        <f t="shared" si="97"/>
        <v/>
      </c>
      <c r="E216" s="63" t="str">
        <f t="shared" si="98"/>
        <v/>
      </c>
      <c r="F216" s="63" t="str">
        <f t="shared" si="99"/>
        <v/>
      </c>
      <c r="G216" s="63" t="str">
        <f t="shared" si="100"/>
        <v/>
      </c>
      <c r="H216" s="63" t="str">
        <f t="shared" si="101"/>
        <v/>
      </c>
      <c r="I216" s="63" t="str">
        <f t="shared" si="102"/>
        <v/>
      </c>
      <c r="J216" s="63" t="str">
        <f t="shared" si="103"/>
        <v/>
      </c>
      <c r="K216" s="63" t="str">
        <f t="shared" si="104"/>
        <v/>
      </c>
      <c r="L216" s="63" t="str">
        <f t="shared" si="105"/>
        <v/>
      </c>
      <c r="M216" s="63" t="str">
        <f t="shared" si="106"/>
        <v/>
      </c>
      <c r="N216" s="165" t="str">
        <f t="shared" si="107"/>
        <v/>
      </c>
      <c r="O216" s="165">
        <f>SUM(Table25[[#This Row],[M1-1]:[M18-13]])</f>
        <v>0</v>
      </c>
    </row>
    <row r="217" spans="1:15" ht="40" customHeight="1" x14ac:dyDescent="0.15">
      <c r="A217" s="167" t="s">
        <v>251</v>
      </c>
      <c r="B217" s="168" t="s">
        <v>252</v>
      </c>
      <c r="C217" s="63" t="str">
        <f t="shared" si="96"/>
        <v/>
      </c>
      <c r="D217" s="63" t="str">
        <f t="shared" si="97"/>
        <v/>
      </c>
      <c r="E217" s="63" t="str">
        <f t="shared" si="98"/>
        <v/>
      </c>
      <c r="F217" s="63" t="str">
        <f t="shared" si="99"/>
        <v/>
      </c>
      <c r="G217" s="63" t="str">
        <f t="shared" si="100"/>
        <v/>
      </c>
      <c r="H217" s="63" t="str">
        <f t="shared" si="101"/>
        <v/>
      </c>
      <c r="I217" s="63" t="str">
        <f t="shared" si="102"/>
        <v/>
      </c>
      <c r="J217" s="63" t="str">
        <f t="shared" si="103"/>
        <v/>
      </c>
      <c r="K217" s="63" t="str">
        <f t="shared" si="104"/>
        <v/>
      </c>
      <c r="L217" s="63" t="str">
        <f t="shared" si="105"/>
        <v/>
      </c>
      <c r="M217" s="63" t="str">
        <f t="shared" si="106"/>
        <v/>
      </c>
      <c r="N217" s="165" t="str">
        <f t="shared" si="107"/>
        <v/>
      </c>
      <c r="O217" s="165">
        <f>SUM(Table25[[#This Row],[M1-1]:[M18-13]])</f>
        <v>0</v>
      </c>
    </row>
    <row r="218" spans="1:15" ht="40" customHeight="1" x14ac:dyDescent="0.15">
      <c r="A218" s="163" t="s">
        <v>253</v>
      </c>
      <c r="B218" s="164"/>
      <c r="C218" s="63" t="str">
        <f t="shared" si="96"/>
        <v/>
      </c>
      <c r="D218" s="63" t="str">
        <f t="shared" si="97"/>
        <v/>
      </c>
      <c r="E218" s="63" t="str">
        <f t="shared" si="98"/>
        <v/>
      </c>
      <c r="F218" s="63" t="str">
        <f t="shared" si="99"/>
        <v/>
      </c>
      <c r="G218" s="63" t="str">
        <f t="shared" si="100"/>
        <v/>
      </c>
      <c r="H218" s="63" t="str">
        <f t="shared" si="101"/>
        <v/>
      </c>
      <c r="I218" s="63" t="str">
        <f t="shared" si="102"/>
        <v/>
      </c>
      <c r="J218" s="63" t="str">
        <f t="shared" si="103"/>
        <v/>
      </c>
      <c r="K218" s="63" t="str">
        <f t="shared" si="104"/>
        <v/>
      </c>
      <c r="L218" s="63" t="str">
        <f t="shared" si="105"/>
        <v/>
      </c>
      <c r="M218" s="63" t="str">
        <f t="shared" si="106"/>
        <v/>
      </c>
      <c r="N218" s="165" t="str">
        <f t="shared" si="107"/>
        <v/>
      </c>
      <c r="O218" s="165">
        <f>SUM(Table25[[#This Row],[M1-1]:[M18-13]])</f>
        <v>0</v>
      </c>
    </row>
    <row r="219" spans="1:15" ht="40" customHeight="1" x14ac:dyDescent="0.15">
      <c r="A219" s="167" t="s">
        <v>254</v>
      </c>
      <c r="B219" s="168" t="s">
        <v>255</v>
      </c>
      <c r="C219" s="63" t="str">
        <f t="shared" si="96"/>
        <v/>
      </c>
      <c r="D219" s="63" t="str">
        <f t="shared" si="97"/>
        <v/>
      </c>
      <c r="E219" s="63" t="str">
        <f t="shared" si="98"/>
        <v/>
      </c>
      <c r="F219" s="63" t="str">
        <f t="shared" si="99"/>
        <v/>
      </c>
      <c r="G219" s="63" t="str">
        <f t="shared" si="100"/>
        <v/>
      </c>
      <c r="H219" s="63" t="str">
        <f t="shared" si="101"/>
        <v/>
      </c>
      <c r="I219" s="63" t="str">
        <f t="shared" si="102"/>
        <v/>
      </c>
      <c r="J219" s="63" t="str">
        <f t="shared" si="103"/>
        <v/>
      </c>
      <c r="K219" s="63" t="str">
        <f t="shared" si="104"/>
        <v/>
      </c>
      <c r="L219" s="63" t="str">
        <f t="shared" si="105"/>
        <v/>
      </c>
      <c r="M219" s="63" t="str">
        <f t="shared" si="106"/>
        <v/>
      </c>
      <c r="N219" s="165" t="str">
        <f t="shared" si="107"/>
        <v/>
      </c>
      <c r="O219" s="165">
        <f>SUM(Table25[[#This Row],[M1-1]:[M18-13]])</f>
        <v>0</v>
      </c>
    </row>
    <row r="220" spans="1:15" ht="40" customHeight="1" x14ac:dyDescent="0.15">
      <c r="A220" s="169"/>
      <c r="B220" s="170"/>
      <c r="C220" s="63" t="str">
        <f t="shared" si="96"/>
        <v/>
      </c>
      <c r="D220" s="63" t="str">
        <f t="shared" si="97"/>
        <v/>
      </c>
      <c r="E220" s="63" t="str">
        <f t="shared" si="98"/>
        <v/>
      </c>
      <c r="F220" s="63" t="str">
        <f t="shared" si="99"/>
        <v/>
      </c>
      <c r="G220" s="63" t="str">
        <f t="shared" si="100"/>
        <v/>
      </c>
      <c r="H220" s="63" t="str">
        <f t="shared" si="101"/>
        <v/>
      </c>
      <c r="I220" s="63" t="str">
        <f t="shared" si="102"/>
        <v/>
      </c>
      <c r="J220" s="63" t="str">
        <f t="shared" si="103"/>
        <v/>
      </c>
      <c r="K220" s="63" t="str">
        <f t="shared" si="104"/>
        <v/>
      </c>
      <c r="L220" s="63" t="str">
        <f t="shared" si="105"/>
        <v/>
      </c>
      <c r="M220" s="63" t="str">
        <f t="shared" si="106"/>
        <v/>
      </c>
      <c r="N220" s="165" t="str">
        <f t="shared" si="107"/>
        <v/>
      </c>
      <c r="O220" s="165">
        <f>SUM(Table25[[#This Row],[M1-1]:[M18-13]])</f>
        <v>0</v>
      </c>
    </row>
    <row r="221" spans="1:15" ht="40" customHeight="1" x14ac:dyDescent="0.15">
      <c r="A221" s="171"/>
      <c r="B221" s="172"/>
      <c r="C221" s="173" t="str">
        <f t="shared" si="96"/>
        <v/>
      </c>
      <c r="D221" s="173" t="str">
        <f t="shared" si="97"/>
        <v/>
      </c>
      <c r="E221" s="173" t="str">
        <f t="shared" si="98"/>
        <v/>
      </c>
      <c r="F221" s="173" t="str">
        <f t="shared" si="99"/>
        <v/>
      </c>
      <c r="G221" s="173" t="str">
        <f t="shared" si="100"/>
        <v/>
      </c>
      <c r="H221" s="173" t="str">
        <f t="shared" si="101"/>
        <v/>
      </c>
      <c r="I221" s="173" t="str">
        <f t="shared" si="102"/>
        <v/>
      </c>
      <c r="J221" s="173" t="str">
        <f t="shared" si="103"/>
        <v/>
      </c>
      <c r="K221" s="173" t="str">
        <f t="shared" si="104"/>
        <v/>
      </c>
      <c r="L221" s="173" t="str">
        <f t="shared" si="105"/>
        <v/>
      </c>
      <c r="M221" s="173" t="str">
        <f t="shared" si="106"/>
        <v/>
      </c>
      <c r="N221" s="83" t="str">
        <f t="shared" si="107"/>
        <v/>
      </c>
      <c r="O221" s="83">
        <f>SUM(Table25[[#This Row],[M1-1]:[M18-13]])</f>
        <v>0</v>
      </c>
    </row>
  </sheetData>
  <mergeCells count="25">
    <mergeCell ref="C1:CT3"/>
    <mergeCell ref="BG4:BM4"/>
    <mergeCell ref="AX5:AX8"/>
    <mergeCell ref="BF5:BF8"/>
    <mergeCell ref="AA4:AG4"/>
    <mergeCell ref="AI4:AO4"/>
    <mergeCell ref="CE4:CK4"/>
    <mergeCell ref="BW4:CC4"/>
    <mergeCell ref="R5:R8"/>
    <mergeCell ref="J5:J8"/>
    <mergeCell ref="C4:J4"/>
    <mergeCell ref="K4:Q4"/>
    <mergeCell ref="BN5:BN8"/>
    <mergeCell ref="S4:Y4"/>
    <mergeCell ref="BO4:BU4"/>
    <mergeCell ref="Z5:Z8"/>
    <mergeCell ref="AY4:BE4"/>
    <mergeCell ref="BV5:BV8"/>
    <mergeCell ref="CD5:CD8"/>
    <mergeCell ref="AQ4:AW4"/>
    <mergeCell ref="CM4:CT4"/>
    <mergeCell ref="AH5:AH8"/>
    <mergeCell ref="AP5:AP8"/>
    <mergeCell ref="CT5:CT8"/>
    <mergeCell ref="CL5:CL8"/>
  </mergeCell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BO167"/>
  <sheetViews>
    <sheetView showGridLines="0" zoomScale="24" zoomScaleNormal="35" workbookViewId="0">
      <selection activeCell="AX12" sqref="AX12"/>
    </sheetView>
  </sheetViews>
  <sheetFormatPr baseColWidth="10" defaultColWidth="13.6640625" defaultRowHeight="28" x14ac:dyDescent="0.3"/>
  <cols>
    <col min="1" max="1" width="35.6640625" style="129" customWidth="1"/>
    <col min="2" max="3" width="13.6640625" style="129" customWidth="1"/>
    <col min="4" max="4" width="21.33203125" style="155" bestFit="1" customWidth="1"/>
    <col min="5" max="9" width="13.6640625" style="129" customWidth="1"/>
    <col min="10" max="10" width="15.83203125" style="129" customWidth="1"/>
    <col min="11" max="12" width="13.6640625" style="129" customWidth="1"/>
    <col min="13" max="13" width="35.6640625" style="129" customWidth="1"/>
    <col min="14" max="15" width="13.6640625" style="129" customWidth="1"/>
    <col min="16" max="16" width="13.6640625" style="155" customWidth="1"/>
    <col min="17" max="18" width="13.6640625" style="129" customWidth="1"/>
    <col min="19" max="19" width="35.6640625" style="129" customWidth="1"/>
    <col min="20" max="21" width="13.6640625" style="129" customWidth="1"/>
    <col min="22" max="22" width="21.33203125" style="129" bestFit="1" customWidth="1"/>
    <col min="23" max="24" width="13.6640625" style="129" customWidth="1"/>
    <col min="25" max="25" width="35.6640625" style="129" customWidth="1"/>
    <col min="26" max="27" width="13.6640625" style="129" customWidth="1"/>
    <col min="28" max="28" width="21.33203125" style="129" bestFit="1" customWidth="1"/>
    <col min="29" max="35" width="13.6640625" style="129" customWidth="1"/>
    <col min="36" max="36" width="35.6640625" style="129" customWidth="1"/>
    <col min="37" max="38" width="13.6640625" style="129" customWidth="1"/>
    <col min="39" max="39" width="21.33203125" style="155" bestFit="1" customWidth="1"/>
    <col min="40" max="46" width="13.6640625" style="129" customWidth="1"/>
    <col min="47" max="47" width="35.6640625" style="129" customWidth="1"/>
    <col min="48" max="49" width="13.6640625" style="129" customWidth="1"/>
    <col min="50" max="50" width="21.33203125" style="129" bestFit="1" customWidth="1"/>
    <col min="51" max="57" width="13.6640625" style="129" customWidth="1"/>
    <col min="58" max="58" width="35.6640625" style="129" customWidth="1"/>
    <col min="59" max="59" width="13.6640625" style="129" customWidth="1"/>
    <col min="60" max="16384" width="13.6640625" style="129"/>
  </cols>
  <sheetData>
    <row r="1" spans="1:67" ht="40.5" customHeight="1" x14ac:dyDescent="0.3">
      <c r="A1" s="243" t="s">
        <v>297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152"/>
      <c r="M1" s="252" t="s">
        <v>298</v>
      </c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53"/>
      <c r="Y1" s="243" t="s">
        <v>299</v>
      </c>
      <c r="Z1" s="233"/>
      <c r="AA1" s="233"/>
      <c r="AB1" s="233"/>
      <c r="AC1" s="233"/>
      <c r="AD1" s="233"/>
      <c r="AE1" s="233"/>
      <c r="AF1" s="233"/>
      <c r="AG1" s="233"/>
      <c r="AH1" s="233"/>
      <c r="AI1" s="152"/>
      <c r="AJ1" s="243" t="s">
        <v>300</v>
      </c>
      <c r="AK1" s="233"/>
      <c r="AL1" s="233"/>
      <c r="AM1" s="233"/>
      <c r="AN1" s="233"/>
      <c r="AO1" s="233"/>
      <c r="AP1" s="233"/>
      <c r="AQ1" s="233"/>
      <c r="AR1" s="233"/>
      <c r="AS1" s="233"/>
      <c r="AT1" s="153"/>
      <c r="AU1" s="243" t="s">
        <v>301</v>
      </c>
      <c r="AV1" s="233"/>
      <c r="AW1" s="233"/>
      <c r="AX1" s="233"/>
      <c r="AY1" s="233"/>
      <c r="AZ1" s="233"/>
      <c r="BA1" s="233"/>
      <c r="BB1" s="233"/>
      <c r="BC1" s="233"/>
      <c r="BD1" s="233"/>
      <c r="BE1" s="153"/>
      <c r="BF1" s="243" t="s">
        <v>302</v>
      </c>
      <c r="BG1" s="233"/>
      <c r="BH1" s="233"/>
      <c r="BI1" s="233"/>
      <c r="BJ1" s="233"/>
      <c r="BK1" s="233"/>
      <c r="BL1" s="233"/>
      <c r="BM1" s="233"/>
      <c r="BN1" s="233"/>
      <c r="BO1" s="233"/>
    </row>
    <row r="2" spans="1:67" ht="65" customHeight="1" x14ac:dyDescent="0.3">
      <c r="A2" s="143" t="s">
        <v>260</v>
      </c>
      <c r="B2" s="143" t="s">
        <v>261</v>
      </c>
      <c r="C2" s="143" t="s">
        <v>262</v>
      </c>
      <c r="D2" s="144" t="s">
        <v>263</v>
      </c>
      <c r="E2" s="143" t="s">
        <v>264</v>
      </c>
      <c r="F2" s="143" t="s">
        <v>267</v>
      </c>
      <c r="G2" s="143" t="s">
        <v>268</v>
      </c>
      <c r="H2" s="143" t="s">
        <v>265</v>
      </c>
      <c r="I2" s="143" t="s">
        <v>270</v>
      </c>
      <c r="J2" s="143" t="s">
        <v>271</v>
      </c>
      <c r="K2" s="143" t="s">
        <v>272</v>
      </c>
      <c r="L2" s="152"/>
      <c r="M2" s="143" t="s">
        <v>260</v>
      </c>
      <c r="N2" s="143" t="s">
        <v>261</v>
      </c>
      <c r="O2" s="143" t="s">
        <v>262</v>
      </c>
      <c r="P2" s="144" t="s">
        <v>263</v>
      </c>
      <c r="Q2" s="143" t="s">
        <v>264</v>
      </c>
      <c r="R2" s="143" t="s">
        <v>267</v>
      </c>
      <c r="S2" s="143" t="s">
        <v>268</v>
      </c>
      <c r="T2" s="143" t="s">
        <v>303</v>
      </c>
      <c r="U2" s="143" t="s">
        <v>270</v>
      </c>
      <c r="V2" s="143" t="s">
        <v>271</v>
      </c>
      <c r="W2" s="143" t="s">
        <v>272</v>
      </c>
      <c r="X2" s="153"/>
      <c r="Y2" s="143" t="s">
        <v>260</v>
      </c>
      <c r="Z2" s="143" t="s">
        <v>261</v>
      </c>
      <c r="AA2" s="143" t="s">
        <v>262</v>
      </c>
      <c r="AB2" s="143" t="s">
        <v>263</v>
      </c>
      <c r="AC2" s="143" t="s">
        <v>264</v>
      </c>
      <c r="AD2" s="143" t="s">
        <v>267</v>
      </c>
      <c r="AE2" s="143" t="s">
        <v>268</v>
      </c>
      <c r="AF2" s="143" t="s">
        <v>270</v>
      </c>
      <c r="AG2" s="143" t="s">
        <v>271</v>
      </c>
      <c r="AH2" s="143" t="s">
        <v>272</v>
      </c>
      <c r="AI2" s="152"/>
      <c r="AJ2" s="143" t="s">
        <v>260</v>
      </c>
      <c r="AK2" s="143" t="s">
        <v>261</v>
      </c>
      <c r="AL2" s="143" t="s">
        <v>262</v>
      </c>
      <c r="AM2" s="143" t="s">
        <v>263</v>
      </c>
      <c r="AN2" s="143" t="s">
        <v>264</v>
      </c>
      <c r="AO2" s="143" t="s">
        <v>267</v>
      </c>
      <c r="AP2" s="143" t="s">
        <v>268</v>
      </c>
      <c r="AQ2" s="143" t="s">
        <v>270</v>
      </c>
      <c r="AR2" s="143" t="s">
        <v>271</v>
      </c>
      <c r="AS2" s="143" t="s">
        <v>272</v>
      </c>
      <c r="AT2" s="153"/>
      <c r="AU2" s="143" t="s">
        <v>260</v>
      </c>
      <c r="AV2" s="143" t="s">
        <v>261</v>
      </c>
      <c r="AW2" s="143" t="s">
        <v>262</v>
      </c>
      <c r="AX2" s="144" t="s">
        <v>263</v>
      </c>
      <c r="AY2" s="143" t="s">
        <v>264</v>
      </c>
      <c r="AZ2" s="143" t="s">
        <v>267</v>
      </c>
      <c r="BA2" s="143" t="s">
        <v>268</v>
      </c>
      <c r="BB2" s="143" t="s">
        <v>270</v>
      </c>
      <c r="BC2" s="143" t="s">
        <v>271</v>
      </c>
      <c r="BD2" s="143" t="s">
        <v>272</v>
      </c>
      <c r="BE2" s="153"/>
      <c r="BF2" s="143" t="s">
        <v>260</v>
      </c>
      <c r="BG2" s="143" t="s">
        <v>261</v>
      </c>
      <c r="BH2" s="143" t="s">
        <v>262</v>
      </c>
      <c r="BI2" s="144" t="s">
        <v>263</v>
      </c>
      <c r="BJ2" s="143" t="s">
        <v>264</v>
      </c>
      <c r="BK2" s="143" t="s">
        <v>267</v>
      </c>
      <c r="BL2" s="143" t="s">
        <v>268</v>
      </c>
      <c r="BM2" s="143" t="s">
        <v>270</v>
      </c>
      <c r="BN2" s="143" t="s">
        <v>271</v>
      </c>
      <c r="BO2" s="143" t="s">
        <v>272</v>
      </c>
    </row>
    <row r="3" spans="1:67" ht="40.5" customHeight="1" x14ac:dyDescent="0.3">
      <c r="A3" s="131"/>
      <c r="B3" s="131"/>
      <c r="C3" s="145" t="s">
        <v>34</v>
      </c>
      <c r="D3" s="132"/>
      <c r="E3" s="151" t="s">
        <v>273</v>
      </c>
      <c r="F3" s="131"/>
      <c r="G3" s="131"/>
      <c r="H3" s="131"/>
      <c r="I3" s="131"/>
      <c r="J3" s="133"/>
      <c r="K3" s="131"/>
      <c r="L3" s="136"/>
      <c r="M3" s="131"/>
      <c r="N3" s="131"/>
      <c r="O3" s="145" t="s">
        <v>34</v>
      </c>
      <c r="P3" s="132"/>
      <c r="Q3" s="151" t="s">
        <v>273</v>
      </c>
      <c r="R3" s="131"/>
      <c r="S3" s="131"/>
      <c r="T3" s="131"/>
      <c r="U3" s="131"/>
      <c r="V3" s="133"/>
      <c r="W3" s="131"/>
      <c r="Y3" s="131"/>
      <c r="Z3" s="131"/>
      <c r="AA3" s="145" t="s">
        <v>34</v>
      </c>
      <c r="AB3" s="132"/>
      <c r="AC3" s="151" t="s">
        <v>273</v>
      </c>
      <c r="AD3" s="131"/>
      <c r="AE3" s="131"/>
      <c r="AF3" s="131"/>
      <c r="AG3" s="133"/>
      <c r="AH3" s="131"/>
      <c r="AI3" s="136"/>
      <c r="AJ3" s="131"/>
      <c r="AK3" s="131"/>
      <c r="AL3" s="145" t="s">
        <v>34</v>
      </c>
      <c r="AM3" s="132"/>
      <c r="AN3" s="151" t="s">
        <v>273</v>
      </c>
      <c r="AO3" s="131"/>
      <c r="AP3" s="131"/>
      <c r="AQ3" s="131"/>
      <c r="AR3" s="133"/>
      <c r="AS3" s="131"/>
      <c r="AU3" s="131"/>
      <c r="AV3" s="131"/>
      <c r="AW3" s="145" t="s">
        <v>34</v>
      </c>
      <c r="AX3" s="132"/>
      <c r="AY3" s="151" t="s">
        <v>273</v>
      </c>
      <c r="AZ3" s="131"/>
      <c r="BA3" s="131"/>
      <c r="BB3" s="131"/>
      <c r="BC3" s="133"/>
      <c r="BD3" s="131"/>
      <c r="BF3" s="131"/>
      <c r="BG3" s="131"/>
      <c r="BH3" s="145" t="s">
        <v>34</v>
      </c>
      <c r="BI3" s="132"/>
      <c r="BJ3" s="151" t="s">
        <v>273</v>
      </c>
      <c r="BK3" s="131"/>
      <c r="BL3" s="131"/>
      <c r="BM3" s="131"/>
      <c r="BN3" s="133"/>
      <c r="BO3" s="131"/>
    </row>
    <row r="4" spans="1:67" ht="40.5" customHeight="1" x14ac:dyDescent="0.3">
      <c r="A4" s="131"/>
      <c r="B4" s="131"/>
      <c r="C4" s="146"/>
      <c r="D4" s="132"/>
      <c r="E4" s="151" t="s">
        <v>274</v>
      </c>
      <c r="F4" s="131"/>
      <c r="G4" s="131"/>
      <c r="H4" s="131"/>
      <c r="I4" s="131"/>
      <c r="J4" s="133"/>
      <c r="K4" s="131"/>
      <c r="L4" s="136"/>
      <c r="M4" s="131"/>
      <c r="N4" s="131"/>
      <c r="O4" s="146"/>
      <c r="P4" s="132"/>
      <c r="Q4" s="151" t="s">
        <v>274</v>
      </c>
      <c r="R4" s="131"/>
      <c r="S4" s="131"/>
      <c r="T4" s="131"/>
      <c r="U4" s="131"/>
      <c r="V4" s="133"/>
      <c r="W4" s="131"/>
      <c r="Y4" s="131"/>
      <c r="Z4" s="131"/>
      <c r="AA4" s="146"/>
      <c r="AB4" s="132"/>
      <c r="AC4" s="151" t="s">
        <v>274</v>
      </c>
      <c r="AD4" s="131"/>
      <c r="AE4" s="131"/>
      <c r="AF4" s="131"/>
      <c r="AG4" s="133"/>
      <c r="AH4" s="131"/>
      <c r="AI4" s="136"/>
      <c r="AJ4" s="131"/>
      <c r="AK4" s="131"/>
      <c r="AL4" s="146"/>
      <c r="AM4" s="132"/>
      <c r="AN4" s="151" t="s">
        <v>274</v>
      </c>
      <c r="AO4" s="131"/>
      <c r="AP4" s="131"/>
      <c r="AQ4" s="131"/>
      <c r="AR4" s="133"/>
      <c r="AS4" s="131"/>
      <c r="AU4" s="131"/>
      <c r="AV4" s="131"/>
      <c r="AW4" s="146"/>
      <c r="AX4" s="132"/>
      <c r="AY4" s="151" t="s">
        <v>274</v>
      </c>
      <c r="AZ4" s="131"/>
      <c r="BA4" s="131"/>
      <c r="BB4" s="131"/>
      <c r="BC4" s="133"/>
      <c r="BD4" s="131"/>
      <c r="BF4" s="131"/>
      <c r="BG4" s="131"/>
      <c r="BH4" s="146"/>
      <c r="BI4" s="132"/>
      <c r="BJ4" s="151" t="s">
        <v>274</v>
      </c>
      <c r="BK4" s="131"/>
      <c r="BL4" s="131"/>
      <c r="BM4" s="131"/>
      <c r="BN4" s="133"/>
      <c r="BO4" s="131"/>
    </row>
    <row r="5" spans="1:67" ht="40.5" customHeight="1" x14ac:dyDescent="0.3">
      <c r="A5" s="131"/>
      <c r="B5" s="131"/>
      <c r="C5" s="147"/>
      <c r="D5" s="132"/>
      <c r="E5" s="151"/>
      <c r="F5" s="131"/>
      <c r="G5" s="131"/>
      <c r="H5" s="131"/>
      <c r="I5" s="131"/>
      <c r="J5" s="133"/>
      <c r="K5" s="131"/>
      <c r="L5" s="136"/>
      <c r="M5" s="131"/>
      <c r="N5" s="131"/>
      <c r="O5" s="147"/>
      <c r="P5" s="132"/>
      <c r="Q5" s="151"/>
      <c r="R5" s="131"/>
      <c r="S5" s="131"/>
      <c r="T5" s="131"/>
      <c r="U5" s="131"/>
      <c r="V5" s="133"/>
      <c r="W5" s="131"/>
      <c r="Y5" s="131"/>
      <c r="Z5" s="131"/>
      <c r="AA5" s="147"/>
      <c r="AB5" s="132"/>
      <c r="AC5" s="151"/>
      <c r="AD5" s="131"/>
      <c r="AE5" s="131"/>
      <c r="AF5" s="131"/>
      <c r="AG5" s="133"/>
      <c r="AH5" s="131"/>
      <c r="AI5" s="136"/>
      <c r="AJ5" s="131"/>
      <c r="AK5" s="131"/>
      <c r="AL5" s="147"/>
      <c r="AM5" s="132"/>
      <c r="AN5" s="151"/>
      <c r="AO5" s="131"/>
      <c r="AP5" s="131"/>
      <c r="AQ5" s="131"/>
      <c r="AR5" s="133"/>
      <c r="AS5" s="131"/>
      <c r="AU5" s="131"/>
      <c r="AV5" s="131"/>
      <c r="AW5" s="147"/>
      <c r="AX5" s="132"/>
      <c r="AY5" s="151"/>
      <c r="AZ5" s="131"/>
      <c r="BA5" s="131"/>
      <c r="BB5" s="131"/>
      <c r="BC5" s="133"/>
      <c r="BD5" s="131"/>
      <c r="BF5" s="131"/>
      <c r="BG5" s="131"/>
      <c r="BH5" s="147"/>
      <c r="BI5" s="132"/>
      <c r="BJ5" s="151"/>
      <c r="BK5" s="131"/>
      <c r="BL5" s="131"/>
      <c r="BM5" s="131"/>
      <c r="BN5" s="133"/>
      <c r="BO5" s="131"/>
    </row>
    <row r="6" spans="1:67" ht="40.5" customHeight="1" x14ac:dyDescent="0.3">
      <c r="A6" s="131"/>
      <c r="B6" s="131"/>
      <c r="C6" s="145" t="s">
        <v>25</v>
      </c>
      <c r="D6" s="132"/>
      <c r="E6" s="151" t="s">
        <v>273</v>
      </c>
      <c r="F6" s="131"/>
      <c r="G6" s="131"/>
      <c r="H6" s="131"/>
      <c r="I6" s="131"/>
      <c r="J6" s="134"/>
      <c r="K6" s="131"/>
      <c r="L6" s="136"/>
      <c r="M6" s="131"/>
      <c r="N6" s="131"/>
      <c r="O6" s="145" t="s">
        <v>25</v>
      </c>
      <c r="P6" s="132"/>
      <c r="Q6" s="151" t="s">
        <v>273</v>
      </c>
      <c r="R6" s="131"/>
      <c r="S6" s="131"/>
      <c r="T6" s="131"/>
      <c r="U6" s="131"/>
      <c r="V6" s="134"/>
      <c r="W6" s="131"/>
      <c r="Y6" s="131"/>
      <c r="Z6" s="131"/>
      <c r="AA6" s="145" t="s">
        <v>25</v>
      </c>
      <c r="AB6" s="132"/>
      <c r="AC6" s="151" t="s">
        <v>273</v>
      </c>
      <c r="AD6" s="131"/>
      <c r="AE6" s="131"/>
      <c r="AF6" s="131"/>
      <c r="AG6" s="134"/>
      <c r="AH6" s="131"/>
      <c r="AI6" s="136"/>
      <c r="AJ6" s="131"/>
      <c r="AK6" s="131"/>
      <c r="AL6" s="145" t="s">
        <v>25</v>
      </c>
      <c r="AM6" s="132"/>
      <c r="AN6" s="151" t="s">
        <v>273</v>
      </c>
      <c r="AO6" s="131"/>
      <c r="AP6" s="131"/>
      <c r="AQ6" s="131"/>
      <c r="AR6" s="134"/>
      <c r="AS6" s="131"/>
      <c r="AU6" s="131"/>
      <c r="AV6" s="131"/>
      <c r="AW6" s="145" t="s">
        <v>25</v>
      </c>
      <c r="AX6" s="132"/>
      <c r="AY6" s="151" t="s">
        <v>273</v>
      </c>
      <c r="AZ6" s="131"/>
      <c r="BA6" s="131"/>
      <c r="BB6" s="131"/>
      <c r="BC6" s="134"/>
      <c r="BD6" s="131"/>
      <c r="BF6" s="131"/>
      <c r="BG6" s="131"/>
      <c r="BH6" s="145" t="s">
        <v>25</v>
      </c>
      <c r="BI6" s="132"/>
      <c r="BJ6" s="151" t="s">
        <v>273</v>
      </c>
      <c r="BK6" s="131"/>
      <c r="BL6" s="131"/>
      <c r="BM6" s="131"/>
      <c r="BN6" s="134"/>
      <c r="BO6" s="131"/>
    </row>
    <row r="7" spans="1:67" ht="40.5" customHeight="1" x14ac:dyDescent="0.3">
      <c r="A7" s="131"/>
      <c r="B7" s="131"/>
      <c r="C7" s="146"/>
      <c r="D7" s="132"/>
      <c r="E7" s="151" t="s">
        <v>274</v>
      </c>
      <c r="F7" s="131"/>
      <c r="G7" s="131"/>
      <c r="H7" s="131"/>
      <c r="I7" s="131"/>
      <c r="J7" s="134"/>
      <c r="K7" s="131"/>
      <c r="L7" s="136"/>
      <c r="M7" s="131"/>
      <c r="N7" s="131"/>
      <c r="O7" s="146"/>
      <c r="P7" s="132"/>
      <c r="Q7" s="151" t="s">
        <v>274</v>
      </c>
      <c r="R7" s="131"/>
      <c r="S7" s="131"/>
      <c r="T7" s="131"/>
      <c r="U7" s="131"/>
      <c r="V7" s="134"/>
      <c r="W7" s="131"/>
      <c r="Y7" s="131"/>
      <c r="Z7" s="131"/>
      <c r="AA7" s="146"/>
      <c r="AB7" s="132"/>
      <c r="AC7" s="151" t="s">
        <v>274</v>
      </c>
      <c r="AD7" s="131"/>
      <c r="AE7" s="131"/>
      <c r="AF7" s="131"/>
      <c r="AG7" s="134"/>
      <c r="AH7" s="131"/>
      <c r="AI7" s="136"/>
      <c r="AJ7" s="131"/>
      <c r="AK7" s="131"/>
      <c r="AL7" s="146"/>
      <c r="AM7" s="132"/>
      <c r="AN7" s="151" t="s">
        <v>274</v>
      </c>
      <c r="AO7" s="131"/>
      <c r="AP7" s="131"/>
      <c r="AQ7" s="131"/>
      <c r="AR7" s="134"/>
      <c r="AS7" s="131"/>
      <c r="AU7" s="131"/>
      <c r="AV7" s="131"/>
      <c r="AW7" s="146"/>
      <c r="AX7" s="132"/>
      <c r="AY7" s="151" t="s">
        <v>274</v>
      </c>
      <c r="AZ7" s="131"/>
      <c r="BA7" s="131"/>
      <c r="BB7" s="131"/>
      <c r="BC7" s="134"/>
      <c r="BD7" s="131"/>
      <c r="BF7" s="131"/>
      <c r="BG7" s="131"/>
      <c r="BH7" s="146"/>
      <c r="BI7" s="132"/>
      <c r="BJ7" s="151" t="s">
        <v>274</v>
      </c>
      <c r="BK7" s="131"/>
      <c r="BL7" s="131"/>
      <c r="BM7" s="131"/>
      <c r="BN7" s="134"/>
      <c r="BO7" s="131"/>
    </row>
    <row r="8" spans="1:67" ht="40.5" customHeight="1" x14ac:dyDescent="0.3">
      <c r="A8" s="131"/>
      <c r="B8" s="131"/>
      <c r="C8" s="147"/>
      <c r="D8" s="132"/>
      <c r="E8" s="151"/>
      <c r="F8" s="131"/>
      <c r="G8" s="131"/>
      <c r="H8" s="131"/>
      <c r="I8" s="131"/>
      <c r="J8" s="134"/>
      <c r="K8" s="131"/>
      <c r="L8" s="136"/>
      <c r="M8" s="131"/>
      <c r="N8" s="131"/>
      <c r="O8" s="147"/>
      <c r="P8" s="132"/>
      <c r="Q8" s="151"/>
      <c r="R8" s="131"/>
      <c r="S8" s="131"/>
      <c r="T8" s="131"/>
      <c r="U8" s="131"/>
      <c r="V8" s="134"/>
      <c r="W8" s="131"/>
      <c r="Y8" s="131"/>
      <c r="Z8" s="131"/>
      <c r="AA8" s="147"/>
      <c r="AB8" s="132"/>
      <c r="AC8" s="151"/>
      <c r="AD8" s="131"/>
      <c r="AE8" s="131"/>
      <c r="AF8" s="131"/>
      <c r="AG8" s="134"/>
      <c r="AH8" s="131"/>
      <c r="AI8" s="136"/>
      <c r="AJ8" s="131"/>
      <c r="AK8" s="131"/>
      <c r="AL8" s="147"/>
      <c r="AM8" s="132"/>
      <c r="AN8" s="151"/>
      <c r="AO8" s="131"/>
      <c r="AP8" s="131"/>
      <c r="AQ8" s="131"/>
      <c r="AR8" s="134"/>
      <c r="AS8" s="131"/>
      <c r="AU8" s="131"/>
      <c r="AV8" s="131"/>
      <c r="AW8" s="147"/>
      <c r="AX8" s="132"/>
      <c r="AY8" s="151"/>
      <c r="AZ8" s="131"/>
      <c r="BA8" s="131"/>
      <c r="BB8" s="131"/>
      <c r="BC8" s="134"/>
      <c r="BD8" s="131"/>
      <c r="BF8" s="131"/>
      <c r="BG8" s="131"/>
      <c r="BH8" s="147"/>
      <c r="BI8" s="132"/>
      <c r="BJ8" s="151"/>
      <c r="BK8" s="131"/>
      <c r="BL8" s="131"/>
      <c r="BM8" s="131"/>
      <c r="BN8" s="134"/>
      <c r="BO8" s="131"/>
    </row>
    <row r="9" spans="1:67" ht="40.5" customHeight="1" x14ac:dyDescent="0.3">
      <c r="A9" s="131"/>
      <c r="B9" s="131"/>
      <c r="C9" s="148" t="s">
        <v>29</v>
      </c>
      <c r="D9" s="132"/>
      <c r="E9" s="151" t="s">
        <v>273</v>
      </c>
      <c r="F9" s="131"/>
      <c r="G9" s="131"/>
      <c r="H9" s="131"/>
      <c r="I9" s="131"/>
      <c r="J9" s="133"/>
      <c r="K9" s="131"/>
      <c r="L9" s="136"/>
      <c r="M9" s="131"/>
      <c r="N9" s="131"/>
      <c r="O9" s="148" t="s">
        <v>29</v>
      </c>
      <c r="P9" s="132"/>
      <c r="Q9" s="151" t="s">
        <v>273</v>
      </c>
      <c r="R9" s="131"/>
      <c r="S9" s="131"/>
      <c r="T9" s="131"/>
      <c r="U9" s="131"/>
      <c r="V9" s="133"/>
      <c r="W9" s="131"/>
      <c r="Y9" s="131"/>
      <c r="Z9" s="131"/>
      <c r="AA9" s="148" t="s">
        <v>29</v>
      </c>
      <c r="AB9" s="132"/>
      <c r="AC9" s="151" t="s">
        <v>273</v>
      </c>
      <c r="AD9" s="131"/>
      <c r="AE9" s="131"/>
      <c r="AF9" s="131"/>
      <c r="AG9" s="133"/>
      <c r="AH9" s="131"/>
      <c r="AI9" s="136"/>
      <c r="AJ9" s="131"/>
      <c r="AK9" s="131"/>
      <c r="AL9" s="148" t="s">
        <v>29</v>
      </c>
      <c r="AM9" s="132"/>
      <c r="AN9" s="151" t="s">
        <v>273</v>
      </c>
      <c r="AO9" s="131"/>
      <c r="AP9" s="131"/>
      <c r="AQ9" s="131"/>
      <c r="AR9" s="133"/>
      <c r="AS9" s="131"/>
      <c r="AU9" s="131"/>
      <c r="AV9" s="131"/>
      <c r="AW9" s="148" t="s">
        <v>29</v>
      </c>
      <c r="AX9" s="132"/>
      <c r="AY9" s="151" t="s">
        <v>273</v>
      </c>
      <c r="AZ9" s="131"/>
      <c r="BA9" s="131"/>
      <c r="BB9" s="131"/>
      <c r="BC9" s="133"/>
      <c r="BD9" s="131"/>
      <c r="BF9" s="131"/>
      <c r="BG9" s="131"/>
      <c r="BH9" s="148" t="s">
        <v>29</v>
      </c>
      <c r="BI9" s="132"/>
      <c r="BJ9" s="151" t="s">
        <v>273</v>
      </c>
      <c r="BK9" s="131"/>
      <c r="BL9" s="131"/>
      <c r="BM9" s="131"/>
      <c r="BN9" s="133"/>
      <c r="BO9" s="131"/>
    </row>
    <row r="10" spans="1:67" ht="40.5" customHeight="1" x14ac:dyDescent="0.3">
      <c r="A10" s="131"/>
      <c r="B10" s="131"/>
      <c r="C10" s="149"/>
      <c r="D10" s="132"/>
      <c r="E10" s="151" t="s">
        <v>274</v>
      </c>
      <c r="F10" s="131"/>
      <c r="G10" s="131"/>
      <c r="H10" s="131"/>
      <c r="I10" s="131"/>
      <c r="J10" s="133"/>
      <c r="K10" s="131"/>
      <c r="L10" s="136"/>
      <c r="M10" s="131"/>
      <c r="N10" s="131"/>
      <c r="O10" s="149"/>
      <c r="P10" s="132"/>
      <c r="Q10" s="151" t="s">
        <v>274</v>
      </c>
      <c r="R10" s="131"/>
      <c r="S10" s="131"/>
      <c r="T10" s="131"/>
      <c r="U10" s="131"/>
      <c r="V10" s="133"/>
      <c r="W10" s="131"/>
      <c r="Y10" s="131"/>
      <c r="Z10" s="131"/>
      <c r="AA10" s="149"/>
      <c r="AB10" s="132"/>
      <c r="AC10" s="151" t="s">
        <v>274</v>
      </c>
      <c r="AD10" s="131"/>
      <c r="AE10" s="131"/>
      <c r="AF10" s="131"/>
      <c r="AG10" s="133"/>
      <c r="AH10" s="131"/>
      <c r="AI10" s="136"/>
      <c r="AJ10" s="131"/>
      <c r="AK10" s="131"/>
      <c r="AL10" s="149"/>
      <c r="AM10" s="132"/>
      <c r="AN10" s="151" t="s">
        <v>274</v>
      </c>
      <c r="AO10" s="131"/>
      <c r="AP10" s="131"/>
      <c r="AQ10" s="131"/>
      <c r="AR10" s="133"/>
      <c r="AS10" s="131"/>
      <c r="AU10" s="131"/>
      <c r="AV10" s="131"/>
      <c r="AW10" s="149"/>
      <c r="AX10" s="132"/>
      <c r="AY10" s="151" t="s">
        <v>274</v>
      </c>
      <c r="AZ10" s="131"/>
      <c r="BA10" s="131"/>
      <c r="BB10" s="131"/>
      <c r="BC10" s="133"/>
      <c r="BD10" s="131"/>
      <c r="BF10" s="131"/>
      <c r="BG10" s="131"/>
      <c r="BH10" s="149"/>
      <c r="BI10" s="132"/>
      <c r="BJ10" s="151" t="s">
        <v>274</v>
      </c>
      <c r="BK10" s="131"/>
      <c r="BL10" s="131"/>
      <c r="BM10" s="131"/>
      <c r="BN10" s="133"/>
      <c r="BO10" s="131"/>
    </row>
    <row r="11" spans="1:67" ht="40.5" customHeight="1" x14ac:dyDescent="0.3">
      <c r="A11" s="131"/>
      <c r="B11" s="131"/>
      <c r="C11" s="150"/>
      <c r="D11" s="132"/>
      <c r="E11" s="151"/>
      <c r="F11" s="131"/>
      <c r="G11" s="131"/>
      <c r="H11" s="131"/>
      <c r="I11" s="131"/>
      <c r="J11" s="133"/>
      <c r="K11" s="131"/>
      <c r="L11" s="136"/>
      <c r="M11" s="131"/>
      <c r="N11" s="131"/>
      <c r="O11" s="150"/>
      <c r="P11" s="132"/>
      <c r="Q11" s="151"/>
      <c r="R11" s="131"/>
      <c r="S11" s="131"/>
      <c r="T11" s="131"/>
      <c r="U11" s="131"/>
      <c r="V11" s="133"/>
      <c r="W11" s="131"/>
      <c r="Y11" s="131"/>
      <c r="Z11" s="131"/>
      <c r="AA11" s="150"/>
      <c r="AB11" s="132"/>
      <c r="AC11" s="151"/>
      <c r="AD11" s="131"/>
      <c r="AE11" s="131"/>
      <c r="AF11" s="131"/>
      <c r="AG11" s="133"/>
      <c r="AH11" s="131"/>
      <c r="AI11" s="136"/>
      <c r="AJ11" s="131"/>
      <c r="AK11" s="131"/>
      <c r="AL11" s="150"/>
      <c r="AM11" s="132"/>
      <c r="AN11" s="151"/>
      <c r="AO11" s="131"/>
      <c r="AP11" s="131"/>
      <c r="AQ11" s="131"/>
      <c r="AR11" s="133"/>
      <c r="AS11" s="131"/>
      <c r="AU11" s="131"/>
      <c r="AV11" s="131"/>
      <c r="AW11" s="150"/>
      <c r="AX11" s="132"/>
      <c r="AY11" s="151"/>
      <c r="AZ11" s="131"/>
      <c r="BA11" s="131"/>
      <c r="BB11" s="131"/>
      <c r="BC11" s="133"/>
      <c r="BD11" s="131"/>
      <c r="BF11" s="131"/>
      <c r="BG11" s="131"/>
      <c r="BH11" s="150"/>
      <c r="BI11" s="132"/>
      <c r="BJ11" s="151"/>
      <c r="BK11" s="131"/>
      <c r="BL11" s="131"/>
      <c r="BM11" s="131"/>
      <c r="BN11" s="133"/>
      <c r="BO11" s="131"/>
    </row>
    <row r="12" spans="1:67" ht="40.5" customHeight="1" x14ac:dyDescent="0.3">
      <c r="A12" s="131"/>
      <c r="B12" s="131"/>
      <c r="C12" s="148" t="s">
        <v>30</v>
      </c>
      <c r="D12" s="132"/>
      <c r="E12" s="151" t="s">
        <v>273</v>
      </c>
      <c r="F12" s="131"/>
      <c r="G12" s="131"/>
      <c r="H12" s="131"/>
      <c r="I12" s="131"/>
      <c r="J12" s="134"/>
      <c r="K12" s="131"/>
      <c r="L12" s="136"/>
      <c r="M12" s="131"/>
      <c r="N12" s="131"/>
      <c r="O12" s="148" t="s">
        <v>30</v>
      </c>
      <c r="P12" s="132"/>
      <c r="Q12" s="151" t="s">
        <v>273</v>
      </c>
      <c r="R12" s="131"/>
      <c r="S12" s="131"/>
      <c r="T12" s="131"/>
      <c r="U12" s="131"/>
      <c r="V12" s="134"/>
      <c r="W12" s="131"/>
      <c r="Y12" s="131"/>
      <c r="Z12" s="131"/>
      <c r="AA12" s="148" t="s">
        <v>30</v>
      </c>
      <c r="AB12" s="132"/>
      <c r="AC12" s="151" t="s">
        <v>273</v>
      </c>
      <c r="AD12" s="131"/>
      <c r="AE12" s="131"/>
      <c r="AF12" s="131"/>
      <c r="AG12" s="134"/>
      <c r="AH12" s="131"/>
      <c r="AI12" s="136"/>
      <c r="AJ12" s="131"/>
      <c r="AK12" s="131"/>
      <c r="AL12" s="148" t="s">
        <v>30</v>
      </c>
      <c r="AM12" s="132"/>
      <c r="AN12" s="151" t="s">
        <v>273</v>
      </c>
      <c r="AO12" s="131"/>
      <c r="AP12" s="131"/>
      <c r="AQ12" s="131"/>
      <c r="AR12" s="134"/>
      <c r="AS12" s="131"/>
      <c r="AU12" s="131"/>
      <c r="AV12" s="131"/>
      <c r="AW12" s="148" t="s">
        <v>30</v>
      </c>
      <c r="AX12" s="132"/>
      <c r="AY12" s="151" t="s">
        <v>273</v>
      </c>
      <c r="AZ12" s="131"/>
      <c r="BA12" s="131"/>
      <c r="BB12" s="131"/>
      <c r="BC12" s="134"/>
      <c r="BD12" s="131"/>
      <c r="BF12" s="131"/>
      <c r="BG12" s="131"/>
      <c r="BH12" s="148" t="s">
        <v>30</v>
      </c>
      <c r="BI12" s="132"/>
      <c r="BJ12" s="151" t="s">
        <v>273</v>
      </c>
      <c r="BK12" s="131"/>
      <c r="BL12" s="131"/>
      <c r="BM12" s="131"/>
      <c r="BN12" s="134"/>
      <c r="BO12" s="131"/>
    </row>
    <row r="13" spans="1:67" ht="40.5" customHeight="1" x14ac:dyDescent="0.3">
      <c r="A13" s="131"/>
      <c r="B13" s="131"/>
      <c r="C13" s="149"/>
      <c r="D13" s="132"/>
      <c r="E13" s="151" t="s">
        <v>274</v>
      </c>
      <c r="F13" s="131"/>
      <c r="G13" s="131"/>
      <c r="H13" s="131"/>
      <c r="I13" s="131"/>
      <c r="J13" s="134"/>
      <c r="K13" s="131"/>
      <c r="L13" s="136"/>
      <c r="M13" s="131"/>
      <c r="N13" s="131"/>
      <c r="O13" s="149"/>
      <c r="P13" s="132"/>
      <c r="Q13" s="151" t="s">
        <v>274</v>
      </c>
      <c r="R13" s="131"/>
      <c r="S13" s="131"/>
      <c r="T13" s="131"/>
      <c r="U13" s="131"/>
      <c r="V13" s="134"/>
      <c r="W13" s="131"/>
      <c r="Y13" s="131"/>
      <c r="Z13" s="131"/>
      <c r="AA13" s="149"/>
      <c r="AB13" s="132"/>
      <c r="AC13" s="151" t="s">
        <v>274</v>
      </c>
      <c r="AD13" s="131"/>
      <c r="AE13" s="131"/>
      <c r="AF13" s="131"/>
      <c r="AG13" s="134"/>
      <c r="AH13" s="131"/>
      <c r="AI13" s="136"/>
      <c r="AJ13" s="131"/>
      <c r="AK13" s="131"/>
      <c r="AL13" s="149"/>
      <c r="AM13" s="132"/>
      <c r="AN13" s="151" t="s">
        <v>274</v>
      </c>
      <c r="AO13" s="131"/>
      <c r="AP13" s="131"/>
      <c r="AQ13" s="131"/>
      <c r="AR13" s="134"/>
      <c r="AS13" s="131"/>
      <c r="AU13" s="131"/>
      <c r="AV13" s="131"/>
      <c r="AW13" s="149"/>
      <c r="AX13" s="132"/>
      <c r="AY13" s="151" t="s">
        <v>274</v>
      </c>
      <c r="AZ13" s="131"/>
      <c r="BA13" s="131"/>
      <c r="BB13" s="131"/>
      <c r="BC13" s="134"/>
      <c r="BD13" s="131"/>
      <c r="BF13" s="131"/>
      <c r="BG13" s="131"/>
      <c r="BH13" s="149"/>
      <c r="BI13" s="132"/>
      <c r="BJ13" s="151" t="s">
        <v>274</v>
      </c>
      <c r="BK13" s="131"/>
      <c r="BL13" s="131"/>
      <c r="BM13" s="131"/>
      <c r="BN13" s="134"/>
      <c r="BO13" s="131"/>
    </row>
    <row r="14" spans="1:67" ht="40.5" customHeight="1" x14ac:dyDescent="0.3">
      <c r="A14" s="131"/>
      <c r="B14" s="131"/>
      <c r="C14" s="150"/>
      <c r="D14" s="132"/>
      <c r="E14" s="151"/>
      <c r="F14" s="131"/>
      <c r="G14" s="131"/>
      <c r="H14" s="131"/>
      <c r="I14" s="131"/>
      <c r="J14" s="134"/>
      <c r="K14" s="131"/>
      <c r="L14" s="136"/>
      <c r="M14" s="131"/>
      <c r="N14" s="131"/>
      <c r="O14" s="150"/>
      <c r="P14" s="132"/>
      <c r="Q14" s="151"/>
      <c r="R14" s="131"/>
      <c r="S14" s="131"/>
      <c r="T14" s="131"/>
      <c r="U14" s="131"/>
      <c r="V14" s="134"/>
      <c r="W14" s="131"/>
      <c r="Y14" s="131"/>
      <c r="Z14" s="131"/>
      <c r="AA14" s="150"/>
      <c r="AB14" s="132"/>
      <c r="AC14" s="151"/>
      <c r="AD14" s="131"/>
      <c r="AE14" s="131"/>
      <c r="AF14" s="131"/>
      <c r="AG14" s="134"/>
      <c r="AH14" s="131"/>
      <c r="AI14" s="136"/>
      <c r="AJ14" s="131"/>
      <c r="AK14" s="131"/>
      <c r="AL14" s="150"/>
      <c r="AM14" s="132"/>
      <c r="AN14" s="151"/>
      <c r="AO14" s="131"/>
      <c r="AP14" s="131"/>
      <c r="AQ14" s="131"/>
      <c r="AR14" s="134"/>
      <c r="AS14" s="131"/>
      <c r="AU14" s="131"/>
      <c r="AV14" s="131"/>
      <c r="AW14" s="150"/>
      <c r="AX14" s="132"/>
      <c r="AY14" s="151"/>
      <c r="AZ14" s="131"/>
      <c r="BA14" s="131"/>
      <c r="BB14" s="131"/>
      <c r="BC14" s="134"/>
      <c r="BD14" s="131"/>
      <c r="BF14" s="131"/>
      <c r="BG14" s="131"/>
      <c r="BH14" s="150"/>
      <c r="BI14" s="132"/>
      <c r="BJ14" s="151"/>
      <c r="BK14" s="131"/>
      <c r="BL14" s="131"/>
      <c r="BM14" s="131"/>
      <c r="BN14" s="134"/>
      <c r="BO14" s="131"/>
    </row>
    <row r="15" spans="1:67" ht="40.5" customHeight="1" x14ac:dyDescent="0.3">
      <c r="A15" s="131"/>
      <c r="B15" s="131"/>
      <c r="C15" s="148" t="s">
        <v>31</v>
      </c>
      <c r="D15" s="132"/>
      <c r="E15" s="151" t="s">
        <v>273</v>
      </c>
      <c r="F15" s="131"/>
      <c r="G15" s="131"/>
      <c r="H15" s="131"/>
      <c r="I15" s="131"/>
      <c r="J15" s="133"/>
      <c r="K15" s="131"/>
      <c r="L15" s="136"/>
      <c r="M15" s="131"/>
      <c r="N15" s="131"/>
      <c r="O15" s="148" t="s">
        <v>31</v>
      </c>
      <c r="P15" s="132"/>
      <c r="Q15" s="151" t="s">
        <v>273</v>
      </c>
      <c r="R15" s="131"/>
      <c r="S15" s="131"/>
      <c r="T15" s="131"/>
      <c r="U15" s="131"/>
      <c r="V15" s="133"/>
      <c r="W15" s="131"/>
      <c r="Y15" s="131"/>
      <c r="Z15" s="131"/>
      <c r="AA15" s="148" t="s">
        <v>31</v>
      </c>
      <c r="AB15" s="132"/>
      <c r="AC15" s="151" t="s">
        <v>273</v>
      </c>
      <c r="AD15" s="131"/>
      <c r="AE15" s="131"/>
      <c r="AF15" s="131"/>
      <c r="AG15" s="133"/>
      <c r="AH15" s="131"/>
      <c r="AI15" s="136"/>
      <c r="AJ15" s="131"/>
      <c r="AK15" s="131"/>
      <c r="AL15" s="148" t="s">
        <v>31</v>
      </c>
      <c r="AM15" s="132"/>
      <c r="AN15" s="151" t="s">
        <v>273</v>
      </c>
      <c r="AO15" s="131"/>
      <c r="AP15" s="131"/>
      <c r="AQ15" s="131"/>
      <c r="AR15" s="133"/>
      <c r="AS15" s="131"/>
      <c r="AU15" s="131"/>
      <c r="AV15" s="131"/>
      <c r="AW15" s="148" t="s">
        <v>31</v>
      </c>
      <c r="AX15" s="132"/>
      <c r="AY15" s="151" t="s">
        <v>273</v>
      </c>
      <c r="AZ15" s="131"/>
      <c r="BA15" s="131"/>
      <c r="BB15" s="131"/>
      <c r="BC15" s="133"/>
      <c r="BD15" s="131"/>
      <c r="BF15" s="131"/>
      <c r="BG15" s="131"/>
      <c r="BH15" s="148" t="s">
        <v>31</v>
      </c>
      <c r="BI15" s="132"/>
      <c r="BJ15" s="151" t="s">
        <v>273</v>
      </c>
      <c r="BK15" s="131"/>
      <c r="BL15" s="131"/>
      <c r="BM15" s="131"/>
      <c r="BN15" s="133"/>
      <c r="BO15" s="131"/>
    </row>
    <row r="16" spans="1:67" ht="40.5" customHeight="1" x14ac:dyDescent="0.3">
      <c r="A16" s="131"/>
      <c r="B16" s="131"/>
      <c r="C16" s="149"/>
      <c r="D16" s="132"/>
      <c r="E16" s="151" t="s">
        <v>274</v>
      </c>
      <c r="F16" s="131"/>
      <c r="G16" s="131"/>
      <c r="H16" s="131"/>
      <c r="I16" s="131"/>
      <c r="J16" s="133"/>
      <c r="K16" s="131"/>
      <c r="L16" s="136"/>
      <c r="M16" s="131"/>
      <c r="N16" s="131"/>
      <c r="O16" s="149"/>
      <c r="P16" s="132"/>
      <c r="Q16" s="151" t="s">
        <v>274</v>
      </c>
      <c r="R16" s="131"/>
      <c r="S16" s="131"/>
      <c r="T16" s="131"/>
      <c r="U16" s="131"/>
      <c r="V16" s="133"/>
      <c r="W16" s="131"/>
      <c r="Y16" s="131"/>
      <c r="Z16" s="131"/>
      <c r="AA16" s="149"/>
      <c r="AB16" s="132"/>
      <c r="AC16" s="151" t="s">
        <v>274</v>
      </c>
      <c r="AD16" s="131"/>
      <c r="AE16" s="131"/>
      <c r="AF16" s="131"/>
      <c r="AG16" s="133"/>
      <c r="AH16" s="131"/>
      <c r="AI16" s="136"/>
      <c r="AJ16" s="131"/>
      <c r="AK16" s="131"/>
      <c r="AL16" s="149"/>
      <c r="AM16" s="132"/>
      <c r="AN16" s="151" t="s">
        <v>274</v>
      </c>
      <c r="AO16" s="131"/>
      <c r="AP16" s="131"/>
      <c r="AQ16" s="131"/>
      <c r="AR16" s="133"/>
      <c r="AS16" s="131"/>
      <c r="AU16" s="131"/>
      <c r="AV16" s="131"/>
      <c r="AW16" s="149"/>
      <c r="AX16" s="132"/>
      <c r="AY16" s="151" t="s">
        <v>274</v>
      </c>
      <c r="AZ16" s="131"/>
      <c r="BA16" s="131"/>
      <c r="BB16" s="131"/>
      <c r="BC16" s="133"/>
      <c r="BD16" s="131"/>
      <c r="BF16" s="131"/>
      <c r="BG16" s="131"/>
      <c r="BH16" s="149"/>
      <c r="BI16" s="132"/>
      <c r="BJ16" s="151" t="s">
        <v>274</v>
      </c>
      <c r="BK16" s="131"/>
      <c r="BL16" s="131"/>
      <c r="BM16" s="131"/>
      <c r="BN16" s="133"/>
      <c r="BO16" s="131"/>
    </row>
    <row r="17" spans="1:67" ht="40.5" customHeight="1" x14ac:dyDescent="0.3">
      <c r="A17" s="131"/>
      <c r="B17" s="131"/>
      <c r="C17" s="150"/>
      <c r="D17" s="132"/>
      <c r="E17" s="151"/>
      <c r="F17" s="131"/>
      <c r="G17" s="131"/>
      <c r="H17" s="131"/>
      <c r="I17" s="131"/>
      <c r="J17" s="133"/>
      <c r="K17" s="131"/>
      <c r="L17" s="136"/>
      <c r="M17" s="131"/>
      <c r="N17" s="131"/>
      <c r="O17" s="150"/>
      <c r="P17" s="132"/>
      <c r="Q17" s="151"/>
      <c r="R17" s="131"/>
      <c r="S17" s="131"/>
      <c r="T17" s="131"/>
      <c r="U17" s="131"/>
      <c r="V17" s="133"/>
      <c r="W17" s="131"/>
      <c r="Y17" s="131"/>
      <c r="Z17" s="131"/>
      <c r="AA17" s="150"/>
      <c r="AB17" s="132"/>
      <c r="AC17" s="151"/>
      <c r="AD17" s="131"/>
      <c r="AE17" s="131"/>
      <c r="AF17" s="131"/>
      <c r="AG17" s="133"/>
      <c r="AH17" s="131"/>
      <c r="AI17" s="136"/>
      <c r="AJ17" s="131"/>
      <c r="AK17" s="131"/>
      <c r="AL17" s="150"/>
      <c r="AM17" s="132"/>
      <c r="AN17" s="151"/>
      <c r="AO17" s="131"/>
      <c r="AP17" s="131"/>
      <c r="AQ17" s="131"/>
      <c r="AR17" s="133"/>
      <c r="AS17" s="131"/>
      <c r="AU17" s="131"/>
      <c r="AV17" s="131"/>
      <c r="AW17" s="150"/>
      <c r="AX17" s="132"/>
      <c r="AY17" s="151"/>
      <c r="AZ17" s="131"/>
      <c r="BA17" s="131"/>
      <c r="BB17" s="131"/>
      <c r="BC17" s="133"/>
      <c r="BD17" s="131"/>
      <c r="BF17" s="131"/>
      <c r="BG17" s="131"/>
      <c r="BH17" s="150"/>
      <c r="BI17" s="132"/>
      <c r="BJ17" s="151"/>
      <c r="BK17" s="131"/>
      <c r="BL17" s="131"/>
      <c r="BM17" s="131"/>
      <c r="BN17" s="133"/>
      <c r="BO17" s="131"/>
    </row>
    <row r="18" spans="1:67" ht="40.5" customHeight="1" x14ac:dyDescent="0.3">
      <c r="A18" s="131"/>
      <c r="B18" s="131"/>
      <c r="C18" s="148" t="s">
        <v>275</v>
      </c>
      <c r="D18" s="132"/>
      <c r="E18" s="151" t="s">
        <v>273</v>
      </c>
      <c r="F18" s="131"/>
      <c r="G18" s="131"/>
      <c r="H18" s="131"/>
      <c r="I18" s="131"/>
      <c r="J18" s="134"/>
      <c r="K18" s="131"/>
      <c r="L18" s="136"/>
      <c r="M18" s="131"/>
      <c r="N18" s="131"/>
      <c r="O18" s="148" t="s">
        <v>275</v>
      </c>
      <c r="P18" s="132"/>
      <c r="Q18" s="151" t="s">
        <v>273</v>
      </c>
      <c r="R18" s="131"/>
      <c r="S18" s="131"/>
      <c r="T18" s="131"/>
      <c r="U18" s="131"/>
      <c r="V18" s="134"/>
      <c r="W18" s="131"/>
      <c r="Y18" s="131"/>
      <c r="Z18" s="131"/>
      <c r="AA18" s="148" t="s">
        <v>275</v>
      </c>
      <c r="AB18" s="132"/>
      <c r="AC18" s="151" t="s">
        <v>273</v>
      </c>
      <c r="AD18" s="131"/>
      <c r="AE18" s="131"/>
      <c r="AF18" s="131"/>
      <c r="AG18" s="134"/>
      <c r="AH18" s="131"/>
      <c r="AI18" s="136"/>
      <c r="AJ18" s="131"/>
      <c r="AK18" s="131"/>
      <c r="AL18" s="148" t="s">
        <v>275</v>
      </c>
      <c r="AM18" s="132"/>
      <c r="AN18" s="151" t="s">
        <v>273</v>
      </c>
      <c r="AO18" s="131"/>
      <c r="AP18" s="131"/>
      <c r="AQ18" s="131"/>
      <c r="AR18" s="134"/>
      <c r="AS18" s="131"/>
      <c r="AU18" s="131"/>
      <c r="AV18" s="131"/>
      <c r="AW18" s="148" t="s">
        <v>275</v>
      </c>
      <c r="AX18" s="132"/>
      <c r="AY18" s="151" t="s">
        <v>273</v>
      </c>
      <c r="AZ18" s="131"/>
      <c r="BA18" s="131"/>
      <c r="BB18" s="131"/>
      <c r="BC18" s="134"/>
      <c r="BD18" s="131"/>
      <c r="BF18" s="131"/>
      <c r="BG18" s="131"/>
      <c r="BH18" s="148" t="s">
        <v>275</v>
      </c>
      <c r="BI18" s="132"/>
      <c r="BJ18" s="151" t="s">
        <v>273</v>
      </c>
      <c r="BK18" s="131"/>
      <c r="BL18" s="131"/>
      <c r="BM18" s="131"/>
      <c r="BN18" s="134"/>
      <c r="BO18" s="131"/>
    </row>
    <row r="19" spans="1:67" ht="40.5" customHeight="1" x14ac:dyDescent="0.3">
      <c r="A19" s="131"/>
      <c r="B19" s="131"/>
      <c r="C19" s="149"/>
      <c r="D19" s="132"/>
      <c r="E19" s="151" t="s">
        <v>274</v>
      </c>
      <c r="F19" s="131"/>
      <c r="G19" s="131"/>
      <c r="H19" s="131"/>
      <c r="I19" s="131"/>
      <c r="J19" s="134"/>
      <c r="K19" s="131"/>
      <c r="L19" s="136"/>
      <c r="M19" s="131"/>
      <c r="N19" s="131"/>
      <c r="O19" s="149"/>
      <c r="P19" s="132"/>
      <c r="Q19" s="151" t="s">
        <v>274</v>
      </c>
      <c r="R19" s="131"/>
      <c r="S19" s="131"/>
      <c r="T19" s="131"/>
      <c r="U19" s="131"/>
      <c r="V19" s="134"/>
      <c r="W19" s="131"/>
      <c r="Y19" s="131"/>
      <c r="Z19" s="131"/>
      <c r="AA19" s="149"/>
      <c r="AB19" s="132"/>
      <c r="AC19" s="151" t="s">
        <v>274</v>
      </c>
      <c r="AD19" s="131"/>
      <c r="AE19" s="131"/>
      <c r="AF19" s="131"/>
      <c r="AG19" s="134"/>
      <c r="AH19" s="131"/>
      <c r="AI19" s="136"/>
      <c r="AJ19" s="131"/>
      <c r="AK19" s="131"/>
      <c r="AL19" s="149"/>
      <c r="AM19" s="132"/>
      <c r="AN19" s="151" t="s">
        <v>274</v>
      </c>
      <c r="AO19" s="131"/>
      <c r="AP19" s="131"/>
      <c r="AQ19" s="131"/>
      <c r="AR19" s="134"/>
      <c r="AS19" s="131"/>
      <c r="AU19" s="131"/>
      <c r="AV19" s="131"/>
      <c r="AW19" s="149"/>
      <c r="AX19" s="132"/>
      <c r="AY19" s="151" t="s">
        <v>274</v>
      </c>
      <c r="AZ19" s="131"/>
      <c r="BA19" s="131"/>
      <c r="BB19" s="131"/>
      <c r="BC19" s="134"/>
      <c r="BD19" s="131"/>
      <c r="BF19" s="131"/>
      <c r="BG19" s="131"/>
      <c r="BH19" s="149"/>
      <c r="BI19" s="132"/>
      <c r="BJ19" s="151" t="s">
        <v>274</v>
      </c>
      <c r="BK19" s="131"/>
      <c r="BL19" s="131"/>
      <c r="BM19" s="131"/>
      <c r="BN19" s="134"/>
      <c r="BO19" s="131"/>
    </row>
    <row r="20" spans="1:67" ht="40.5" customHeight="1" x14ac:dyDescent="0.3">
      <c r="A20" s="131"/>
      <c r="B20" s="131"/>
      <c r="C20" s="150"/>
      <c r="D20" s="132"/>
      <c r="E20" s="151"/>
      <c r="F20" s="131"/>
      <c r="G20" s="131"/>
      <c r="H20" s="131"/>
      <c r="I20" s="131"/>
      <c r="J20" s="134"/>
      <c r="K20" s="131"/>
      <c r="L20" s="136"/>
      <c r="M20" s="131"/>
      <c r="N20" s="131"/>
      <c r="O20" s="150"/>
      <c r="P20" s="132"/>
      <c r="Q20" s="151"/>
      <c r="R20" s="131"/>
      <c r="S20" s="131"/>
      <c r="T20" s="131"/>
      <c r="U20" s="131"/>
      <c r="V20" s="134"/>
      <c r="W20" s="131"/>
      <c r="Y20" s="131"/>
      <c r="Z20" s="131"/>
      <c r="AA20" s="150"/>
      <c r="AB20" s="132"/>
      <c r="AC20" s="151"/>
      <c r="AD20" s="131"/>
      <c r="AE20" s="131"/>
      <c r="AF20" s="131"/>
      <c r="AG20" s="134"/>
      <c r="AH20" s="131"/>
      <c r="AI20" s="136"/>
      <c r="AJ20" s="131"/>
      <c r="AK20" s="131"/>
      <c r="AL20" s="150"/>
      <c r="AM20" s="132"/>
      <c r="AN20" s="151"/>
      <c r="AO20" s="131"/>
      <c r="AP20" s="131"/>
      <c r="AQ20" s="131"/>
      <c r="AR20" s="134"/>
      <c r="AS20" s="131"/>
      <c r="AU20" s="131"/>
      <c r="AV20" s="131"/>
      <c r="AW20" s="150"/>
      <c r="AX20" s="132"/>
      <c r="AY20" s="151"/>
      <c r="AZ20" s="131"/>
      <c r="BA20" s="131"/>
      <c r="BB20" s="131"/>
      <c r="BC20" s="134"/>
      <c r="BD20" s="131"/>
      <c r="BF20" s="131"/>
      <c r="BG20" s="131"/>
      <c r="BH20" s="150"/>
      <c r="BI20" s="132"/>
      <c r="BJ20" s="151"/>
      <c r="BK20" s="131"/>
      <c r="BL20" s="131"/>
      <c r="BM20" s="131"/>
      <c r="BN20" s="134"/>
      <c r="BO20" s="131"/>
    </row>
    <row r="21" spans="1:67" ht="40.5" customHeight="1" x14ac:dyDescent="0.3">
      <c r="A21" s="131"/>
      <c r="B21" s="131"/>
      <c r="C21" s="148" t="s">
        <v>33</v>
      </c>
      <c r="D21" s="132"/>
      <c r="E21" s="151" t="s">
        <v>273</v>
      </c>
      <c r="F21" s="131"/>
      <c r="G21" s="131"/>
      <c r="H21" s="131"/>
      <c r="I21" s="131"/>
      <c r="J21" s="131"/>
      <c r="K21" s="131"/>
      <c r="L21" s="136"/>
      <c r="M21" s="131"/>
      <c r="N21" s="131"/>
      <c r="O21" s="148" t="s">
        <v>33</v>
      </c>
      <c r="P21" s="132"/>
      <c r="Q21" s="151" t="s">
        <v>273</v>
      </c>
      <c r="R21" s="131"/>
      <c r="S21" s="131"/>
      <c r="T21" s="131"/>
      <c r="U21" s="131"/>
      <c r="V21" s="131"/>
      <c r="W21" s="131"/>
      <c r="Y21" s="131"/>
      <c r="Z21" s="131"/>
      <c r="AA21" s="148" t="s">
        <v>33</v>
      </c>
      <c r="AB21" s="132"/>
      <c r="AC21" s="151" t="s">
        <v>273</v>
      </c>
      <c r="AD21" s="131"/>
      <c r="AE21" s="131"/>
      <c r="AF21" s="131"/>
      <c r="AG21" s="131"/>
      <c r="AH21" s="131"/>
      <c r="AI21" s="136"/>
      <c r="AJ21" s="131"/>
      <c r="AK21" s="131"/>
      <c r="AL21" s="148" t="s">
        <v>33</v>
      </c>
      <c r="AM21" s="132"/>
      <c r="AN21" s="151" t="s">
        <v>273</v>
      </c>
      <c r="AO21" s="131"/>
      <c r="AP21" s="131"/>
      <c r="AQ21" s="131"/>
      <c r="AR21" s="131"/>
      <c r="AS21" s="131"/>
      <c r="AU21" s="131"/>
      <c r="AV21" s="131"/>
      <c r="AW21" s="148" t="s">
        <v>33</v>
      </c>
      <c r="AX21" s="132"/>
      <c r="AY21" s="151" t="s">
        <v>273</v>
      </c>
      <c r="AZ21" s="131"/>
      <c r="BA21" s="131"/>
      <c r="BB21" s="131"/>
      <c r="BC21" s="131"/>
      <c r="BD21" s="131"/>
      <c r="BF21" s="131"/>
      <c r="BG21" s="131"/>
      <c r="BH21" s="148" t="s">
        <v>33</v>
      </c>
      <c r="BI21" s="132"/>
      <c r="BJ21" s="151" t="s">
        <v>273</v>
      </c>
      <c r="BK21" s="131"/>
      <c r="BL21" s="131"/>
      <c r="BM21" s="131"/>
      <c r="BN21" s="131"/>
      <c r="BO21" s="131"/>
    </row>
    <row r="22" spans="1:67" ht="40.5" customHeight="1" x14ac:dyDescent="0.3">
      <c r="A22" s="131"/>
      <c r="B22" s="131"/>
      <c r="C22" s="149"/>
      <c r="D22" s="132"/>
      <c r="E22" s="151" t="s">
        <v>274</v>
      </c>
      <c r="F22" s="131"/>
      <c r="G22" s="131"/>
      <c r="H22" s="131"/>
      <c r="I22" s="131"/>
      <c r="J22" s="131"/>
      <c r="K22" s="131"/>
      <c r="L22" s="136"/>
      <c r="M22" s="131"/>
      <c r="N22" s="131"/>
      <c r="O22" s="149"/>
      <c r="P22" s="132"/>
      <c r="Q22" s="151" t="s">
        <v>274</v>
      </c>
      <c r="R22" s="131"/>
      <c r="S22" s="131"/>
      <c r="T22" s="131"/>
      <c r="U22" s="131"/>
      <c r="V22" s="131"/>
      <c r="W22" s="131"/>
      <c r="Y22" s="131"/>
      <c r="Z22" s="131"/>
      <c r="AA22" s="149"/>
      <c r="AB22" s="132"/>
      <c r="AC22" s="151" t="s">
        <v>274</v>
      </c>
      <c r="AD22" s="131"/>
      <c r="AE22" s="131"/>
      <c r="AF22" s="131"/>
      <c r="AG22" s="131"/>
      <c r="AH22" s="131"/>
      <c r="AI22" s="136"/>
      <c r="AJ22" s="131"/>
      <c r="AK22" s="131"/>
      <c r="AL22" s="149"/>
      <c r="AM22" s="132"/>
      <c r="AN22" s="151" t="s">
        <v>274</v>
      </c>
      <c r="AO22" s="131"/>
      <c r="AP22" s="131"/>
      <c r="AQ22" s="131"/>
      <c r="AR22" s="131"/>
      <c r="AS22" s="131"/>
      <c r="AU22" s="131"/>
      <c r="AV22" s="131"/>
      <c r="AW22" s="149"/>
      <c r="AX22" s="132"/>
      <c r="AY22" s="151" t="s">
        <v>274</v>
      </c>
      <c r="AZ22" s="131"/>
      <c r="BA22" s="131"/>
      <c r="BB22" s="131"/>
      <c r="BC22" s="131"/>
      <c r="BD22" s="131"/>
      <c r="BF22" s="131"/>
      <c r="BG22" s="131"/>
      <c r="BH22" s="149"/>
      <c r="BI22" s="132"/>
      <c r="BJ22" s="151" t="s">
        <v>274</v>
      </c>
      <c r="BK22" s="131"/>
      <c r="BL22" s="131"/>
      <c r="BM22" s="131"/>
      <c r="BN22" s="131"/>
      <c r="BO22" s="131"/>
    </row>
    <row r="23" spans="1:67" ht="40.5" customHeight="1" x14ac:dyDescent="0.3">
      <c r="A23" s="131"/>
      <c r="B23" s="131"/>
      <c r="C23" s="150"/>
      <c r="D23" s="132"/>
      <c r="E23" s="151"/>
      <c r="F23" s="131"/>
      <c r="G23" s="131"/>
      <c r="H23" s="131"/>
      <c r="I23" s="131"/>
      <c r="J23" s="131"/>
      <c r="K23" s="131"/>
      <c r="L23" s="136"/>
      <c r="M23" s="131"/>
      <c r="N23" s="131"/>
      <c r="O23" s="150"/>
      <c r="P23" s="132"/>
      <c r="Q23" s="151"/>
      <c r="R23" s="131"/>
      <c r="S23" s="131"/>
      <c r="T23" s="131"/>
      <c r="U23" s="131"/>
      <c r="V23" s="131"/>
      <c r="W23" s="131"/>
      <c r="Y23" s="131"/>
      <c r="Z23" s="131"/>
      <c r="AA23" s="150"/>
      <c r="AB23" s="132"/>
      <c r="AC23" s="151"/>
      <c r="AD23" s="131"/>
      <c r="AE23" s="131"/>
      <c r="AF23" s="131"/>
      <c r="AG23" s="131"/>
      <c r="AH23" s="131"/>
      <c r="AI23" s="136"/>
      <c r="AJ23" s="131"/>
      <c r="AK23" s="131"/>
      <c r="AL23" s="150"/>
      <c r="AM23" s="132"/>
      <c r="AN23" s="151"/>
      <c r="AO23" s="131"/>
      <c r="AP23" s="131"/>
      <c r="AQ23" s="131"/>
      <c r="AR23" s="131"/>
      <c r="AS23" s="131"/>
      <c r="AU23" s="131"/>
      <c r="AV23" s="131"/>
      <c r="AW23" s="150"/>
      <c r="AX23" s="132"/>
      <c r="AY23" s="151"/>
      <c r="AZ23" s="131"/>
      <c r="BA23" s="131"/>
      <c r="BB23" s="131"/>
      <c r="BC23" s="131"/>
      <c r="BD23" s="131"/>
      <c r="BF23" s="131"/>
      <c r="BG23" s="131"/>
      <c r="BH23" s="150"/>
      <c r="BI23" s="132"/>
      <c r="BJ23" s="151"/>
      <c r="BK23" s="131"/>
      <c r="BL23" s="131"/>
      <c r="BM23" s="131"/>
      <c r="BN23" s="131"/>
      <c r="BO23" s="131"/>
    </row>
    <row r="24" spans="1:67" ht="40.5" customHeight="1" x14ac:dyDescent="0.3">
      <c r="A24" s="136"/>
      <c r="B24" s="136"/>
      <c r="C24" s="136"/>
      <c r="D24" s="137"/>
      <c r="E24" s="136"/>
      <c r="F24" s="136"/>
      <c r="G24" s="136"/>
      <c r="H24" s="136"/>
      <c r="I24" s="136"/>
      <c r="J24" s="136"/>
      <c r="K24" s="136"/>
      <c r="L24" s="136"/>
      <c r="M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  <c r="AN24" s="136"/>
      <c r="AO24" s="136"/>
      <c r="AP24" s="136"/>
      <c r="AQ24" s="136"/>
      <c r="AR24" s="136"/>
      <c r="AS24" s="136"/>
    </row>
    <row r="25" spans="1:67" ht="40.5" customHeight="1" x14ac:dyDescent="0.3">
      <c r="A25" s="242" t="s">
        <v>304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7"/>
      <c r="N25" s="153"/>
      <c r="O25" s="153"/>
      <c r="P25" s="154"/>
      <c r="Q25" s="153"/>
      <c r="R25" s="153"/>
      <c r="S25" s="242" t="s">
        <v>305</v>
      </c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7"/>
      <c r="AF25" s="153"/>
      <c r="AG25" s="153"/>
      <c r="AH25" s="153"/>
      <c r="AI25" s="153"/>
      <c r="AJ25" s="243" t="s">
        <v>306</v>
      </c>
      <c r="AK25" s="233"/>
      <c r="AL25" s="233"/>
      <c r="AM25" s="233"/>
      <c r="AN25" s="233"/>
      <c r="AO25" s="233"/>
      <c r="AP25" s="233"/>
      <c r="AQ25" s="233"/>
      <c r="AR25" s="233"/>
      <c r="AS25" s="233"/>
      <c r="AT25" s="153"/>
      <c r="AU25" s="243" t="s">
        <v>307</v>
      </c>
      <c r="AV25" s="233"/>
      <c r="AW25" s="233"/>
      <c r="AX25" s="233"/>
      <c r="AY25" s="233"/>
      <c r="AZ25" s="233"/>
      <c r="BA25" s="233"/>
      <c r="BB25" s="233"/>
      <c r="BC25" s="233"/>
      <c r="BD25" s="233"/>
    </row>
    <row r="26" spans="1:67" ht="87.5" customHeight="1" x14ac:dyDescent="0.3">
      <c r="A26" s="143" t="s">
        <v>260</v>
      </c>
      <c r="B26" s="143" t="s">
        <v>261</v>
      </c>
      <c r="C26" s="143" t="s">
        <v>262</v>
      </c>
      <c r="D26" s="144" t="s">
        <v>263</v>
      </c>
      <c r="E26" s="143" t="s">
        <v>264</v>
      </c>
      <c r="F26" s="143" t="s">
        <v>265</v>
      </c>
      <c r="G26" s="143" t="s">
        <v>266</v>
      </c>
      <c r="H26" s="143" t="s">
        <v>267</v>
      </c>
      <c r="I26" s="143" t="s">
        <v>280</v>
      </c>
      <c r="J26" s="143" t="s">
        <v>282</v>
      </c>
      <c r="K26" s="143" t="s">
        <v>270</v>
      </c>
      <c r="L26" s="143" t="s">
        <v>271</v>
      </c>
      <c r="M26" s="143" t="s">
        <v>272</v>
      </c>
      <c r="N26" s="153"/>
      <c r="O26" s="153"/>
      <c r="P26" s="154"/>
      <c r="Q26" s="153"/>
      <c r="R26" s="153"/>
      <c r="S26" s="143" t="s">
        <v>260</v>
      </c>
      <c r="T26" s="143" t="s">
        <v>261</v>
      </c>
      <c r="U26" s="143" t="s">
        <v>262</v>
      </c>
      <c r="V26" s="143" t="s">
        <v>263</v>
      </c>
      <c r="W26" s="143" t="s">
        <v>264</v>
      </c>
      <c r="X26" s="143" t="s">
        <v>265</v>
      </c>
      <c r="Y26" s="143" t="s">
        <v>266</v>
      </c>
      <c r="Z26" s="143" t="s">
        <v>267</v>
      </c>
      <c r="AA26" s="143" t="s">
        <v>280</v>
      </c>
      <c r="AB26" s="143" t="s">
        <v>282</v>
      </c>
      <c r="AC26" s="143" t="s">
        <v>270</v>
      </c>
      <c r="AD26" s="143" t="s">
        <v>271</v>
      </c>
      <c r="AE26" s="143" t="s">
        <v>272</v>
      </c>
      <c r="AF26" s="153"/>
      <c r="AG26" s="153"/>
      <c r="AH26" s="153"/>
      <c r="AI26" s="153"/>
      <c r="AJ26" s="143" t="s">
        <v>260</v>
      </c>
      <c r="AK26" s="143" t="s">
        <v>261</v>
      </c>
      <c r="AL26" s="143" t="s">
        <v>262</v>
      </c>
      <c r="AM26" s="144" t="s">
        <v>263</v>
      </c>
      <c r="AN26" s="143" t="s">
        <v>264</v>
      </c>
      <c r="AO26" s="143" t="s">
        <v>267</v>
      </c>
      <c r="AP26" s="143" t="s">
        <v>268</v>
      </c>
      <c r="AQ26" s="143" t="s">
        <v>270</v>
      </c>
      <c r="AR26" s="143" t="s">
        <v>271</v>
      </c>
      <c r="AS26" s="143" t="s">
        <v>272</v>
      </c>
      <c r="AT26" s="153"/>
      <c r="AU26" s="143" t="s">
        <v>260</v>
      </c>
      <c r="AV26" s="143" t="s">
        <v>261</v>
      </c>
      <c r="AW26" s="143" t="s">
        <v>262</v>
      </c>
      <c r="AX26" s="144" t="s">
        <v>263</v>
      </c>
      <c r="AY26" s="143" t="s">
        <v>264</v>
      </c>
      <c r="AZ26" s="143" t="s">
        <v>267</v>
      </c>
      <c r="BA26" s="143" t="s">
        <v>268</v>
      </c>
      <c r="BB26" s="143" t="s">
        <v>270</v>
      </c>
      <c r="BC26" s="143" t="s">
        <v>271</v>
      </c>
      <c r="BD26" s="143" t="s">
        <v>272</v>
      </c>
    </row>
    <row r="27" spans="1:67" ht="40.5" customHeight="1" x14ac:dyDescent="0.3">
      <c r="A27" s="131"/>
      <c r="B27" s="131"/>
      <c r="C27" s="145" t="s">
        <v>34</v>
      </c>
      <c r="D27" s="132"/>
      <c r="E27" s="151" t="s">
        <v>273</v>
      </c>
      <c r="F27" s="131"/>
      <c r="G27" s="131"/>
      <c r="H27" s="131"/>
      <c r="I27" s="131"/>
      <c r="J27" s="131"/>
      <c r="K27" s="131"/>
      <c r="L27" s="133"/>
      <c r="M27" s="131"/>
      <c r="S27" s="131"/>
      <c r="T27" s="131"/>
      <c r="U27" s="145" t="s">
        <v>34</v>
      </c>
      <c r="V27" s="132"/>
      <c r="W27" s="151" t="s">
        <v>273</v>
      </c>
      <c r="X27" s="131"/>
      <c r="Y27" s="131"/>
      <c r="Z27" s="131"/>
      <c r="AA27" s="131"/>
      <c r="AB27" s="131"/>
      <c r="AC27" s="131"/>
      <c r="AD27" s="133"/>
      <c r="AE27" s="131"/>
      <c r="AJ27" s="156"/>
      <c r="AK27" s="156"/>
      <c r="AL27" s="145" t="s">
        <v>34</v>
      </c>
      <c r="AM27" s="132"/>
      <c r="AN27" s="151" t="s">
        <v>273</v>
      </c>
      <c r="AO27" s="156"/>
      <c r="AP27" s="156"/>
      <c r="AQ27" s="156"/>
      <c r="AR27" s="133"/>
      <c r="AS27" s="156"/>
      <c r="AU27" s="131"/>
      <c r="AV27" s="131"/>
      <c r="AW27" s="145" t="s">
        <v>34</v>
      </c>
      <c r="AX27" s="132"/>
      <c r="AY27" s="151" t="s">
        <v>273</v>
      </c>
      <c r="AZ27" s="131"/>
      <c r="BA27" s="131"/>
      <c r="BB27" s="131"/>
      <c r="BC27" s="133"/>
      <c r="BD27" s="131"/>
    </row>
    <row r="28" spans="1:67" ht="40.5" customHeight="1" x14ac:dyDescent="0.3">
      <c r="A28" s="131"/>
      <c r="B28" s="131"/>
      <c r="C28" s="146"/>
      <c r="D28" s="132"/>
      <c r="E28" s="151" t="s">
        <v>274</v>
      </c>
      <c r="F28" s="131"/>
      <c r="G28" s="131"/>
      <c r="H28" s="131"/>
      <c r="I28" s="131"/>
      <c r="J28" s="131"/>
      <c r="K28" s="131"/>
      <c r="L28" s="133"/>
      <c r="M28" s="131"/>
      <c r="S28" s="131"/>
      <c r="T28" s="131"/>
      <c r="U28" s="146"/>
      <c r="V28" s="132"/>
      <c r="W28" s="151" t="s">
        <v>274</v>
      </c>
      <c r="X28" s="131"/>
      <c r="Y28" s="131"/>
      <c r="Z28" s="131"/>
      <c r="AA28" s="131"/>
      <c r="AB28" s="131"/>
      <c r="AC28" s="131"/>
      <c r="AD28" s="133"/>
      <c r="AE28" s="131"/>
      <c r="AJ28" s="156"/>
      <c r="AK28" s="156"/>
      <c r="AL28" s="146"/>
      <c r="AM28" s="132"/>
      <c r="AN28" s="151" t="s">
        <v>274</v>
      </c>
      <c r="AO28" s="156"/>
      <c r="AP28" s="156"/>
      <c r="AQ28" s="156"/>
      <c r="AR28" s="133"/>
      <c r="AS28" s="156"/>
      <c r="AU28" s="131"/>
      <c r="AV28" s="131"/>
      <c r="AW28" s="146"/>
      <c r="AX28" s="132"/>
      <c r="AY28" s="151" t="s">
        <v>274</v>
      </c>
      <c r="AZ28" s="131"/>
      <c r="BA28" s="131"/>
      <c r="BB28" s="131"/>
      <c r="BC28" s="133"/>
      <c r="BD28" s="131"/>
    </row>
    <row r="29" spans="1:67" ht="40.5" customHeight="1" x14ac:dyDescent="0.3">
      <c r="A29" s="131"/>
      <c r="B29" s="131"/>
      <c r="C29" s="147"/>
      <c r="D29" s="132"/>
      <c r="E29" s="151"/>
      <c r="F29" s="131"/>
      <c r="G29" s="131"/>
      <c r="H29" s="131"/>
      <c r="I29" s="131"/>
      <c r="J29" s="131"/>
      <c r="K29" s="131"/>
      <c r="L29" s="133"/>
      <c r="M29" s="131"/>
      <c r="S29" s="131"/>
      <c r="T29" s="131"/>
      <c r="U29" s="147"/>
      <c r="V29" s="132"/>
      <c r="W29" s="151"/>
      <c r="X29" s="131"/>
      <c r="Y29" s="131"/>
      <c r="Z29" s="131"/>
      <c r="AA29" s="131"/>
      <c r="AB29" s="131"/>
      <c r="AC29" s="131"/>
      <c r="AD29" s="133"/>
      <c r="AE29" s="131"/>
      <c r="AJ29" s="131"/>
      <c r="AK29" s="131"/>
      <c r="AL29" s="147"/>
      <c r="AM29" s="132"/>
      <c r="AN29" s="151"/>
      <c r="AO29" s="131"/>
      <c r="AP29" s="131"/>
      <c r="AQ29" s="131"/>
      <c r="AR29" s="133"/>
      <c r="AS29" s="131"/>
      <c r="AU29" s="131"/>
      <c r="AV29" s="131"/>
      <c r="AW29" s="147"/>
      <c r="AX29" s="132"/>
      <c r="AY29" s="151"/>
      <c r="AZ29" s="131"/>
      <c r="BA29" s="131"/>
      <c r="BB29" s="131"/>
      <c r="BC29" s="133"/>
      <c r="BD29" s="131"/>
    </row>
    <row r="30" spans="1:67" ht="40.5" customHeight="1" x14ac:dyDescent="0.3">
      <c r="A30" s="131"/>
      <c r="B30" s="131"/>
      <c r="C30" s="145" t="s">
        <v>25</v>
      </c>
      <c r="D30" s="132"/>
      <c r="E30" s="151" t="s">
        <v>273</v>
      </c>
      <c r="F30" s="131"/>
      <c r="G30" s="131"/>
      <c r="H30" s="131"/>
      <c r="I30" s="131"/>
      <c r="J30" s="131"/>
      <c r="K30" s="131"/>
      <c r="L30" s="134"/>
      <c r="M30" s="131"/>
      <c r="S30" s="131"/>
      <c r="T30" s="131"/>
      <c r="U30" s="145" t="s">
        <v>25</v>
      </c>
      <c r="V30" s="132"/>
      <c r="W30" s="151" t="s">
        <v>273</v>
      </c>
      <c r="X30" s="131"/>
      <c r="Y30" s="131"/>
      <c r="Z30" s="131"/>
      <c r="AA30" s="131"/>
      <c r="AB30" s="131"/>
      <c r="AC30" s="131"/>
      <c r="AD30" s="134"/>
      <c r="AE30" s="131"/>
      <c r="AJ30" s="131"/>
      <c r="AK30" s="131"/>
      <c r="AL30" s="145" t="s">
        <v>25</v>
      </c>
      <c r="AM30" s="132"/>
      <c r="AN30" s="151" t="s">
        <v>273</v>
      </c>
      <c r="AO30" s="131"/>
      <c r="AP30" s="131"/>
      <c r="AQ30" s="131"/>
      <c r="AR30" s="134"/>
      <c r="AS30" s="131"/>
      <c r="AU30" s="131"/>
      <c r="AV30" s="131"/>
      <c r="AW30" s="145" t="s">
        <v>25</v>
      </c>
      <c r="AX30" s="132"/>
      <c r="AY30" s="151" t="s">
        <v>273</v>
      </c>
      <c r="AZ30" s="131"/>
      <c r="BA30" s="131"/>
      <c r="BB30" s="131"/>
      <c r="BC30" s="134"/>
      <c r="BD30" s="131"/>
    </row>
    <row r="31" spans="1:67" ht="40.5" customHeight="1" x14ac:dyDescent="0.3">
      <c r="A31" s="131"/>
      <c r="B31" s="131"/>
      <c r="C31" s="146"/>
      <c r="D31" s="132"/>
      <c r="E31" s="151" t="s">
        <v>274</v>
      </c>
      <c r="F31" s="131"/>
      <c r="G31" s="131"/>
      <c r="H31" s="131"/>
      <c r="I31" s="131"/>
      <c r="J31" s="131"/>
      <c r="K31" s="131"/>
      <c r="L31" s="134"/>
      <c r="M31" s="131"/>
      <c r="S31" s="131"/>
      <c r="T31" s="131"/>
      <c r="U31" s="146"/>
      <c r="V31" s="132"/>
      <c r="W31" s="151" t="s">
        <v>274</v>
      </c>
      <c r="X31" s="131"/>
      <c r="Y31" s="131"/>
      <c r="Z31" s="131"/>
      <c r="AA31" s="131"/>
      <c r="AB31" s="131"/>
      <c r="AC31" s="131"/>
      <c r="AD31" s="134"/>
      <c r="AE31" s="131"/>
      <c r="AJ31" s="131"/>
      <c r="AK31" s="131"/>
      <c r="AL31" s="146"/>
      <c r="AM31" s="132"/>
      <c r="AN31" s="151" t="s">
        <v>274</v>
      </c>
      <c r="AO31" s="131"/>
      <c r="AP31" s="131"/>
      <c r="AQ31" s="131"/>
      <c r="AR31" s="134"/>
      <c r="AS31" s="131"/>
      <c r="AU31" s="131"/>
      <c r="AV31" s="131"/>
      <c r="AW31" s="146"/>
      <c r="AX31" s="132"/>
      <c r="AY31" s="151" t="s">
        <v>274</v>
      </c>
      <c r="AZ31" s="131"/>
      <c r="BA31" s="131"/>
      <c r="BB31" s="131"/>
      <c r="BC31" s="134"/>
      <c r="BD31" s="131"/>
    </row>
    <row r="32" spans="1:67" ht="40.5" customHeight="1" x14ac:dyDescent="0.3">
      <c r="A32" s="131"/>
      <c r="B32" s="131"/>
      <c r="C32" s="147"/>
      <c r="D32" s="132"/>
      <c r="E32" s="151"/>
      <c r="F32" s="131"/>
      <c r="G32" s="131"/>
      <c r="H32" s="131"/>
      <c r="I32" s="131"/>
      <c r="J32" s="131"/>
      <c r="K32" s="131"/>
      <c r="L32" s="134"/>
      <c r="M32" s="131"/>
      <c r="S32" s="131"/>
      <c r="T32" s="131"/>
      <c r="U32" s="147"/>
      <c r="V32" s="132"/>
      <c r="W32" s="151"/>
      <c r="X32" s="131"/>
      <c r="Y32" s="131"/>
      <c r="Z32" s="131"/>
      <c r="AA32" s="131"/>
      <c r="AB32" s="131"/>
      <c r="AC32" s="131"/>
      <c r="AD32" s="134"/>
      <c r="AE32" s="131"/>
      <c r="AJ32" s="131"/>
      <c r="AK32" s="131"/>
      <c r="AL32" s="147"/>
      <c r="AM32" s="132"/>
      <c r="AN32" s="151"/>
      <c r="AO32" s="131"/>
      <c r="AP32" s="131"/>
      <c r="AQ32" s="131"/>
      <c r="AR32" s="134"/>
      <c r="AS32" s="131"/>
      <c r="AU32" s="131"/>
      <c r="AV32" s="131"/>
      <c r="AW32" s="147"/>
      <c r="AX32" s="132"/>
      <c r="AY32" s="151"/>
      <c r="AZ32" s="131"/>
      <c r="BA32" s="131"/>
      <c r="BB32" s="131"/>
      <c r="BC32" s="134"/>
      <c r="BD32" s="131"/>
    </row>
    <row r="33" spans="1:56" ht="40.5" customHeight="1" x14ac:dyDescent="0.3">
      <c r="A33" s="131"/>
      <c r="B33" s="131"/>
      <c r="C33" s="148" t="s">
        <v>29</v>
      </c>
      <c r="D33" s="132"/>
      <c r="E33" s="151" t="s">
        <v>273</v>
      </c>
      <c r="F33" s="131"/>
      <c r="G33" s="131"/>
      <c r="H33" s="131"/>
      <c r="I33" s="131"/>
      <c r="J33" s="131"/>
      <c r="K33" s="131"/>
      <c r="L33" s="133"/>
      <c r="M33" s="131"/>
      <c r="S33" s="131"/>
      <c r="T33" s="131"/>
      <c r="U33" s="148" t="s">
        <v>29</v>
      </c>
      <c r="V33" s="132"/>
      <c r="W33" s="151" t="s">
        <v>273</v>
      </c>
      <c r="X33" s="131"/>
      <c r="Y33" s="131"/>
      <c r="Z33" s="131"/>
      <c r="AA33" s="131"/>
      <c r="AB33" s="131"/>
      <c r="AC33" s="131"/>
      <c r="AD33" s="133"/>
      <c r="AE33" s="131"/>
      <c r="AJ33" s="131"/>
      <c r="AK33" s="131"/>
      <c r="AL33" s="148" t="s">
        <v>29</v>
      </c>
      <c r="AM33" s="132"/>
      <c r="AN33" s="151" t="s">
        <v>273</v>
      </c>
      <c r="AO33" s="131"/>
      <c r="AP33" s="131"/>
      <c r="AQ33" s="131"/>
      <c r="AR33" s="133"/>
      <c r="AS33" s="131"/>
      <c r="AU33" s="131"/>
      <c r="AV33" s="131"/>
      <c r="AW33" s="148" t="s">
        <v>29</v>
      </c>
      <c r="AX33" s="132"/>
      <c r="AY33" s="151" t="s">
        <v>273</v>
      </c>
      <c r="AZ33" s="131"/>
      <c r="BA33" s="131"/>
      <c r="BB33" s="131"/>
      <c r="BC33" s="133"/>
      <c r="BD33" s="131"/>
    </row>
    <row r="34" spans="1:56" ht="40.5" customHeight="1" x14ac:dyDescent="0.3">
      <c r="A34" s="131"/>
      <c r="B34" s="131"/>
      <c r="C34" s="149"/>
      <c r="D34" s="132"/>
      <c r="E34" s="151" t="s">
        <v>274</v>
      </c>
      <c r="F34" s="131"/>
      <c r="G34" s="131"/>
      <c r="H34" s="131"/>
      <c r="I34" s="131"/>
      <c r="J34" s="131"/>
      <c r="K34" s="131"/>
      <c r="L34" s="133"/>
      <c r="M34" s="131"/>
      <c r="S34" s="131"/>
      <c r="T34" s="131"/>
      <c r="U34" s="149"/>
      <c r="V34" s="132"/>
      <c r="W34" s="151" t="s">
        <v>274</v>
      </c>
      <c r="X34" s="131"/>
      <c r="Y34" s="131"/>
      <c r="Z34" s="131"/>
      <c r="AA34" s="131"/>
      <c r="AB34" s="131"/>
      <c r="AC34" s="131"/>
      <c r="AD34" s="133"/>
      <c r="AE34" s="131"/>
      <c r="AJ34" s="131"/>
      <c r="AK34" s="131"/>
      <c r="AL34" s="149"/>
      <c r="AM34" s="132"/>
      <c r="AN34" s="151" t="s">
        <v>274</v>
      </c>
      <c r="AO34" s="131"/>
      <c r="AP34" s="131"/>
      <c r="AQ34" s="131"/>
      <c r="AR34" s="133"/>
      <c r="AS34" s="131"/>
      <c r="AU34" s="131"/>
      <c r="AV34" s="131"/>
      <c r="AW34" s="149"/>
      <c r="AX34" s="132"/>
      <c r="AY34" s="151" t="s">
        <v>274</v>
      </c>
      <c r="AZ34" s="131"/>
      <c r="BA34" s="131"/>
      <c r="BB34" s="131"/>
      <c r="BC34" s="133"/>
      <c r="BD34" s="131"/>
    </row>
    <row r="35" spans="1:56" ht="40.5" customHeight="1" x14ac:dyDescent="0.3">
      <c r="A35" s="131"/>
      <c r="B35" s="131"/>
      <c r="C35" s="150"/>
      <c r="D35" s="132"/>
      <c r="E35" s="151"/>
      <c r="F35" s="131"/>
      <c r="G35" s="131"/>
      <c r="H35" s="131"/>
      <c r="I35" s="131"/>
      <c r="J35" s="131"/>
      <c r="K35" s="131"/>
      <c r="L35" s="133"/>
      <c r="M35" s="131"/>
      <c r="S35" s="131"/>
      <c r="T35" s="131"/>
      <c r="U35" s="150"/>
      <c r="V35" s="132"/>
      <c r="W35" s="151"/>
      <c r="X35" s="131"/>
      <c r="Y35" s="131"/>
      <c r="Z35" s="131"/>
      <c r="AA35" s="131"/>
      <c r="AB35" s="131"/>
      <c r="AC35" s="131"/>
      <c r="AD35" s="133"/>
      <c r="AE35" s="131"/>
      <c r="AJ35" s="131"/>
      <c r="AK35" s="131"/>
      <c r="AL35" s="150"/>
      <c r="AM35" s="132"/>
      <c r="AN35" s="151"/>
      <c r="AO35" s="131"/>
      <c r="AP35" s="131"/>
      <c r="AQ35" s="131"/>
      <c r="AR35" s="133"/>
      <c r="AS35" s="131"/>
      <c r="AU35" s="131"/>
      <c r="AV35" s="131"/>
      <c r="AW35" s="150"/>
      <c r="AX35" s="132"/>
      <c r="AY35" s="151"/>
      <c r="AZ35" s="131"/>
      <c r="BA35" s="131"/>
      <c r="BB35" s="131"/>
      <c r="BC35" s="133"/>
      <c r="BD35" s="131"/>
    </row>
    <row r="36" spans="1:56" ht="40.5" customHeight="1" x14ac:dyDescent="0.3">
      <c r="A36" s="131"/>
      <c r="B36" s="131"/>
      <c r="C36" s="148" t="s">
        <v>30</v>
      </c>
      <c r="D36" s="132"/>
      <c r="E36" s="151" t="s">
        <v>273</v>
      </c>
      <c r="F36" s="131"/>
      <c r="G36" s="131"/>
      <c r="H36" s="131"/>
      <c r="I36" s="131"/>
      <c r="J36" s="131"/>
      <c r="K36" s="131"/>
      <c r="L36" s="134"/>
      <c r="M36" s="131"/>
      <c r="S36" s="131"/>
      <c r="T36" s="131"/>
      <c r="U36" s="148" t="s">
        <v>30</v>
      </c>
      <c r="V36" s="132"/>
      <c r="W36" s="151" t="s">
        <v>273</v>
      </c>
      <c r="X36" s="131"/>
      <c r="Y36" s="131"/>
      <c r="Z36" s="131"/>
      <c r="AA36" s="131"/>
      <c r="AB36" s="131"/>
      <c r="AC36" s="131"/>
      <c r="AD36" s="134"/>
      <c r="AE36" s="131"/>
      <c r="AJ36" s="131"/>
      <c r="AK36" s="131"/>
      <c r="AL36" s="148" t="s">
        <v>30</v>
      </c>
      <c r="AM36" s="132"/>
      <c r="AN36" s="151" t="s">
        <v>273</v>
      </c>
      <c r="AO36" s="131"/>
      <c r="AP36" s="131"/>
      <c r="AQ36" s="131"/>
      <c r="AR36" s="134"/>
      <c r="AS36" s="131"/>
      <c r="AU36" s="131"/>
      <c r="AV36" s="131"/>
      <c r="AW36" s="148" t="s">
        <v>30</v>
      </c>
      <c r="AX36" s="132"/>
      <c r="AY36" s="151" t="s">
        <v>273</v>
      </c>
      <c r="AZ36" s="131"/>
      <c r="BA36" s="131"/>
      <c r="BB36" s="131"/>
      <c r="BC36" s="134"/>
      <c r="BD36" s="131"/>
    </row>
    <row r="37" spans="1:56" ht="40.5" customHeight="1" x14ac:dyDescent="0.3">
      <c r="A37" s="131"/>
      <c r="B37" s="131"/>
      <c r="C37" s="149"/>
      <c r="D37" s="132"/>
      <c r="E37" s="151" t="s">
        <v>274</v>
      </c>
      <c r="F37" s="131"/>
      <c r="G37" s="131"/>
      <c r="H37" s="131"/>
      <c r="I37" s="131"/>
      <c r="J37" s="131"/>
      <c r="K37" s="131"/>
      <c r="L37" s="134"/>
      <c r="M37" s="131"/>
      <c r="S37" s="131"/>
      <c r="T37" s="131"/>
      <c r="U37" s="149"/>
      <c r="V37" s="132"/>
      <c r="W37" s="151" t="s">
        <v>274</v>
      </c>
      <c r="X37" s="131"/>
      <c r="Y37" s="131"/>
      <c r="Z37" s="131"/>
      <c r="AA37" s="131"/>
      <c r="AB37" s="131"/>
      <c r="AC37" s="131"/>
      <c r="AD37" s="134"/>
      <c r="AE37" s="131"/>
      <c r="AJ37" s="131"/>
      <c r="AK37" s="131"/>
      <c r="AL37" s="149"/>
      <c r="AM37" s="132"/>
      <c r="AN37" s="151" t="s">
        <v>274</v>
      </c>
      <c r="AO37" s="131"/>
      <c r="AP37" s="131"/>
      <c r="AQ37" s="131"/>
      <c r="AR37" s="134"/>
      <c r="AS37" s="131"/>
      <c r="AU37" s="131"/>
      <c r="AV37" s="131"/>
      <c r="AW37" s="149"/>
      <c r="AX37" s="132"/>
      <c r="AY37" s="151" t="s">
        <v>274</v>
      </c>
      <c r="AZ37" s="131"/>
      <c r="BA37" s="131"/>
      <c r="BB37" s="131"/>
      <c r="BC37" s="134"/>
      <c r="BD37" s="131"/>
    </row>
    <row r="38" spans="1:56" ht="40.5" customHeight="1" x14ac:dyDescent="0.3">
      <c r="A38" s="131"/>
      <c r="B38" s="131"/>
      <c r="C38" s="150"/>
      <c r="D38" s="132"/>
      <c r="E38" s="151"/>
      <c r="F38" s="131"/>
      <c r="G38" s="131"/>
      <c r="H38" s="131"/>
      <c r="I38" s="131"/>
      <c r="J38" s="131"/>
      <c r="K38" s="131"/>
      <c r="L38" s="134"/>
      <c r="M38" s="131"/>
      <c r="S38" s="131"/>
      <c r="T38" s="131"/>
      <c r="U38" s="150"/>
      <c r="V38" s="132"/>
      <c r="W38" s="151"/>
      <c r="X38" s="131"/>
      <c r="Y38" s="131"/>
      <c r="Z38" s="131"/>
      <c r="AA38" s="131"/>
      <c r="AB38" s="131"/>
      <c r="AC38" s="131"/>
      <c r="AD38" s="134"/>
      <c r="AE38" s="131"/>
      <c r="AJ38" s="131"/>
      <c r="AK38" s="131"/>
      <c r="AL38" s="150"/>
      <c r="AM38" s="132"/>
      <c r="AN38" s="151"/>
      <c r="AO38" s="131"/>
      <c r="AP38" s="131"/>
      <c r="AQ38" s="131"/>
      <c r="AR38" s="134"/>
      <c r="AS38" s="131"/>
      <c r="AU38" s="131"/>
      <c r="AV38" s="131"/>
      <c r="AW38" s="150"/>
      <c r="AX38" s="132"/>
      <c r="AY38" s="151"/>
      <c r="AZ38" s="131"/>
      <c r="BA38" s="131"/>
      <c r="BB38" s="131"/>
      <c r="BC38" s="134"/>
      <c r="BD38" s="131"/>
    </row>
    <row r="39" spans="1:56" ht="40.5" customHeight="1" x14ac:dyDescent="0.3">
      <c r="A39" s="131"/>
      <c r="B39" s="131"/>
      <c r="C39" s="148" t="s">
        <v>31</v>
      </c>
      <c r="D39" s="132"/>
      <c r="E39" s="151" t="s">
        <v>273</v>
      </c>
      <c r="F39" s="131"/>
      <c r="G39" s="131"/>
      <c r="H39" s="131"/>
      <c r="I39" s="131"/>
      <c r="J39" s="131"/>
      <c r="K39" s="131"/>
      <c r="L39" s="133"/>
      <c r="M39" s="131"/>
      <c r="S39" s="131"/>
      <c r="T39" s="131"/>
      <c r="U39" s="148" t="s">
        <v>31</v>
      </c>
      <c r="V39" s="132"/>
      <c r="W39" s="151" t="s">
        <v>273</v>
      </c>
      <c r="X39" s="131"/>
      <c r="Y39" s="131"/>
      <c r="Z39" s="131"/>
      <c r="AA39" s="131"/>
      <c r="AB39" s="131"/>
      <c r="AC39" s="131"/>
      <c r="AD39" s="133"/>
      <c r="AE39" s="131"/>
      <c r="AJ39" s="131"/>
      <c r="AK39" s="131"/>
      <c r="AL39" s="148" t="s">
        <v>31</v>
      </c>
      <c r="AM39" s="132"/>
      <c r="AN39" s="151" t="s">
        <v>273</v>
      </c>
      <c r="AO39" s="131"/>
      <c r="AP39" s="131"/>
      <c r="AQ39" s="131"/>
      <c r="AR39" s="133"/>
      <c r="AS39" s="131"/>
      <c r="AU39" s="131"/>
      <c r="AV39" s="131"/>
      <c r="AW39" s="148" t="s">
        <v>31</v>
      </c>
      <c r="AX39" s="132"/>
      <c r="AY39" s="151" t="s">
        <v>273</v>
      </c>
      <c r="AZ39" s="131"/>
      <c r="BA39" s="131"/>
      <c r="BB39" s="131"/>
      <c r="BC39" s="133"/>
      <c r="BD39" s="131"/>
    </row>
    <row r="40" spans="1:56" ht="40.5" customHeight="1" x14ac:dyDescent="0.3">
      <c r="A40" s="131"/>
      <c r="B40" s="131"/>
      <c r="C40" s="149"/>
      <c r="D40" s="132"/>
      <c r="E40" s="151" t="s">
        <v>274</v>
      </c>
      <c r="F40" s="131"/>
      <c r="G40" s="131"/>
      <c r="H40" s="131"/>
      <c r="I40" s="131"/>
      <c r="J40" s="131"/>
      <c r="K40" s="131"/>
      <c r="L40" s="133"/>
      <c r="M40" s="131"/>
      <c r="S40" s="131"/>
      <c r="T40" s="131"/>
      <c r="U40" s="149"/>
      <c r="V40" s="132"/>
      <c r="W40" s="151" t="s">
        <v>274</v>
      </c>
      <c r="X40" s="131"/>
      <c r="Y40" s="131"/>
      <c r="Z40" s="131"/>
      <c r="AA40" s="131"/>
      <c r="AB40" s="131"/>
      <c r="AC40" s="131"/>
      <c r="AD40" s="133"/>
      <c r="AE40" s="131"/>
      <c r="AJ40" s="131"/>
      <c r="AK40" s="131"/>
      <c r="AL40" s="149"/>
      <c r="AM40" s="132"/>
      <c r="AN40" s="151" t="s">
        <v>274</v>
      </c>
      <c r="AO40" s="131"/>
      <c r="AP40" s="131"/>
      <c r="AQ40" s="131"/>
      <c r="AR40" s="133"/>
      <c r="AS40" s="131"/>
      <c r="AU40" s="131"/>
      <c r="AV40" s="131"/>
      <c r="AW40" s="149"/>
      <c r="AX40" s="132"/>
      <c r="AY40" s="151" t="s">
        <v>274</v>
      </c>
      <c r="AZ40" s="131"/>
      <c r="BA40" s="131"/>
      <c r="BB40" s="131"/>
      <c r="BC40" s="133"/>
      <c r="BD40" s="131"/>
    </row>
    <row r="41" spans="1:56" ht="40.5" customHeight="1" x14ac:dyDescent="0.3">
      <c r="A41" s="131"/>
      <c r="B41" s="131"/>
      <c r="C41" s="150"/>
      <c r="D41" s="132"/>
      <c r="E41" s="151"/>
      <c r="F41" s="131"/>
      <c r="G41" s="131"/>
      <c r="H41" s="131"/>
      <c r="I41" s="131"/>
      <c r="J41" s="131"/>
      <c r="K41" s="131"/>
      <c r="L41" s="133"/>
      <c r="M41" s="131"/>
      <c r="S41" s="131"/>
      <c r="T41" s="131"/>
      <c r="U41" s="150"/>
      <c r="V41" s="132"/>
      <c r="W41" s="151"/>
      <c r="X41" s="131"/>
      <c r="Y41" s="131"/>
      <c r="Z41" s="131"/>
      <c r="AA41" s="131"/>
      <c r="AB41" s="131"/>
      <c r="AC41" s="131"/>
      <c r="AD41" s="133"/>
      <c r="AE41" s="131"/>
      <c r="AJ41" s="131"/>
      <c r="AK41" s="131"/>
      <c r="AL41" s="150"/>
      <c r="AM41" s="132"/>
      <c r="AN41" s="151"/>
      <c r="AO41" s="131"/>
      <c r="AP41" s="131"/>
      <c r="AQ41" s="131"/>
      <c r="AR41" s="133"/>
      <c r="AS41" s="131"/>
      <c r="AU41" s="131"/>
      <c r="AV41" s="131"/>
      <c r="AW41" s="150"/>
      <c r="AX41" s="132"/>
      <c r="AY41" s="151"/>
      <c r="AZ41" s="131"/>
      <c r="BA41" s="131"/>
      <c r="BB41" s="131"/>
      <c r="BC41" s="133"/>
      <c r="BD41" s="131"/>
    </row>
    <row r="42" spans="1:56" ht="40.5" customHeight="1" x14ac:dyDescent="0.3">
      <c r="A42" s="131"/>
      <c r="B42" s="131"/>
      <c r="C42" s="148" t="s">
        <v>275</v>
      </c>
      <c r="D42" s="132"/>
      <c r="E42" s="151" t="s">
        <v>273</v>
      </c>
      <c r="F42" s="131"/>
      <c r="G42" s="131"/>
      <c r="H42" s="131"/>
      <c r="I42" s="131"/>
      <c r="J42" s="131"/>
      <c r="K42" s="131"/>
      <c r="L42" s="134"/>
      <c r="M42" s="131"/>
      <c r="S42" s="131"/>
      <c r="T42" s="131"/>
      <c r="U42" s="148" t="s">
        <v>275</v>
      </c>
      <c r="V42" s="132"/>
      <c r="W42" s="151" t="s">
        <v>273</v>
      </c>
      <c r="X42" s="131"/>
      <c r="Y42" s="131"/>
      <c r="Z42" s="131"/>
      <c r="AA42" s="131"/>
      <c r="AB42" s="131"/>
      <c r="AC42" s="131"/>
      <c r="AD42" s="134"/>
      <c r="AE42" s="131"/>
      <c r="AJ42" s="131"/>
      <c r="AK42" s="131"/>
      <c r="AL42" s="148" t="s">
        <v>275</v>
      </c>
      <c r="AM42" s="132"/>
      <c r="AN42" s="151" t="s">
        <v>273</v>
      </c>
      <c r="AO42" s="131"/>
      <c r="AP42" s="131"/>
      <c r="AQ42" s="131"/>
      <c r="AR42" s="134"/>
      <c r="AS42" s="131"/>
      <c r="AU42" s="131"/>
      <c r="AV42" s="131"/>
      <c r="AW42" s="148" t="s">
        <v>275</v>
      </c>
      <c r="AX42" s="132"/>
      <c r="AY42" s="151" t="s">
        <v>273</v>
      </c>
      <c r="AZ42" s="131"/>
      <c r="BA42" s="131"/>
      <c r="BB42" s="131"/>
      <c r="BC42" s="134"/>
      <c r="BD42" s="131"/>
    </row>
    <row r="43" spans="1:56" ht="40.5" customHeight="1" x14ac:dyDescent="0.3">
      <c r="A43" s="131"/>
      <c r="B43" s="131"/>
      <c r="C43" s="149"/>
      <c r="D43" s="132"/>
      <c r="E43" s="151" t="s">
        <v>274</v>
      </c>
      <c r="F43" s="131"/>
      <c r="G43" s="131"/>
      <c r="H43" s="131"/>
      <c r="I43" s="131"/>
      <c r="J43" s="131"/>
      <c r="K43" s="131"/>
      <c r="L43" s="134"/>
      <c r="M43" s="131"/>
      <c r="S43" s="131"/>
      <c r="T43" s="131"/>
      <c r="U43" s="149"/>
      <c r="V43" s="132"/>
      <c r="W43" s="151" t="s">
        <v>274</v>
      </c>
      <c r="X43" s="131"/>
      <c r="Y43" s="131"/>
      <c r="Z43" s="131"/>
      <c r="AA43" s="131"/>
      <c r="AB43" s="131"/>
      <c r="AC43" s="131"/>
      <c r="AD43" s="134"/>
      <c r="AE43" s="131"/>
      <c r="AJ43" s="131"/>
      <c r="AK43" s="131"/>
      <c r="AL43" s="149"/>
      <c r="AM43" s="132"/>
      <c r="AN43" s="151" t="s">
        <v>274</v>
      </c>
      <c r="AO43" s="131"/>
      <c r="AP43" s="131"/>
      <c r="AQ43" s="131"/>
      <c r="AR43" s="134"/>
      <c r="AS43" s="131"/>
      <c r="AU43" s="131"/>
      <c r="AV43" s="131"/>
      <c r="AW43" s="149"/>
      <c r="AX43" s="132"/>
      <c r="AY43" s="151" t="s">
        <v>274</v>
      </c>
      <c r="AZ43" s="131"/>
      <c r="BA43" s="131"/>
      <c r="BB43" s="131"/>
      <c r="BC43" s="134"/>
      <c r="BD43" s="131"/>
    </row>
    <row r="44" spans="1:56" ht="40.5" customHeight="1" x14ac:dyDescent="0.3">
      <c r="A44" s="131"/>
      <c r="B44" s="131"/>
      <c r="C44" s="150"/>
      <c r="D44" s="132"/>
      <c r="E44" s="151"/>
      <c r="F44" s="131"/>
      <c r="G44" s="131"/>
      <c r="H44" s="131"/>
      <c r="I44" s="131"/>
      <c r="J44" s="131"/>
      <c r="K44" s="131"/>
      <c r="L44" s="134"/>
      <c r="M44" s="131"/>
      <c r="S44" s="131"/>
      <c r="T44" s="131"/>
      <c r="U44" s="150"/>
      <c r="V44" s="132"/>
      <c r="W44" s="151"/>
      <c r="X44" s="131"/>
      <c r="Y44" s="131"/>
      <c r="Z44" s="131"/>
      <c r="AA44" s="131"/>
      <c r="AB44" s="131"/>
      <c r="AC44" s="131"/>
      <c r="AD44" s="134"/>
      <c r="AE44" s="131"/>
      <c r="AJ44" s="131"/>
      <c r="AK44" s="131"/>
      <c r="AL44" s="150"/>
      <c r="AM44" s="132"/>
      <c r="AN44" s="151"/>
      <c r="AO44" s="131"/>
      <c r="AP44" s="131"/>
      <c r="AQ44" s="131"/>
      <c r="AR44" s="134"/>
      <c r="AS44" s="131"/>
      <c r="AU44" s="131"/>
      <c r="AV44" s="131"/>
      <c r="AW44" s="150"/>
      <c r="AX44" s="132"/>
      <c r="AY44" s="151"/>
      <c r="AZ44" s="131"/>
      <c r="BA44" s="131"/>
      <c r="BB44" s="131"/>
      <c r="BC44" s="134"/>
      <c r="BD44" s="131"/>
    </row>
    <row r="45" spans="1:56" ht="40.5" customHeight="1" x14ac:dyDescent="0.3">
      <c r="A45" s="131"/>
      <c r="B45" s="131"/>
      <c r="C45" s="148" t="s">
        <v>33</v>
      </c>
      <c r="D45" s="132"/>
      <c r="E45" s="151" t="s">
        <v>273</v>
      </c>
      <c r="F45" s="131"/>
      <c r="G45" s="131"/>
      <c r="H45" s="131"/>
      <c r="I45" s="131"/>
      <c r="J45" s="131"/>
      <c r="K45" s="131"/>
      <c r="L45" s="131"/>
      <c r="M45" s="131"/>
      <c r="S45" s="131"/>
      <c r="T45" s="131"/>
      <c r="U45" s="148" t="s">
        <v>33</v>
      </c>
      <c r="V45" s="132"/>
      <c r="W45" s="151" t="s">
        <v>273</v>
      </c>
      <c r="X45" s="131"/>
      <c r="Y45" s="131"/>
      <c r="Z45" s="131"/>
      <c r="AA45" s="131"/>
      <c r="AB45" s="131"/>
      <c r="AC45" s="131"/>
      <c r="AD45" s="131"/>
      <c r="AE45" s="131"/>
      <c r="AJ45" s="131"/>
      <c r="AK45" s="131"/>
      <c r="AL45" s="148" t="s">
        <v>33</v>
      </c>
      <c r="AM45" s="132"/>
      <c r="AN45" s="151" t="s">
        <v>273</v>
      </c>
      <c r="AO45" s="131"/>
      <c r="AP45" s="131"/>
      <c r="AQ45" s="131"/>
      <c r="AR45" s="131"/>
      <c r="AS45" s="131"/>
      <c r="AU45" s="131"/>
      <c r="AV45" s="131"/>
      <c r="AW45" s="148" t="s">
        <v>33</v>
      </c>
      <c r="AX45" s="132"/>
      <c r="AY45" s="151" t="s">
        <v>273</v>
      </c>
      <c r="AZ45" s="131"/>
      <c r="BA45" s="131"/>
      <c r="BB45" s="131"/>
      <c r="BC45" s="131"/>
      <c r="BD45" s="131"/>
    </row>
    <row r="46" spans="1:56" ht="40.5" customHeight="1" x14ac:dyDescent="0.3">
      <c r="A46" s="131"/>
      <c r="B46" s="131"/>
      <c r="C46" s="149"/>
      <c r="D46" s="132"/>
      <c r="E46" s="151" t="s">
        <v>274</v>
      </c>
      <c r="F46" s="131"/>
      <c r="G46" s="131"/>
      <c r="H46" s="131"/>
      <c r="I46" s="131"/>
      <c r="J46" s="131"/>
      <c r="K46" s="131"/>
      <c r="L46" s="131"/>
      <c r="M46" s="131"/>
      <c r="S46" s="131"/>
      <c r="T46" s="131"/>
      <c r="U46" s="149"/>
      <c r="V46" s="132"/>
      <c r="W46" s="151" t="s">
        <v>274</v>
      </c>
      <c r="X46" s="131"/>
      <c r="Y46" s="131"/>
      <c r="Z46" s="131"/>
      <c r="AA46" s="131"/>
      <c r="AB46" s="131"/>
      <c r="AC46" s="131"/>
      <c r="AD46" s="131"/>
      <c r="AE46" s="131"/>
      <c r="AJ46" s="131"/>
      <c r="AK46" s="131"/>
      <c r="AL46" s="149"/>
      <c r="AM46" s="132"/>
      <c r="AN46" s="151" t="s">
        <v>274</v>
      </c>
      <c r="AO46" s="131"/>
      <c r="AP46" s="131"/>
      <c r="AQ46" s="131"/>
      <c r="AR46" s="131"/>
      <c r="AS46" s="131"/>
      <c r="AU46" s="131"/>
      <c r="AV46" s="131"/>
      <c r="AW46" s="149"/>
      <c r="AX46" s="132"/>
      <c r="AY46" s="151" t="s">
        <v>274</v>
      </c>
      <c r="AZ46" s="131"/>
      <c r="BA46" s="131"/>
      <c r="BB46" s="131"/>
      <c r="BC46" s="131"/>
      <c r="BD46" s="131"/>
    </row>
    <row r="47" spans="1:56" ht="40.5" customHeight="1" x14ac:dyDescent="0.3">
      <c r="A47" s="131"/>
      <c r="B47" s="131"/>
      <c r="C47" s="150"/>
      <c r="D47" s="132"/>
      <c r="E47" s="151"/>
      <c r="F47" s="131"/>
      <c r="G47" s="131"/>
      <c r="H47" s="131"/>
      <c r="I47" s="131"/>
      <c r="J47" s="131"/>
      <c r="K47" s="131"/>
      <c r="L47" s="131"/>
      <c r="M47" s="131"/>
      <c r="S47" s="131"/>
      <c r="T47" s="131"/>
      <c r="U47" s="150"/>
      <c r="V47" s="132"/>
      <c r="W47" s="151"/>
      <c r="X47" s="131"/>
      <c r="Y47" s="131"/>
      <c r="Z47" s="131"/>
      <c r="AA47" s="131"/>
      <c r="AB47" s="131"/>
      <c r="AC47" s="131"/>
      <c r="AD47" s="131"/>
      <c r="AE47" s="131"/>
      <c r="AJ47" s="156"/>
      <c r="AK47" s="156"/>
      <c r="AL47" s="150"/>
      <c r="AM47" s="157"/>
      <c r="AN47" s="151"/>
      <c r="AO47" s="156"/>
      <c r="AP47" s="156"/>
      <c r="AQ47" s="156"/>
      <c r="AR47" s="156"/>
      <c r="AS47" s="156"/>
      <c r="AU47" s="156"/>
      <c r="AV47" s="156"/>
      <c r="AW47" s="150"/>
      <c r="AX47" s="156"/>
      <c r="AY47" s="151"/>
      <c r="AZ47" s="156"/>
      <c r="BA47" s="156"/>
      <c r="BB47" s="156"/>
      <c r="BC47" s="156"/>
      <c r="BD47" s="156"/>
    </row>
    <row r="48" spans="1:56" x14ac:dyDescent="0.3">
      <c r="A48" s="136"/>
      <c r="B48" s="136"/>
      <c r="C48" s="136"/>
      <c r="D48" s="137"/>
      <c r="E48" s="136"/>
      <c r="F48" s="136"/>
      <c r="G48" s="136"/>
      <c r="H48" s="136"/>
      <c r="I48" s="136"/>
      <c r="J48" s="136"/>
      <c r="K48" s="136"/>
      <c r="L48" s="136"/>
      <c r="M48" s="136"/>
    </row>
    <row r="96" spans="1:13" x14ac:dyDescent="0.3">
      <c r="A96" s="136"/>
      <c r="B96" s="136"/>
      <c r="C96" s="136"/>
      <c r="D96" s="137"/>
      <c r="E96" s="136"/>
      <c r="F96" s="136"/>
      <c r="G96" s="136"/>
      <c r="H96" s="136"/>
      <c r="I96" s="136"/>
      <c r="J96" s="136"/>
      <c r="K96" s="136"/>
      <c r="L96" s="136"/>
      <c r="M96" s="136"/>
    </row>
    <row r="97" spans="1:13" x14ac:dyDescent="0.3">
      <c r="A97" s="136"/>
      <c r="B97" s="136"/>
      <c r="C97" s="136"/>
      <c r="D97" s="137"/>
      <c r="E97" s="136"/>
      <c r="F97" s="136"/>
      <c r="G97" s="136"/>
      <c r="H97" s="136"/>
      <c r="I97" s="136"/>
      <c r="J97" s="136"/>
      <c r="K97" s="136"/>
      <c r="L97" s="136"/>
      <c r="M97" s="136"/>
    </row>
    <row r="121" spans="1:13" x14ac:dyDescent="0.3">
      <c r="A121" s="136"/>
      <c r="B121" s="136"/>
      <c r="C121" s="136"/>
      <c r="D121" s="137"/>
      <c r="E121" s="136"/>
      <c r="F121" s="136"/>
      <c r="G121" s="136"/>
      <c r="H121" s="136"/>
      <c r="I121" s="136"/>
      <c r="J121" s="136"/>
      <c r="K121" s="136"/>
      <c r="L121" s="136"/>
      <c r="M121" s="136"/>
    </row>
    <row r="122" spans="1:13" x14ac:dyDescent="0.3">
      <c r="K122" s="136"/>
      <c r="L122" s="136"/>
      <c r="M122" s="136"/>
    </row>
    <row r="123" spans="1:13" x14ac:dyDescent="0.3">
      <c r="K123" s="136"/>
      <c r="L123" s="136"/>
      <c r="M123" s="136"/>
    </row>
    <row r="124" spans="1:13" x14ac:dyDescent="0.3">
      <c r="K124" s="136"/>
      <c r="L124" s="136"/>
      <c r="M124" s="136"/>
    </row>
    <row r="125" spans="1:13" x14ac:dyDescent="0.3">
      <c r="K125" s="136"/>
      <c r="L125" s="136"/>
      <c r="M125" s="136"/>
    </row>
    <row r="126" spans="1:13" x14ac:dyDescent="0.3">
      <c r="K126" s="136"/>
      <c r="L126" s="136"/>
      <c r="M126" s="136"/>
    </row>
    <row r="127" spans="1:13" x14ac:dyDescent="0.3">
      <c r="K127" s="136"/>
      <c r="L127" s="136"/>
      <c r="M127" s="136"/>
    </row>
    <row r="128" spans="1:13" x14ac:dyDescent="0.3">
      <c r="K128" s="136"/>
      <c r="L128" s="136"/>
      <c r="M128" s="136"/>
    </row>
    <row r="129" spans="11:13" x14ac:dyDescent="0.3">
      <c r="K129" s="136"/>
      <c r="L129" s="136"/>
      <c r="M129" s="136"/>
    </row>
    <row r="130" spans="11:13" x14ac:dyDescent="0.3">
      <c r="K130" s="136"/>
      <c r="L130" s="136"/>
      <c r="M130" s="136"/>
    </row>
    <row r="131" spans="11:13" x14ac:dyDescent="0.3">
      <c r="K131" s="136"/>
      <c r="L131" s="136"/>
      <c r="M131" s="136"/>
    </row>
    <row r="132" spans="11:13" x14ac:dyDescent="0.3">
      <c r="K132" s="136"/>
      <c r="L132" s="136"/>
      <c r="M132" s="136"/>
    </row>
    <row r="133" spans="11:13" x14ac:dyDescent="0.3">
      <c r="K133" s="136"/>
      <c r="L133" s="136"/>
      <c r="M133" s="136"/>
    </row>
    <row r="134" spans="11:13" x14ac:dyDescent="0.3">
      <c r="K134" s="136"/>
      <c r="L134" s="136"/>
      <c r="M134" s="136"/>
    </row>
    <row r="135" spans="11:13" x14ac:dyDescent="0.3">
      <c r="K135" s="136"/>
      <c r="L135" s="136"/>
      <c r="M135" s="136"/>
    </row>
    <row r="136" spans="11:13" x14ac:dyDescent="0.3">
      <c r="K136" s="136"/>
      <c r="L136" s="136"/>
      <c r="M136" s="136"/>
    </row>
    <row r="137" spans="11:13" x14ac:dyDescent="0.3">
      <c r="K137" s="136"/>
      <c r="L137" s="136"/>
      <c r="M137" s="136"/>
    </row>
    <row r="138" spans="11:13" x14ac:dyDescent="0.3">
      <c r="K138" s="136"/>
      <c r="L138" s="136"/>
      <c r="M138" s="136"/>
    </row>
    <row r="139" spans="11:13" x14ac:dyDescent="0.3">
      <c r="K139" s="136"/>
      <c r="L139" s="136"/>
      <c r="M139" s="136"/>
    </row>
    <row r="140" spans="11:13" x14ac:dyDescent="0.3">
      <c r="K140" s="136"/>
      <c r="L140" s="136"/>
      <c r="M140" s="136"/>
    </row>
    <row r="141" spans="11:13" x14ac:dyDescent="0.3">
      <c r="K141" s="136"/>
      <c r="L141" s="136"/>
      <c r="M141" s="136"/>
    </row>
    <row r="142" spans="11:13" x14ac:dyDescent="0.3">
      <c r="K142" s="136"/>
      <c r="L142" s="136"/>
      <c r="M142" s="136"/>
    </row>
    <row r="143" spans="11:13" x14ac:dyDescent="0.3">
      <c r="K143" s="136"/>
      <c r="L143" s="136"/>
      <c r="M143" s="136"/>
    </row>
    <row r="144" spans="11:13" x14ac:dyDescent="0.3">
      <c r="K144" s="136"/>
      <c r="L144" s="136"/>
      <c r="M144" s="136"/>
    </row>
    <row r="145" spans="11:13" x14ac:dyDescent="0.3">
      <c r="K145" s="136"/>
      <c r="L145" s="136"/>
      <c r="M145" s="136"/>
    </row>
    <row r="146" spans="11:13" x14ac:dyDescent="0.3">
      <c r="K146" s="136"/>
      <c r="L146" s="136"/>
      <c r="M146" s="136"/>
    </row>
    <row r="147" spans="11:13" x14ac:dyDescent="0.3">
      <c r="K147" s="136"/>
      <c r="L147" s="136"/>
      <c r="M147" s="136"/>
    </row>
    <row r="148" spans="11:13" x14ac:dyDescent="0.3">
      <c r="K148" s="136"/>
      <c r="L148" s="136"/>
      <c r="M148" s="136"/>
    </row>
    <row r="149" spans="11:13" x14ac:dyDescent="0.3">
      <c r="K149" s="136"/>
      <c r="L149" s="136"/>
      <c r="M149" s="136"/>
    </row>
    <row r="150" spans="11:13" x14ac:dyDescent="0.3">
      <c r="K150" s="136"/>
      <c r="L150" s="136"/>
      <c r="M150" s="136"/>
    </row>
    <row r="151" spans="11:13" x14ac:dyDescent="0.3">
      <c r="K151" s="136"/>
      <c r="L151" s="136"/>
      <c r="M151" s="136"/>
    </row>
    <row r="152" spans="11:13" x14ac:dyDescent="0.3">
      <c r="K152" s="136"/>
      <c r="L152" s="136"/>
      <c r="M152" s="136"/>
    </row>
    <row r="153" spans="11:13" x14ac:dyDescent="0.3">
      <c r="K153" s="136"/>
      <c r="L153" s="136"/>
      <c r="M153" s="136"/>
    </row>
    <row r="154" spans="11:13" x14ac:dyDescent="0.3">
      <c r="K154" s="136"/>
      <c r="L154" s="136"/>
      <c r="M154" s="136"/>
    </row>
    <row r="155" spans="11:13" x14ac:dyDescent="0.3">
      <c r="K155" s="136"/>
      <c r="L155" s="136"/>
      <c r="M155" s="136"/>
    </row>
    <row r="156" spans="11:13" x14ac:dyDescent="0.3">
      <c r="K156" s="136"/>
      <c r="L156" s="136"/>
      <c r="M156" s="136"/>
    </row>
    <row r="157" spans="11:13" x14ac:dyDescent="0.3">
      <c r="K157" s="136"/>
      <c r="L157" s="136"/>
      <c r="M157" s="136"/>
    </row>
    <row r="158" spans="11:13" x14ac:dyDescent="0.3">
      <c r="K158" s="136"/>
      <c r="L158" s="136"/>
      <c r="M158" s="136"/>
    </row>
    <row r="159" spans="11:13" x14ac:dyDescent="0.3">
      <c r="K159" s="136"/>
      <c r="L159" s="136"/>
      <c r="M159" s="136"/>
    </row>
    <row r="160" spans="11:13" x14ac:dyDescent="0.3">
      <c r="K160" s="136"/>
      <c r="L160" s="136"/>
      <c r="M160" s="136"/>
    </row>
    <row r="161" spans="11:13" x14ac:dyDescent="0.3">
      <c r="K161" s="136"/>
      <c r="L161" s="136"/>
      <c r="M161" s="136"/>
    </row>
    <row r="162" spans="11:13" x14ac:dyDescent="0.3">
      <c r="K162" s="136"/>
      <c r="L162" s="136"/>
      <c r="M162" s="136"/>
    </row>
    <row r="163" spans="11:13" x14ac:dyDescent="0.3">
      <c r="K163" s="136"/>
      <c r="L163" s="136"/>
      <c r="M163" s="136"/>
    </row>
    <row r="164" spans="11:13" x14ac:dyDescent="0.3">
      <c r="K164" s="136"/>
      <c r="L164" s="136"/>
      <c r="M164" s="136"/>
    </row>
    <row r="165" spans="11:13" x14ac:dyDescent="0.3">
      <c r="K165" s="136"/>
      <c r="L165" s="136"/>
      <c r="M165" s="136"/>
    </row>
    <row r="166" spans="11:13" x14ac:dyDescent="0.3">
      <c r="K166" s="136"/>
      <c r="L166" s="136"/>
      <c r="M166" s="136"/>
    </row>
    <row r="167" spans="11:13" x14ac:dyDescent="0.3">
      <c r="K167" s="136"/>
      <c r="L167" s="136"/>
      <c r="M167" s="136"/>
    </row>
  </sheetData>
  <mergeCells count="10">
    <mergeCell ref="BF1:BO1"/>
    <mergeCell ref="AU1:BD1"/>
    <mergeCell ref="A25:M25"/>
    <mergeCell ref="S25:AE25"/>
    <mergeCell ref="A1:K1"/>
    <mergeCell ref="AJ1:AS1"/>
    <mergeCell ref="AJ25:AS25"/>
    <mergeCell ref="M1:W1"/>
    <mergeCell ref="Y1:AH1"/>
    <mergeCell ref="AU25:BD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D220"/>
  <sheetViews>
    <sheetView showGridLines="0" zoomScale="50" zoomScaleNormal="10" workbookViewId="0">
      <pane xSplit="2" ySplit="7" topLeftCell="BM8" activePane="bottomRight" state="frozen"/>
      <selection pane="topRight" activeCell="C1" sqref="C1"/>
      <selection pane="bottomLeft" activeCell="A5" sqref="A5"/>
      <selection pane="bottomRight" activeCell="CB5" sqref="CB5"/>
    </sheetView>
  </sheetViews>
  <sheetFormatPr baseColWidth="10" defaultColWidth="9.1640625" defaultRowHeight="40" customHeight="1" x14ac:dyDescent="0.15"/>
  <cols>
    <col min="1" max="1" width="18.1640625" style="38" customWidth="1"/>
    <col min="2" max="2" width="63.5" style="38" customWidth="1"/>
    <col min="3" max="82" width="36.33203125" style="38" customWidth="1"/>
    <col min="83" max="83" width="9.1640625" style="38" customWidth="1"/>
    <col min="84" max="16384" width="9.1640625" style="38"/>
  </cols>
  <sheetData>
    <row r="1" spans="1:82" ht="40" customHeight="1" x14ac:dyDescent="0.15">
      <c r="C1" s="251" t="s">
        <v>308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</row>
    <row r="2" spans="1:82" ht="40" customHeight="1" x14ac:dyDescent="0.15"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</row>
    <row r="3" spans="1:82" ht="40" customHeight="1" x14ac:dyDescent="0.15">
      <c r="B3" s="39" t="s">
        <v>288</v>
      </c>
      <c r="C3" s="248" t="s">
        <v>18</v>
      </c>
      <c r="D3" s="239"/>
      <c r="E3" s="239"/>
      <c r="F3" s="239"/>
      <c r="G3" s="239"/>
      <c r="H3" s="239"/>
      <c r="I3" s="249"/>
      <c r="J3" s="40"/>
      <c r="K3" s="248" t="s">
        <v>19</v>
      </c>
      <c r="L3" s="239"/>
      <c r="M3" s="239"/>
      <c r="N3" s="239"/>
      <c r="O3" s="239"/>
      <c r="P3" s="239"/>
      <c r="Q3" s="249"/>
      <c r="R3" s="40"/>
      <c r="S3" s="248" t="s">
        <v>20</v>
      </c>
      <c r="T3" s="239"/>
      <c r="U3" s="239"/>
      <c r="V3" s="239"/>
      <c r="W3" s="239"/>
      <c r="X3" s="239"/>
      <c r="Y3" s="249"/>
      <c r="Z3" s="40"/>
      <c r="AA3" s="248" t="s">
        <v>309</v>
      </c>
      <c r="AB3" s="239"/>
      <c r="AC3" s="239"/>
      <c r="AD3" s="239"/>
      <c r="AE3" s="239"/>
      <c r="AF3" s="239"/>
      <c r="AG3" s="249"/>
      <c r="AH3" s="40"/>
      <c r="AI3" s="248" t="s">
        <v>21</v>
      </c>
      <c r="AJ3" s="239"/>
      <c r="AK3" s="239"/>
      <c r="AL3" s="239"/>
      <c r="AM3" s="239"/>
      <c r="AN3" s="239"/>
      <c r="AO3" s="249"/>
      <c r="AP3" s="40"/>
      <c r="AQ3" s="248" t="s">
        <v>22</v>
      </c>
      <c r="AR3" s="239"/>
      <c r="AS3" s="239"/>
      <c r="AT3" s="239"/>
      <c r="AU3" s="239"/>
      <c r="AV3" s="239"/>
      <c r="AW3" s="249"/>
      <c r="AX3" s="40"/>
      <c r="AY3" s="248" t="s">
        <v>23</v>
      </c>
      <c r="AZ3" s="239"/>
      <c r="BA3" s="239"/>
      <c r="BB3" s="239"/>
      <c r="BC3" s="239"/>
      <c r="BD3" s="239"/>
      <c r="BE3" s="249"/>
      <c r="BF3" s="40"/>
      <c r="BG3" s="248" t="s">
        <v>310</v>
      </c>
      <c r="BH3" s="239"/>
      <c r="BI3" s="239"/>
      <c r="BJ3" s="239"/>
      <c r="BK3" s="239"/>
      <c r="BL3" s="239"/>
      <c r="BM3" s="249"/>
      <c r="BN3" s="40"/>
      <c r="BO3" s="256" t="s">
        <v>24</v>
      </c>
      <c r="BP3" s="257"/>
      <c r="BQ3" s="257"/>
      <c r="BR3" s="257"/>
      <c r="BS3" s="257"/>
      <c r="BT3" s="257"/>
      <c r="BU3" s="257"/>
      <c r="BV3" s="257"/>
      <c r="BW3" s="256" t="s">
        <v>311</v>
      </c>
      <c r="BX3" s="257"/>
      <c r="BY3" s="257"/>
      <c r="BZ3" s="257"/>
      <c r="CA3" s="257"/>
      <c r="CB3" s="257"/>
      <c r="CC3" s="257"/>
      <c r="CD3" s="257"/>
    </row>
    <row r="4" spans="1:82" ht="40" customHeight="1" x14ac:dyDescent="0.15">
      <c r="B4" s="64" t="s">
        <v>312</v>
      </c>
      <c r="C4" s="64"/>
      <c r="D4" s="64"/>
      <c r="E4" s="64"/>
      <c r="F4" s="64"/>
      <c r="G4" s="64"/>
      <c r="H4" s="64"/>
      <c r="I4" s="64"/>
      <c r="J4" s="245" t="s">
        <v>290</v>
      </c>
      <c r="K4" s="64"/>
      <c r="L4" s="64"/>
      <c r="M4" s="64"/>
      <c r="N4" s="64"/>
      <c r="O4" s="64"/>
      <c r="P4" s="64"/>
      <c r="Q4" s="64"/>
      <c r="R4" s="253" t="s">
        <v>290</v>
      </c>
      <c r="S4" s="64"/>
      <c r="T4" s="64"/>
      <c r="U4" s="64"/>
      <c r="V4" s="64"/>
      <c r="W4" s="64"/>
      <c r="X4" s="64"/>
      <c r="Y4" s="64"/>
      <c r="Z4" s="245" t="s">
        <v>290</v>
      </c>
      <c r="AA4" s="64"/>
      <c r="AB4" s="64"/>
      <c r="AC4" s="64"/>
      <c r="AD4" s="64"/>
      <c r="AE4" s="64"/>
      <c r="AF4" s="64"/>
      <c r="AG4" s="64"/>
      <c r="AH4" s="245" t="s">
        <v>290</v>
      </c>
      <c r="AI4" s="64"/>
      <c r="AJ4" s="64"/>
      <c r="AK4" s="64"/>
      <c r="AL4" s="64"/>
      <c r="AM4" s="64"/>
      <c r="AN4" s="64"/>
      <c r="AO4" s="64"/>
      <c r="AP4" s="245" t="s">
        <v>290</v>
      </c>
      <c r="AQ4" s="64"/>
      <c r="AR4" s="64"/>
      <c r="AS4" s="64"/>
      <c r="AT4" s="64"/>
      <c r="AU4" s="64"/>
      <c r="AV4" s="64"/>
      <c r="AW4" s="64"/>
      <c r="AX4" s="245" t="s">
        <v>290</v>
      </c>
      <c r="AY4" s="64"/>
      <c r="AZ4" s="64"/>
      <c r="BA4" s="64"/>
      <c r="BB4" s="64"/>
      <c r="BC4" s="64"/>
      <c r="BD4" s="64"/>
      <c r="BE4" s="64"/>
      <c r="BF4" s="245" t="s">
        <v>290</v>
      </c>
      <c r="BG4" s="64"/>
      <c r="BH4" s="64"/>
      <c r="BI4" s="64"/>
      <c r="BJ4" s="64"/>
      <c r="BK4" s="64"/>
      <c r="BL4" s="64"/>
      <c r="BM4" s="64"/>
      <c r="BN4" s="245" t="s">
        <v>290</v>
      </c>
      <c r="BO4" s="64"/>
      <c r="BP4" s="64"/>
      <c r="BQ4" s="64"/>
      <c r="BR4" s="64"/>
      <c r="BS4" s="64"/>
      <c r="BT4" s="64"/>
      <c r="BU4" s="64"/>
      <c r="BV4" s="245" t="s">
        <v>290</v>
      </c>
      <c r="BW4" s="64"/>
      <c r="BX4" s="64"/>
      <c r="BY4" s="64"/>
      <c r="BZ4" s="64"/>
      <c r="CA4" s="64"/>
      <c r="CB4" s="64"/>
      <c r="CC4" s="64"/>
      <c r="CD4" s="245" t="s">
        <v>290</v>
      </c>
    </row>
    <row r="5" spans="1:82" s="35" customFormat="1" ht="40" customHeight="1" x14ac:dyDescent="0.15">
      <c r="B5" s="37" t="s">
        <v>263</v>
      </c>
      <c r="C5" s="37"/>
      <c r="D5" s="37"/>
      <c r="E5" s="37"/>
      <c r="F5" s="37"/>
      <c r="G5" s="37"/>
      <c r="H5" s="37"/>
      <c r="I5" s="37"/>
      <c r="J5" s="246"/>
      <c r="K5" s="37"/>
      <c r="L5" s="37"/>
      <c r="M5" s="37"/>
      <c r="N5" s="37"/>
      <c r="O5" s="37"/>
      <c r="P5" s="37"/>
      <c r="Q5" s="37"/>
      <c r="R5" s="254"/>
      <c r="S5" s="37"/>
      <c r="T5" s="37"/>
      <c r="U5" s="37"/>
      <c r="V5" s="37"/>
      <c r="W5" s="37"/>
      <c r="X5" s="37"/>
      <c r="Y5" s="37"/>
      <c r="Z5" s="246"/>
      <c r="AA5" s="37"/>
      <c r="AB5" s="37"/>
      <c r="AC5" s="37"/>
      <c r="AD5" s="37"/>
      <c r="AE5" s="37"/>
      <c r="AF5" s="37"/>
      <c r="AG5" s="37"/>
      <c r="AH5" s="246"/>
      <c r="AI5" s="37"/>
      <c r="AJ5" s="37"/>
      <c r="AK5" s="37"/>
      <c r="AL5" s="37"/>
      <c r="AM5" s="37"/>
      <c r="AN5" s="37"/>
      <c r="AO5" s="37"/>
      <c r="AP5" s="246"/>
      <c r="AQ5" s="37"/>
      <c r="AR5" s="37"/>
      <c r="AS5" s="37"/>
      <c r="AT5" s="37"/>
      <c r="AU5" s="37"/>
      <c r="AV5" s="37"/>
      <c r="AW5" s="37"/>
      <c r="AX5" s="246"/>
      <c r="AY5" s="37"/>
      <c r="AZ5" s="37"/>
      <c r="BA5" s="37"/>
      <c r="BB5" s="37"/>
      <c r="BC5" s="37"/>
      <c r="BD5" s="37"/>
      <c r="BE5" s="37"/>
      <c r="BF5" s="246"/>
      <c r="BG5" s="37"/>
      <c r="BH5" s="37"/>
      <c r="BI5" s="37"/>
      <c r="BJ5" s="37"/>
      <c r="BK5" s="37"/>
      <c r="BL5" s="37"/>
      <c r="BM5" s="37"/>
      <c r="BN5" s="246"/>
      <c r="BO5" s="37"/>
      <c r="BP5" s="37"/>
      <c r="BQ5" s="37"/>
      <c r="BR5" s="37"/>
      <c r="BS5" s="37"/>
      <c r="BT5" s="37"/>
      <c r="BU5" s="37"/>
      <c r="BV5" s="246"/>
      <c r="BW5" s="37"/>
      <c r="BX5" s="37"/>
      <c r="BY5" s="37"/>
      <c r="BZ5" s="37"/>
      <c r="CA5" s="37"/>
      <c r="CB5" s="37"/>
      <c r="CC5" s="37"/>
      <c r="CD5" s="246"/>
    </row>
    <row r="6" spans="1:82" ht="40" customHeight="1" x14ac:dyDescent="0.15">
      <c r="B6" s="64" t="s">
        <v>313</v>
      </c>
      <c r="C6" s="64"/>
      <c r="D6" s="64"/>
      <c r="E6" s="64"/>
      <c r="F6" s="64"/>
      <c r="G6" s="64"/>
      <c r="H6" s="64"/>
      <c r="I6" s="64"/>
      <c r="J6" s="246"/>
      <c r="K6" s="64"/>
      <c r="L6" s="64"/>
      <c r="M6" s="64"/>
      <c r="N6" s="64"/>
      <c r="O6" s="64"/>
      <c r="P6" s="64"/>
      <c r="Q6" s="64"/>
      <c r="R6" s="254"/>
      <c r="S6" s="64"/>
      <c r="T6" s="64"/>
      <c r="U6" s="64"/>
      <c r="V6" s="64"/>
      <c r="W6" s="64"/>
      <c r="X6" s="64"/>
      <c r="Y6" s="64"/>
      <c r="Z6" s="246"/>
      <c r="AA6" s="64"/>
      <c r="AB6" s="64"/>
      <c r="AC6" s="64"/>
      <c r="AD6" s="64"/>
      <c r="AE6" s="64"/>
      <c r="AF6" s="64"/>
      <c r="AG6" s="64"/>
      <c r="AH6" s="246"/>
      <c r="AI6" s="64"/>
      <c r="AJ6" s="64"/>
      <c r="AK6" s="64"/>
      <c r="AL6" s="64"/>
      <c r="AM6" s="64"/>
      <c r="AN6" s="64"/>
      <c r="AO6" s="64"/>
      <c r="AP6" s="246"/>
      <c r="AQ6" s="64"/>
      <c r="AR6" s="64"/>
      <c r="AS6" s="64"/>
      <c r="AT6" s="64"/>
      <c r="AU6" s="64"/>
      <c r="AV6" s="64"/>
      <c r="AW6" s="64"/>
      <c r="AX6" s="246"/>
      <c r="AY6" s="64"/>
      <c r="AZ6" s="64"/>
      <c r="BA6" s="64"/>
      <c r="BB6" s="64"/>
      <c r="BC6" s="64"/>
      <c r="BD6" s="64"/>
      <c r="BE6" s="64"/>
      <c r="BF6" s="246"/>
      <c r="BG6" s="64"/>
      <c r="BH6" s="64"/>
      <c r="BI6" s="64"/>
      <c r="BJ6" s="64"/>
      <c r="BK6" s="64"/>
      <c r="BL6" s="64"/>
      <c r="BM6" s="64"/>
      <c r="BN6" s="246"/>
      <c r="BO6" s="64"/>
      <c r="BP6" s="64"/>
      <c r="BQ6" s="64"/>
      <c r="BR6" s="64"/>
      <c r="BS6" s="64"/>
      <c r="BT6" s="64"/>
      <c r="BU6" s="64"/>
      <c r="BV6" s="246"/>
      <c r="BW6" s="64"/>
      <c r="BX6" s="64"/>
      <c r="BY6" s="64"/>
      <c r="BZ6" s="64"/>
      <c r="CA6" s="64"/>
      <c r="CB6" s="64"/>
      <c r="CC6" s="64"/>
      <c r="CD6" s="246"/>
    </row>
    <row r="7" spans="1:82" ht="40" customHeight="1" x14ac:dyDescent="0.15">
      <c r="A7" s="65" t="s">
        <v>51</v>
      </c>
      <c r="B7" s="66" t="s">
        <v>52</v>
      </c>
      <c r="C7" s="188" t="s">
        <v>25</v>
      </c>
      <c r="D7" s="189" t="s">
        <v>29</v>
      </c>
      <c r="E7" s="189" t="s">
        <v>30</v>
      </c>
      <c r="F7" s="189" t="s">
        <v>31</v>
      </c>
      <c r="G7" s="189" t="s">
        <v>32</v>
      </c>
      <c r="H7" s="189" t="s">
        <v>33</v>
      </c>
      <c r="I7" s="189" t="s">
        <v>34</v>
      </c>
      <c r="J7" s="247"/>
      <c r="K7" s="67" t="s">
        <v>25</v>
      </c>
      <c r="L7" s="43" t="s">
        <v>29</v>
      </c>
      <c r="M7" s="43" t="s">
        <v>30</v>
      </c>
      <c r="N7" s="43" t="s">
        <v>31</v>
      </c>
      <c r="O7" s="43" t="s">
        <v>32</v>
      </c>
      <c r="P7" s="43" t="s">
        <v>33</v>
      </c>
      <c r="Q7" s="43" t="s">
        <v>34</v>
      </c>
      <c r="R7" s="255"/>
      <c r="S7" s="67" t="s">
        <v>25</v>
      </c>
      <c r="T7" s="43" t="s">
        <v>29</v>
      </c>
      <c r="U7" s="43" t="s">
        <v>30</v>
      </c>
      <c r="V7" s="43" t="s">
        <v>31</v>
      </c>
      <c r="W7" s="43" t="s">
        <v>32</v>
      </c>
      <c r="X7" s="43" t="s">
        <v>33</v>
      </c>
      <c r="Y7" s="43" t="s">
        <v>34</v>
      </c>
      <c r="Z7" s="247"/>
      <c r="AA7" s="67" t="s">
        <v>25</v>
      </c>
      <c r="AB7" s="43" t="s">
        <v>29</v>
      </c>
      <c r="AC7" s="43" t="s">
        <v>30</v>
      </c>
      <c r="AD7" s="43" t="s">
        <v>31</v>
      </c>
      <c r="AE7" s="43" t="s">
        <v>32</v>
      </c>
      <c r="AF7" s="43" t="s">
        <v>33</v>
      </c>
      <c r="AG7" s="43" t="s">
        <v>34</v>
      </c>
      <c r="AH7" s="247"/>
      <c r="AI7" s="67" t="s">
        <v>25</v>
      </c>
      <c r="AJ7" s="43" t="s">
        <v>29</v>
      </c>
      <c r="AK7" s="43" t="s">
        <v>30</v>
      </c>
      <c r="AL7" s="43" t="s">
        <v>31</v>
      </c>
      <c r="AM7" s="43" t="s">
        <v>32</v>
      </c>
      <c r="AN7" s="43" t="s">
        <v>33</v>
      </c>
      <c r="AO7" s="43" t="s">
        <v>34</v>
      </c>
      <c r="AP7" s="247"/>
      <c r="AQ7" s="67" t="s">
        <v>25</v>
      </c>
      <c r="AR7" s="43" t="s">
        <v>29</v>
      </c>
      <c r="AS7" s="43" t="s">
        <v>30</v>
      </c>
      <c r="AT7" s="43" t="s">
        <v>31</v>
      </c>
      <c r="AU7" s="43" t="s">
        <v>32</v>
      </c>
      <c r="AV7" s="43" t="s">
        <v>33</v>
      </c>
      <c r="AW7" s="43" t="s">
        <v>34</v>
      </c>
      <c r="AX7" s="247"/>
      <c r="AY7" s="67" t="s">
        <v>25</v>
      </c>
      <c r="AZ7" s="43" t="s">
        <v>29</v>
      </c>
      <c r="BA7" s="43" t="s">
        <v>30</v>
      </c>
      <c r="BB7" s="43" t="s">
        <v>31</v>
      </c>
      <c r="BC7" s="43" t="s">
        <v>32</v>
      </c>
      <c r="BD7" s="43"/>
      <c r="BE7" s="43"/>
      <c r="BF7" s="247"/>
      <c r="BG7" s="67" t="s">
        <v>25</v>
      </c>
      <c r="BH7" s="43" t="s">
        <v>29</v>
      </c>
      <c r="BI7" s="43" t="s">
        <v>30</v>
      </c>
      <c r="BJ7" s="43" t="s">
        <v>31</v>
      </c>
      <c r="BK7" s="43" t="s">
        <v>32</v>
      </c>
      <c r="BL7" s="43" t="s">
        <v>33</v>
      </c>
      <c r="BM7" s="43" t="s">
        <v>34</v>
      </c>
      <c r="BN7" s="247"/>
      <c r="BO7" s="67" t="s">
        <v>25</v>
      </c>
      <c r="BP7" s="43" t="s">
        <v>29</v>
      </c>
      <c r="BQ7" s="43" t="s">
        <v>30</v>
      </c>
      <c r="BR7" s="43" t="s">
        <v>31</v>
      </c>
      <c r="BS7" s="43" t="s">
        <v>32</v>
      </c>
      <c r="BT7" s="43" t="s">
        <v>33</v>
      </c>
      <c r="BU7" s="43" t="s">
        <v>34</v>
      </c>
      <c r="BV7" s="247"/>
      <c r="BW7" s="67" t="s">
        <v>25</v>
      </c>
      <c r="BX7" s="43" t="s">
        <v>29</v>
      </c>
      <c r="BY7" s="43" t="s">
        <v>30</v>
      </c>
      <c r="BZ7" s="43" t="s">
        <v>31</v>
      </c>
      <c r="CA7" s="43" t="s">
        <v>32</v>
      </c>
      <c r="CB7" s="43" t="s">
        <v>33</v>
      </c>
      <c r="CC7" s="43" t="s">
        <v>34</v>
      </c>
      <c r="CD7" s="247"/>
    </row>
    <row r="8" spans="1:82" ht="40" customHeight="1" x14ac:dyDescent="0.15">
      <c r="A8" s="68" t="s">
        <v>55</v>
      </c>
      <c r="B8" s="69"/>
      <c r="C8" s="70"/>
      <c r="D8" s="44"/>
      <c r="E8" s="44"/>
      <c r="F8" s="44"/>
      <c r="G8" s="44"/>
      <c r="H8" s="44"/>
      <c r="I8" s="44"/>
      <c r="J8" s="48" t="str">
        <f t="shared" ref="J8:J39" si="0">IFERROR((SUM(C8:I8)/SUM($C$6:$I$6))*100,"")</f>
        <v/>
      </c>
      <c r="K8" s="44"/>
      <c r="L8" s="44"/>
      <c r="M8" s="44"/>
      <c r="N8" s="44"/>
      <c r="O8" s="44"/>
      <c r="P8" s="44"/>
      <c r="Q8" s="44"/>
      <c r="R8" s="48" t="str">
        <f t="shared" ref="R8:R39" si="1">IFERROR((SUM(K8:Q8)/SUM($K$6:$Q$6))*100,"")</f>
        <v/>
      </c>
      <c r="S8" s="47"/>
      <c r="T8" s="47"/>
      <c r="U8" s="47"/>
      <c r="V8" s="47"/>
      <c r="W8" s="47"/>
      <c r="X8" s="47"/>
      <c r="Y8" s="47"/>
      <c r="Z8" s="48" t="str">
        <f t="shared" ref="Z8:Z39" si="2">IFERROR((SUM(S8:Y8)/SUM($S$6:$Y$6))*100,"")</f>
        <v/>
      </c>
      <c r="AA8" s="44"/>
      <c r="AB8" s="44"/>
      <c r="AC8" s="44"/>
      <c r="AD8" s="44"/>
      <c r="AE8" s="44"/>
      <c r="AF8" s="44"/>
      <c r="AG8" s="44"/>
      <c r="AH8" s="48" t="str">
        <f t="shared" ref="AH8:AH39" si="3">IFERROR((SUM(AA8:AG8)/SUM($AA$6:$AG$6))*100,"")</f>
        <v/>
      </c>
      <c r="AI8" s="44"/>
      <c r="AJ8" s="44"/>
      <c r="AK8" s="44"/>
      <c r="AL8" s="44"/>
      <c r="AM8" s="44"/>
      <c r="AN8" s="44"/>
      <c r="AO8" s="44"/>
      <c r="AP8" s="48" t="str">
        <f t="shared" ref="AP8:AP39" si="4">IFERROR((SUM(AI8:AO8)/SUM($AI$6:$AO$6))*100,"")</f>
        <v/>
      </c>
      <c r="AQ8" s="44"/>
      <c r="AR8" s="44"/>
      <c r="AS8" s="44"/>
      <c r="AT8" s="44"/>
      <c r="AU8" s="44"/>
      <c r="AV8" s="44"/>
      <c r="AW8" s="44"/>
      <c r="AX8" s="48" t="str">
        <f t="shared" ref="AX8:AX39" si="5">IFERROR((SUM(AQ8:AW8)/SUM($AQ$6:$AW$6))*100,"")</f>
        <v/>
      </c>
      <c r="AY8" s="50"/>
      <c r="AZ8" s="50"/>
      <c r="BA8" s="50"/>
      <c r="BB8" s="50"/>
      <c r="BC8" s="50"/>
      <c r="BD8" s="50"/>
      <c r="BE8" s="50"/>
      <c r="BF8" s="48" t="str">
        <f t="shared" ref="BF8:BF39" si="6">IFERROR((SUM(AY8:BE8)/SUM($AY$6:$BE$6))*100,"")</f>
        <v/>
      </c>
      <c r="BG8" s="44"/>
      <c r="BH8" s="44"/>
      <c r="BI8" s="44"/>
      <c r="BJ8" s="44"/>
      <c r="BK8" s="44"/>
      <c r="BL8" s="44"/>
      <c r="BM8" s="44"/>
      <c r="BN8" s="48" t="str">
        <f t="shared" ref="BN8:BN39" si="7">IFERROR((SUM(BG8:BM8)/SUM($BG$6:$BM$6))*100,"")</f>
        <v/>
      </c>
      <c r="BO8" s="50"/>
      <c r="BP8" s="50"/>
      <c r="BQ8" s="50"/>
      <c r="BR8" s="50"/>
      <c r="BS8" s="50"/>
      <c r="BT8" s="50"/>
      <c r="BU8" s="50"/>
      <c r="BV8" s="48" t="str">
        <f t="shared" ref="BV8:BV39" si="8">IFERROR((SUM(BO8:BU8)/SUM($BP$6:$BU$6))*100,"")</f>
        <v/>
      </c>
      <c r="BW8" s="44"/>
      <c r="BX8" s="44"/>
      <c r="BY8" s="44"/>
      <c r="BZ8" s="44"/>
      <c r="CA8" s="44"/>
      <c r="CB8" s="44"/>
      <c r="CC8" s="55"/>
      <c r="CD8" s="48" t="str">
        <f t="shared" ref="CD8:CD39" si="9">IFERROR((SUM(BW8:CC8)/SUM($BW$6:$CC$6))*100,"")</f>
        <v/>
      </c>
    </row>
    <row r="9" spans="1:82" ht="40" customHeight="1" x14ac:dyDescent="0.15">
      <c r="A9" s="71" t="s">
        <v>56</v>
      </c>
      <c r="B9" s="72" t="s">
        <v>57</v>
      </c>
      <c r="C9" s="70"/>
      <c r="D9" s="44"/>
      <c r="E9" s="185"/>
      <c r="F9" s="72"/>
      <c r="G9" s="44"/>
      <c r="H9" s="44"/>
      <c r="I9" s="44"/>
      <c r="J9" s="48" t="str">
        <f t="shared" si="0"/>
        <v/>
      </c>
      <c r="K9" s="44"/>
      <c r="L9" s="44"/>
      <c r="M9" s="44"/>
      <c r="N9" s="44"/>
      <c r="O9" s="44"/>
      <c r="P9" s="44"/>
      <c r="Q9" s="44"/>
      <c r="R9" s="48" t="str">
        <f t="shared" si="1"/>
        <v/>
      </c>
      <c r="S9" s="47"/>
      <c r="T9" s="47"/>
      <c r="U9" s="47"/>
      <c r="V9" s="47"/>
      <c r="W9" s="47"/>
      <c r="X9" s="47"/>
      <c r="Y9" s="47"/>
      <c r="Z9" s="48" t="str">
        <f t="shared" si="2"/>
        <v/>
      </c>
      <c r="AA9" s="44"/>
      <c r="AB9" s="44"/>
      <c r="AC9" s="44"/>
      <c r="AD9" s="44"/>
      <c r="AE9" s="44"/>
      <c r="AF9" s="44"/>
      <c r="AG9" s="44"/>
      <c r="AH9" s="48" t="str">
        <f t="shared" si="3"/>
        <v/>
      </c>
      <c r="AI9" s="44"/>
      <c r="AJ9" s="44"/>
      <c r="AK9" s="44"/>
      <c r="AL9" s="44"/>
      <c r="AM9" s="44"/>
      <c r="AN9" s="44"/>
      <c r="AO9" s="44"/>
      <c r="AP9" s="48" t="str">
        <f t="shared" si="4"/>
        <v/>
      </c>
      <c r="AQ9" s="44"/>
      <c r="AR9" s="44"/>
      <c r="AS9" s="44"/>
      <c r="AT9" s="44"/>
      <c r="AU9" s="44"/>
      <c r="AV9" s="44"/>
      <c r="AW9" s="44"/>
      <c r="AX9" s="48" t="str">
        <f t="shared" si="5"/>
        <v/>
      </c>
      <c r="AY9" s="50"/>
      <c r="AZ9" s="50"/>
      <c r="BA9" s="50"/>
      <c r="BB9" s="50"/>
      <c r="BC9" s="50"/>
      <c r="BD9" s="50"/>
      <c r="BE9" s="50"/>
      <c r="BF9" s="48" t="str">
        <f t="shared" si="6"/>
        <v/>
      </c>
      <c r="BG9" s="44"/>
      <c r="BH9" s="44"/>
      <c r="BI9" s="44"/>
      <c r="BJ9" s="44"/>
      <c r="BK9" s="44"/>
      <c r="BL9" s="44"/>
      <c r="BM9" s="44"/>
      <c r="BN9" s="48" t="str">
        <f t="shared" si="7"/>
        <v/>
      </c>
      <c r="BO9" s="50"/>
      <c r="BP9" s="50"/>
      <c r="BQ9" s="50"/>
      <c r="BR9" s="50"/>
      <c r="BS9" s="50"/>
      <c r="BT9" s="50"/>
      <c r="BU9" s="50"/>
      <c r="BV9" s="48" t="str">
        <f t="shared" si="8"/>
        <v/>
      </c>
      <c r="BW9" s="44"/>
      <c r="BX9" s="44"/>
      <c r="BY9" s="44"/>
      <c r="BZ9" s="44"/>
      <c r="CA9" s="44"/>
      <c r="CB9" s="44"/>
      <c r="CC9" s="55"/>
      <c r="CD9" s="48" t="str">
        <f t="shared" si="9"/>
        <v/>
      </c>
    </row>
    <row r="10" spans="1:82" ht="40" customHeight="1" x14ac:dyDescent="0.15">
      <c r="A10" s="73" t="s">
        <v>58</v>
      </c>
      <c r="B10" s="74" t="s">
        <v>59</v>
      </c>
      <c r="C10" s="70"/>
      <c r="D10" s="44"/>
      <c r="E10" s="44"/>
      <c r="F10" s="44"/>
      <c r="G10" s="44"/>
      <c r="H10" s="44"/>
      <c r="I10" s="44"/>
      <c r="J10" s="48" t="str">
        <f t="shared" si="0"/>
        <v/>
      </c>
      <c r="K10" s="44"/>
      <c r="L10" s="44"/>
      <c r="M10" s="44"/>
      <c r="N10" s="44"/>
      <c r="O10" s="44"/>
      <c r="P10" s="44"/>
      <c r="Q10" s="44"/>
      <c r="R10" s="48" t="str">
        <f t="shared" si="1"/>
        <v/>
      </c>
      <c r="S10" s="47"/>
      <c r="T10" s="47"/>
      <c r="U10" s="47"/>
      <c r="V10" s="47"/>
      <c r="W10" s="47"/>
      <c r="X10" s="47"/>
      <c r="Y10" s="47"/>
      <c r="Z10" s="48" t="str">
        <f t="shared" si="2"/>
        <v/>
      </c>
      <c r="AA10" s="44"/>
      <c r="AB10" s="44"/>
      <c r="AC10" s="44"/>
      <c r="AD10" s="44"/>
      <c r="AE10" s="44"/>
      <c r="AF10" s="44"/>
      <c r="AG10" s="44"/>
      <c r="AH10" s="48" t="str">
        <f t="shared" si="3"/>
        <v/>
      </c>
      <c r="AI10" s="44"/>
      <c r="AJ10" s="44"/>
      <c r="AK10" s="44"/>
      <c r="AL10" s="44"/>
      <c r="AM10" s="44"/>
      <c r="AN10" s="44"/>
      <c r="AO10" s="44"/>
      <c r="AP10" s="48" t="str">
        <f t="shared" si="4"/>
        <v/>
      </c>
      <c r="AQ10" s="44"/>
      <c r="AR10" s="44"/>
      <c r="AS10" s="44"/>
      <c r="AT10" s="44"/>
      <c r="AU10" s="44"/>
      <c r="AV10" s="44"/>
      <c r="AW10" s="44"/>
      <c r="AX10" s="48" t="str">
        <f t="shared" si="5"/>
        <v/>
      </c>
      <c r="AY10" s="50"/>
      <c r="AZ10" s="50"/>
      <c r="BA10" s="50"/>
      <c r="BB10" s="50"/>
      <c r="BC10" s="50"/>
      <c r="BD10" s="50"/>
      <c r="BE10" s="50"/>
      <c r="BF10" s="48" t="str">
        <f t="shared" si="6"/>
        <v/>
      </c>
      <c r="BG10" s="44"/>
      <c r="BH10" s="44"/>
      <c r="BI10" s="44"/>
      <c r="BJ10" s="44"/>
      <c r="BK10" s="44"/>
      <c r="BL10" s="44"/>
      <c r="BM10" s="44"/>
      <c r="BN10" s="48" t="str">
        <f t="shared" si="7"/>
        <v/>
      </c>
      <c r="BO10" s="50"/>
      <c r="BP10" s="50"/>
      <c r="BQ10" s="50"/>
      <c r="BR10" s="50"/>
      <c r="BS10" s="50"/>
      <c r="BT10" s="50"/>
      <c r="BU10" s="50"/>
      <c r="BV10" s="48" t="str">
        <f t="shared" si="8"/>
        <v/>
      </c>
      <c r="BW10" s="44"/>
      <c r="BX10" s="44"/>
      <c r="BY10" s="44"/>
      <c r="BZ10" s="44"/>
      <c r="CA10" s="44"/>
      <c r="CB10" s="44"/>
      <c r="CC10" s="55"/>
      <c r="CD10" s="48" t="str">
        <f t="shared" si="9"/>
        <v/>
      </c>
    </row>
    <row r="11" spans="1:82" ht="40" customHeight="1" x14ac:dyDescent="0.15">
      <c r="A11" s="71" t="s">
        <v>60</v>
      </c>
      <c r="B11" s="72" t="s">
        <v>61</v>
      </c>
      <c r="C11" s="70"/>
      <c r="D11" s="44"/>
      <c r="E11" s="44"/>
      <c r="F11" s="44"/>
      <c r="G11" s="44"/>
      <c r="H11" s="44"/>
      <c r="I11" s="44"/>
      <c r="J11" s="48" t="str">
        <f t="shared" si="0"/>
        <v/>
      </c>
      <c r="K11" s="44"/>
      <c r="L11" s="44"/>
      <c r="M11" s="44"/>
      <c r="N11" s="44"/>
      <c r="O11" s="44"/>
      <c r="P11" s="44"/>
      <c r="Q11" s="44"/>
      <c r="R11" s="48" t="str">
        <f t="shared" si="1"/>
        <v/>
      </c>
      <c r="S11" s="47"/>
      <c r="T11" s="47"/>
      <c r="U11" s="47"/>
      <c r="V11" s="47"/>
      <c r="W11" s="47"/>
      <c r="X11" s="47"/>
      <c r="Y11" s="47"/>
      <c r="Z11" s="48" t="str">
        <f t="shared" si="2"/>
        <v/>
      </c>
      <c r="AA11" s="44"/>
      <c r="AB11" s="44"/>
      <c r="AC11" s="44"/>
      <c r="AD11" s="44"/>
      <c r="AE11" s="44"/>
      <c r="AF11" s="44"/>
      <c r="AG11" s="44"/>
      <c r="AH11" s="48" t="str">
        <f t="shared" si="3"/>
        <v/>
      </c>
      <c r="AI11" s="44"/>
      <c r="AJ11" s="44"/>
      <c r="AK11" s="44"/>
      <c r="AL11" s="44"/>
      <c r="AM11" s="44"/>
      <c r="AN11" s="44"/>
      <c r="AO11" s="44"/>
      <c r="AP11" s="48" t="str">
        <f t="shared" si="4"/>
        <v/>
      </c>
      <c r="AQ11" s="44"/>
      <c r="AR11" s="44"/>
      <c r="AS11" s="44"/>
      <c r="AT11" s="44"/>
      <c r="AU11" s="44"/>
      <c r="AV11" s="44"/>
      <c r="AW11" s="44"/>
      <c r="AX11" s="48" t="str">
        <f t="shared" si="5"/>
        <v/>
      </c>
      <c r="AY11" s="50"/>
      <c r="AZ11" s="50"/>
      <c r="BA11" s="50"/>
      <c r="BB11" s="50"/>
      <c r="BC11" s="50"/>
      <c r="BD11" s="50"/>
      <c r="BE11" s="50"/>
      <c r="BF11" s="48" t="str">
        <f t="shared" si="6"/>
        <v/>
      </c>
      <c r="BG11" s="44"/>
      <c r="BH11" s="44"/>
      <c r="BI11" s="44"/>
      <c r="BJ11" s="44"/>
      <c r="BK11" s="44"/>
      <c r="BL11" s="44"/>
      <c r="BM11" s="44"/>
      <c r="BN11" s="48" t="str">
        <f t="shared" si="7"/>
        <v/>
      </c>
      <c r="BO11" s="50"/>
      <c r="BP11" s="50"/>
      <c r="BQ11" s="50"/>
      <c r="BR11" s="50"/>
      <c r="BS11" s="50"/>
      <c r="BT11" s="50"/>
      <c r="BU11" s="50"/>
      <c r="BV11" s="48" t="str">
        <f t="shared" si="8"/>
        <v/>
      </c>
      <c r="BW11" s="44"/>
      <c r="BX11" s="44"/>
      <c r="BY11" s="44"/>
      <c r="BZ11" s="44"/>
      <c r="CA11" s="44"/>
      <c r="CB11" s="44"/>
      <c r="CC11" s="55"/>
      <c r="CD11" s="48" t="str">
        <f t="shared" si="9"/>
        <v/>
      </c>
    </row>
    <row r="12" spans="1:82" ht="40" customHeight="1" x14ac:dyDescent="0.15">
      <c r="A12" s="73" t="s">
        <v>62</v>
      </c>
      <c r="B12" s="74" t="s">
        <v>63</v>
      </c>
      <c r="C12" s="70"/>
      <c r="D12" s="44"/>
      <c r="E12" s="44"/>
      <c r="F12" s="44"/>
      <c r="G12" s="44"/>
      <c r="H12" s="44"/>
      <c r="I12" s="44"/>
      <c r="J12" s="48" t="str">
        <f t="shared" si="0"/>
        <v/>
      </c>
      <c r="K12" s="44"/>
      <c r="L12" s="44"/>
      <c r="M12" s="44"/>
      <c r="N12" s="44"/>
      <c r="O12" s="44"/>
      <c r="P12" s="44"/>
      <c r="Q12" s="44"/>
      <c r="R12" s="48" t="str">
        <f t="shared" si="1"/>
        <v/>
      </c>
      <c r="S12" s="47"/>
      <c r="T12" s="47"/>
      <c r="U12" s="47"/>
      <c r="V12" s="47"/>
      <c r="W12" s="47"/>
      <c r="X12" s="47"/>
      <c r="Y12" s="47"/>
      <c r="Z12" s="48" t="str">
        <f t="shared" si="2"/>
        <v/>
      </c>
      <c r="AA12" s="44"/>
      <c r="AB12" s="44"/>
      <c r="AC12" s="44"/>
      <c r="AD12" s="44"/>
      <c r="AE12" s="44"/>
      <c r="AF12" s="44"/>
      <c r="AG12" s="44"/>
      <c r="AH12" s="48" t="str">
        <f t="shared" si="3"/>
        <v/>
      </c>
      <c r="AI12" s="44"/>
      <c r="AJ12" s="44"/>
      <c r="AK12" s="44"/>
      <c r="AL12" s="44"/>
      <c r="AM12" s="44"/>
      <c r="AN12" s="44"/>
      <c r="AO12" s="44"/>
      <c r="AP12" s="48" t="str">
        <f t="shared" si="4"/>
        <v/>
      </c>
      <c r="AQ12" s="44"/>
      <c r="AR12" s="44"/>
      <c r="AS12" s="44"/>
      <c r="AT12" s="44"/>
      <c r="AU12" s="44"/>
      <c r="AV12" s="44"/>
      <c r="AW12" s="44"/>
      <c r="AX12" s="48" t="str">
        <f t="shared" si="5"/>
        <v/>
      </c>
      <c r="AY12" s="50"/>
      <c r="AZ12" s="50"/>
      <c r="BA12" s="50"/>
      <c r="BB12" s="50"/>
      <c r="BC12" s="50"/>
      <c r="BD12" s="50"/>
      <c r="BE12" s="50"/>
      <c r="BF12" s="48" t="str">
        <f t="shared" si="6"/>
        <v/>
      </c>
      <c r="BG12" s="44"/>
      <c r="BH12" s="44"/>
      <c r="BI12" s="44"/>
      <c r="BJ12" s="44"/>
      <c r="BK12" s="44"/>
      <c r="BL12" s="44"/>
      <c r="BM12" s="44"/>
      <c r="BN12" s="48" t="str">
        <f t="shared" si="7"/>
        <v/>
      </c>
      <c r="BO12" s="50"/>
      <c r="BP12" s="50"/>
      <c r="BQ12" s="50"/>
      <c r="BR12" s="50"/>
      <c r="BS12" s="50"/>
      <c r="BT12" s="50"/>
      <c r="BU12" s="50"/>
      <c r="BV12" s="48" t="str">
        <f t="shared" si="8"/>
        <v/>
      </c>
      <c r="BW12" s="44"/>
      <c r="BX12" s="44"/>
      <c r="BY12" s="44"/>
      <c r="BZ12" s="44"/>
      <c r="CA12" s="44"/>
      <c r="CB12" s="44"/>
      <c r="CC12" s="55"/>
      <c r="CD12" s="48" t="str">
        <f t="shared" si="9"/>
        <v/>
      </c>
    </row>
    <row r="13" spans="1:82" ht="40" customHeight="1" x14ac:dyDescent="0.15">
      <c r="A13" s="71" t="s">
        <v>64</v>
      </c>
      <c r="B13" s="72" t="s">
        <v>65</v>
      </c>
      <c r="C13" s="70"/>
      <c r="D13" s="44"/>
      <c r="E13" s="44"/>
      <c r="F13" s="44"/>
      <c r="G13" s="44"/>
      <c r="H13" s="44"/>
      <c r="I13" s="44"/>
      <c r="J13" s="48" t="str">
        <f t="shared" si="0"/>
        <v/>
      </c>
      <c r="K13" s="44"/>
      <c r="L13" s="44"/>
      <c r="M13" s="44"/>
      <c r="N13" s="44"/>
      <c r="O13" s="44"/>
      <c r="P13" s="44"/>
      <c r="Q13" s="44"/>
      <c r="R13" s="48" t="str">
        <f t="shared" si="1"/>
        <v/>
      </c>
      <c r="S13" s="47"/>
      <c r="T13" s="47"/>
      <c r="U13" s="47"/>
      <c r="V13" s="47"/>
      <c r="W13" s="47"/>
      <c r="X13" s="47"/>
      <c r="Y13" s="47"/>
      <c r="Z13" s="48" t="str">
        <f t="shared" si="2"/>
        <v/>
      </c>
      <c r="AA13" s="44"/>
      <c r="AB13" s="44"/>
      <c r="AC13" s="44"/>
      <c r="AD13" s="44"/>
      <c r="AE13" s="44"/>
      <c r="AF13" s="44"/>
      <c r="AG13" s="44"/>
      <c r="AH13" s="48" t="str">
        <f t="shared" si="3"/>
        <v/>
      </c>
      <c r="AI13" s="44"/>
      <c r="AJ13" s="44"/>
      <c r="AK13" s="44"/>
      <c r="AL13" s="44"/>
      <c r="AM13" s="44"/>
      <c r="AN13" s="44"/>
      <c r="AO13" s="44"/>
      <c r="AP13" s="48" t="str">
        <f t="shared" si="4"/>
        <v/>
      </c>
      <c r="AQ13" s="44"/>
      <c r="AR13" s="44"/>
      <c r="AS13" s="44"/>
      <c r="AT13" s="44"/>
      <c r="AU13" s="44"/>
      <c r="AV13" s="44"/>
      <c r="AW13" s="44"/>
      <c r="AX13" s="48" t="str">
        <f t="shared" si="5"/>
        <v/>
      </c>
      <c r="AY13" s="50"/>
      <c r="AZ13" s="50"/>
      <c r="BA13" s="50"/>
      <c r="BB13" s="50"/>
      <c r="BC13" s="50"/>
      <c r="BD13" s="50"/>
      <c r="BE13" s="50"/>
      <c r="BF13" s="48" t="str">
        <f t="shared" si="6"/>
        <v/>
      </c>
      <c r="BG13" s="44"/>
      <c r="BH13" s="44"/>
      <c r="BI13" s="44"/>
      <c r="BJ13" s="44"/>
      <c r="BK13" s="44"/>
      <c r="BL13" s="44"/>
      <c r="BM13" s="44"/>
      <c r="BN13" s="48" t="str">
        <f t="shared" si="7"/>
        <v/>
      </c>
      <c r="BO13" s="50"/>
      <c r="BP13" s="50"/>
      <c r="BQ13" s="50"/>
      <c r="BR13" s="50"/>
      <c r="BS13" s="50"/>
      <c r="BT13" s="50"/>
      <c r="BU13" s="50"/>
      <c r="BV13" s="48" t="str">
        <f t="shared" si="8"/>
        <v/>
      </c>
      <c r="BW13" s="44"/>
      <c r="BX13" s="44"/>
      <c r="BY13" s="44"/>
      <c r="BZ13" s="44"/>
      <c r="CA13" s="44"/>
      <c r="CB13" s="44"/>
      <c r="CC13" s="55"/>
      <c r="CD13" s="48" t="str">
        <f t="shared" si="9"/>
        <v/>
      </c>
    </row>
    <row r="14" spans="1:82" ht="40" customHeight="1" x14ac:dyDescent="0.15">
      <c r="A14" s="68" t="s">
        <v>66</v>
      </c>
      <c r="B14" s="69"/>
      <c r="C14" s="70"/>
      <c r="D14" s="44"/>
      <c r="E14" s="44"/>
      <c r="F14" s="44"/>
      <c r="G14" s="44"/>
      <c r="H14" s="44"/>
      <c r="I14" s="44"/>
      <c r="J14" s="48" t="str">
        <f t="shared" si="0"/>
        <v/>
      </c>
      <c r="K14" s="44"/>
      <c r="L14" s="44"/>
      <c r="M14" s="44"/>
      <c r="N14" s="44"/>
      <c r="O14" s="44"/>
      <c r="P14" s="44"/>
      <c r="Q14" s="44"/>
      <c r="R14" s="48" t="str">
        <f t="shared" si="1"/>
        <v/>
      </c>
      <c r="S14" s="47"/>
      <c r="T14" s="47"/>
      <c r="U14" s="47"/>
      <c r="V14" s="47"/>
      <c r="W14" s="47"/>
      <c r="X14" s="47"/>
      <c r="Y14" s="47"/>
      <c r="Z14" s="48" t="str">
        <f t="shared" si="2"/>
        <v/>
      </c>
      <c r="AA14" s="44"/>
      <c r="AB14" s="44"/>
      <c r="AC14" s="44"/>
      <c r="AD14" s="44"/>
      <c r="AE14" s="44"/>
      <c r="AF14" s="44"/>
      <c r="AG14" s="44"/>
      <c r="AH14" s="48" t="str">
        <f t="shared" si="3"/>
        <v/>
      </c>
      <c r="AI14" s="44"/>
      <c r="AJ14" s="44"/>
      <c r="AK14" s="44"/>
      <c r="AL14" s="44"/>
      <c r="AM14" s="44"/>
      <c r="AN14" s="44"/>
      <c r="AO14" s="44"/>
      <c r="AP14" s="48" t="str">
        <f t="shared" si="4"/>
        <v/>
      </c>
      <c r="AQ14" s="44"/>
      <c r="AR14" s="44"/>
      <c r="AS14" s="44"/>
      <c r="AT14" s="44"/>
      <c r="AU14" s="44"/>
      <c r="AV14" s="44"/>
      <c r="AW14" s="44"/>
      <c r="AX14" s="48" t="str">
        <f t="shared" si="5"/>
        <v/>
      </c>
      <c r="AY14" s="50"/>
      <c r="AZ14" s="50"/>
      <c r="BA14" s="50"/>
      <c r="BB14" s="50"/>
      <c r="BC14" s="50"/>
      <c r="BD14" s="50"/>
      <c r="BE14" s="50"/>
      <c r="BF14" s="48" t="str">
        <f t="shared" si="6"/>
        <v/>
      </c>
      <c r="BG14" s="44"/>
      <c r="BH14" s="44"/>
      <c r="BI14" s="44"/>
      <c r="BJ14" s="44"/>
      <c r="BK14" s="44"/>
      <c r="BL14" s="44"/>
      <c r="BM14" s="44"/>
      <c r="BN14" s="48" t="str">
        <f t="shared" si="7"/>
        <v/>
      </c>
      <c r="BO14" s="50"/>
      <c r="BP14" s="50"/>
      <c r="BQ14" s="50"/>
      <c r="BR14" s="50"/>
      <c r="BS14" s="50"/>
      <c r="BT14" s="50"/>
      <c r="BU14" s="50"/>
      <c r="BV14" s="48" t="str">
        <f t="shared" si="8"/>
        <v/>
      </c>
      <c r="BW14" s="44"/>
      <c r="BX14" s="44"/>
      <c r="BY14" s="44"/>
      <c r="BZ14" s="44"/>
      <c r="CA14" s="44"/>
      <c r="CB14" s="44"/>
      <c r="CC14" s="55"/>
      <c r="CD14" s="48" t="str">
        <f t="shared" si="9"/>
        <v/>
      </c>
    </row>
    <row r="15" spans="1:82" ht="40" customHeight="1" x14ac:dyDescent="0.15">
      <c r="A15" s="73" t="s">
        <v>67</v>
      </c>
      <c r="B15" s="74" t="s">
        <v>66</v>
      </c>
      <c r="C15" s="70"/>
      <c r="D15" s="44"/>
      <c r="E15" s="44"/>
      <c r="F15" s="44"/>
      <c r="G15" s="44"/>
      <c r="H15" s="44"/>
      <c r="I15" s="44"/>
      <c r="J15" s="48" t="str">
        <f t="shared" si="0"/>
        <v/>
      </c>
      <c r="K15" s="44"/>
      <c r="L15" s="44"/>
      <c r="M15" s="44"/>
      <c r="N15" s="44"/>
      <c r="O15" s="44"/>
      <c r="P15" s="44"/>
      <c r="Q15" s="44"/>
      <c r="R15" s="48" t="str">
        <f t="shared" si="1"/>
        <v/>
      </c>
      <c r="S15" s="47"/>
      <c r="T15" s="47"/>
      <c r="U15" s="47"/>
      <c r="V15" s="47"/>
      <c r="W15" s="47"/>
      <c r="X15" s="47"/>
      <c r="Y15" s="47"/>
      <c r="Z15" s="48" t="str">
        <f t="shared" si="2"/>
        <v/>
      </c>
      <c r="AA15" s="44"/>
      <c r="AB15" s="44"/>
      <c r="AC15" s="44"/>
      <c r="AD15" s="44"/>
      <c r="AE15" s="44"/>
      <c r="AF15" s="44"/>
      <c r="AG15" s="44"/>
      <c r="AH15" s="48" t="str">
        <f t="shared" si="3"/>
        <v/>
      </c>
      <c r="AI15" s="44"/>
      <c r="AJ15" s="44"/>
      <c r="AK15" s="44"/>
      <c r="AL15" s="44"/>
      <c r="AM15" s="44"/>
      <c r="AN15" s="44"/>
      <c r="AO15" s="44"/>
      <c r="AP15" s="48" t="str">
        <f t="shared" si="4"/>
        <v/>
      </c>
      <c r="AQ15" s="44"/>
      <c r="AR15" s="44"/>
      <c r="AS15" s="44"/>
      <c r="AT15" s="44"/>
      <c r="AU15" s="44"/>
      <c r="AV15" s="44"/>
      <c r="AW15" s="44"/>
      <c r="AX15" s="48" t="str">
        <f t="shared" si="5"/>
        <v/>
      </c>
      <c r="AY15" s="50"/>
      <c r="AZ15" s="50"/>
      <c r="BA15" s="50"/>
      <c r="BB15" s="50"/>
      <c r="BC15" s="50"/>
      <c r="BD15" s="50"/>
      <c r="BE15" s="50"/>
      <c r="BF15" s="48" t="str">
        <f t="shared" si="6"/>
        <v/>
      </c>
      <c r="BG15" s="44"/>
      <c r="BH15" s="44"/>
      <c r="BI15" s="44"/>
      <c r="BJ15" s="44"/>
      <c r="BK15" s="44"/>
      <c r="BL15" s="44"/>
      <c r="BM15" s="44"/>
      <c r="BN15" s="48" t="str">
        <f t="shared" si="7"/>
        <v/>
      </c>
      <c r="BO15" s="50"/>
      <c r="BP15" s="50"/>
      <c r="BQ15" s="50"/>
      <c r="BR15" s="50"/>
      <c r="BS15" s="50"/>
      <c r="BT15" s="50"/>
      <c r="BU15" s="50"/>
      <c r="BV15" s="48" t="str">
        <f t="shared" si="8"/>
        <v/>
      </c>
      <c r="BW15" s="44"/>
      <c r="BX15" s="44"/>
      <c r="BY15" s="44"/>
      <c r="BZ15" s="44"/>
      <c r="CA15" s="44"/>
      <c r="CB15" s="44"/>
      <c r="CC15" s="55"/>
      <c r="CD15" s="48" t="str">
        <f t="shared" si="9"/>
        <v/>
      </c>
    </row>
    <row r="16" spans="1:82" ht="40" customHeight="1" x14ac:dyDescent="0.15">
      <c r="A16" s="68" t="s">
        <v>68</v>
      </c>
      <c r="B16" s="69"/>
      <c r="C16" s="70"/>
      <c r="D16" s="44"/>
      <c r="E16" s="44"/>
      <c r="F16" s="44"/>
      <c r="G16" s="44"/>
      <c r="H16" s="44"/>
      <c r="I16" s="44"/>
      <c r="J16" s="48" t="str">
        <f t="shared" si="0"/>
        <v/>
      </c>
      <c r="K16" s="44"/>
      <c r="L16" s="44"/>
      <c r="M16" s="44"/>
      <c r="N16" s="44"/>
      <c r="O16" s="44"/>
      <c r="P16" s="44"/>
      <c r="Q16" s="44"/>
      <c r="R16" s="48" t="str">
        <f t="shared" si="1"/>
        <v/>
      </c>
      <c r="S16" s="47"/>
      <c r="T16" s="47"/>
      <c r="U16" s="47"/>
      <c r="V16" s="47"/>
      <c r="W16" s="47"/>
      <c r="X16" s="47"/>
      <c r="Y16" s="47"/>
      <c r="Z16" s="48" t="str">
        <f t="shared" si="2"/>
        <v/>
      </c>
      <c r="AA16" s="44"/>
      <c r="AB16" s="44"/>
      <c r="AC16" s="44"/>
      <c r="AD16" s="44"/>
      <c r="AE16" s="44"/>
      <c r="AF16" s="44"/>
      <c r="AG16" s="44"/>
      <c r="AH16" s="48" t="str">
        <f t="shared" si="3"/>
        <v/>
      </c>
      <c r="AI16" s="44"/>
      <c r="AJ16" s="44"/>
      <c r="AK16" s="44"/>
      <c r="AL16" s="44"/>
      <c r="AM16" s="44"/>
      <c r="AN16" s="44"/>
      <c r="AO16" s="44"/>
      <c r="AP16" s="48" t="str">
        <f t="shared" si="4"/>
        <v/>
      </c>
      <c r="AQ16" s="44"/>
      <c r="AR16" s="44"/>
      <c r="AS16" s="44"/>
      <c r="AT16" s="44"/>
      <c r="AU16" s="44"/>
      <c r="AV16" s="44"/>
      <c r="AW16" s="44"/>
      <c r="AX16" s="48" t="str">
        <f t="shared" si="5"/>
        <v/>
      </c>
      <c r="AY16" s="50"/>
      <c r="AZ16" s="50"/>
      <c r="BA16" s="50"/>
      <c r="BB16" s="50"/>
      <c r="BC16" s="50"/>
      <c r="BD16" s="50"/>
      <c r="BE16" s="50"/>
      <c r="BF16" s="48" t="str">
        <f t="shared" si="6"/>
        <v/>
      </c>
      <c r="BG16" s="44"/>
      <c r="BH16" s="44"/>
      <c r="BI16" s="44"/>
      <c r="BJ16" s="44"/>
      <c r="BK16" s="44"/>
      <c r="BL16" s="44"/>
      <c r="BM16" s="44"/>
      <c r="BN16" s="48" t="str">
        <f t="shared" si="7"/>
        <v/>
      </c>
      <c r="BO16" s="50"/>
      <c r="BP16" s="50"/>
      <c r="BQ16" s="50"/>
      <c r="BR16" s="50"/>
      <c r="BS16" s="50"/>
      <c r="BT16" s="50"/>
      <c r="BU16" s="50"/>
      <c r="BV16" s="48" t="str">
        <f t="shared" si="8"/>
        <v/>
      </c>
      <c r="BW16" s="44"/>
      <c r="BX16" s="44"/>
      <c r="BY16" s="44"/>
      <c r="BZ16" s="44"/>
      <c r="CA16" s="44"/>
      <c r="CB16" s="44"/>
      <c r="CC16" s="55"/>
      <c r="CD16" s="48" t="str">
        <f t="shared" si="9"/>
        <v/>
      </c>
    </row>
    <row r="17" spans="1:82" ht="40" customHeight="1" x14ac:dyDescent="0.15">
      <c r="A17" s="73" t="s">
        <v>69</v>
      </c>
      <c r="B17" s="74" t="s">
        <v>70</v>
      </c>
      <c r="C17" s="70"/>
      <c r="D17" s="44"/>
      <c r="E17" s="44"/>
      <c r="F17" s="44"/>
      <c r="G17" s="44"/>
      <c r="H17" s="44"/>
      <c r="I17" s="44"/>
      <c r="J17" s="48" t="str">
        <f t="shared" si="0"/>
        <v/>
      </c>
      <c r="K17" s="44"/>
      <c r="L17" s="44"/>
      <c r="M17" s="44"/>
      <c r="N17" s="44"/>
      <c r="O17" s="44"/>
      <c r="P17" s="44"/>
      <c r="Q17" s="44"/>
      <c r="R17" s="48" t="str">
        <f t="shared" si="1"/>
        <v/>
      </c>
      <c r="S17" s="47"/>
      <c r="T17" s="47"/>
      <c r="U17" s="47"/>
      <c r="V17" s="47"/>
      <c r="W17" s="47"/>
      <c r="X17" s="47"/>
      <c r="Y17" s="47"/>
      <c r="Z17" s="48" t="str">
        <f t="shared" si="2"/>
        <v/>
      </c>
      <c r="AA17" s="44"/>
      <c r="AB17" s="44"/>
      <c r="AC17" s="44"/>
      <c r="AD17" s="44"/>
      <c r="AE17" s="44"/>
      <c r="AF17" s="44"/>
      <c r="AG17" s="44"/>
      <c r="AH17" s="48" t="str">
        <f t="shared" si="3"/>
        <v/>
      </c>
      <c r="AI17" s="44"/>
      <c r="AJ17" s="44"/>
      <c r="AK17" s="44"/>
      <c r="AL17" s="44"/>
      <c r="AM17" s="44"/>
      <c r="AN17" s="44"/>
      <c r="AO17" s="44"/>
      <c r="AP17" s="48" t="str">
        <f t="shared" si="4"/>
        <v/>
      </c>
      <c r="AQ17" s="44"/>
      <c r="AR17" s="44"/>
      <c r="AS17" s="44"/>
      <c r="AT17" s="44"/>
      <c r="AU17" s="44"/>
      <c r="AV17" s="44"/>
      <c r="AW17" s="44"/>
      <c r="AX17" s="48" t="str">
        <f t="shared" si="5"/>
        <v/>
      </c>
      <c r="AY17" s="50"/>
      <c r="AZ17" s="50"/>
      <c r="BA17" s="50"/>
      <c r="BB17" s="50"/>
      <c r="BC17" s="50"/>
      <c r="BD17" s="50"/>
      <c r="BE17" s="50"/>
      <c r="BF17" s="48" t="str">
        <f t="shared" si="6"/>
        <v/>
      </c>
      <c r="BG17" s="44"/>
      <c r="BH17" s="44"/>
      <c r="BI17" s="44"/>
      <c r="BJ17" s="44"/>
      <c r="BK17" s="44"/>
      <c r="BL17" s="44"/>
      <c r="BM17" s="44"/>
      <c r="BN17" s="48" t="str">
        <f t="shared" si="7"/>
        <v/>
      </c>
      <c r="BO17" s="50"/>
      <c r="BP17" s="50"/>
      <c r="BQ17" s="50"/>
      <c r="BR17" s="50"/>
      <c r="BS17" s="50"/>
      <c r="BT17" s="50"/>
      <c r="BU17" s="50"/>
      <c r="BV17" s="48" t="str">
        <f t="shared" si="8"/>
        <v/>
      </c>
      <c r="BW17" s="44"/>
      <c r="BX17" s="44"/>
      <c r="BY17" s="44"/>
      <c r="BZ17" s="44"/>
      <c r="CA17" s="44"/>
      <c r="CB17" s="44"/>
      <c r="CC17" s="55"/>
      <c r="CD17" s="48" t="str">
        <f t="shared" si="9"/>
        <v/>
      </c>
    </row>
    <row r="18" spans="1:82" ht="40" customHeight="1" x14ac:dyDescent="0.15">
      <c r="A18" s="71" t="s">
        <v>71</v>
      </c>
      <c r="B18" s="72" t="s">
        <v>72</v>
      </c>
      <c r="C18" s="70"/>
      <c r="D18" s="44"/>
      <c r="E18" s="44"/>
      <c r="F18" s="44"/>
      <c r="G18" s="44"/>
      <c r="H18" s="44"/>
      <c r="I18" s="44"/>
      <c r="J18" s="48" t="str">
        <f t="shared" si="0"/>
        <v/>
      </c>
      <c r="K18" s="44"/>
      <c r="L18" s="44"/>
      <c r="M18" s="44"/>
      <c r="N18" s="44"/>
      <c r="O18" s="44"/>
      <c r="P18" s="44"/>
      <c r="Q18" s="44"/>
      <c r="R18" s="48" t="str">
        <f t="shared" si="1"/>
        <v/>
      </c>
      <c r="S18" s="47"/>
      <c r="T18" s="47"/>
      <c r="U18" s="47"/>
      <c r="V18" s="47"/>
      <c r="W18" s="47"/>
      <c r="X18" s="47"/>
      <c r="Y18" s="47"/>
      <c r="Z18" s="48" t="str">
        <f t="shared" si="2"/>
        <v/>
      </c>
      <c r="AA18" s="44"/>
      <c r="AB18" s="44"/>
      <c r="AC18" s="44"/>
      <c r="AD18" s="44"/>
      <c r="AE18" s="44"/>
      <c r="AF18" s="44"/>
      <c r="AG18" s="44"/>
      <c r="AH18" s="48" t="str">
        <f t="shared" si="3"/>
        <v/>
      </c>
      <c r="AI18" s="44"/>
      <c r="AJ18" s="44"/>
      <c r="AK18" s="44"/>
      <c r="AL18" s="44"/>
      <c r="AM18" s="44"/>
      <c r="AN18" s="44"/>
      <c r="AO18" s="44"/>
      <c r="AP18" s="48" t="str">
        <f t="shared" si="4"/>
        <v/>
      </c>
      <c r="AQ18" s="44"/>
      <c r="AR18" s="44"/>
      <c r="AS18" s="44"/>
      <c r="AT18" s="44"/>
      <c r="AU18" s="44"/>
      <c r="AV18" s="44"/>
      <c r="AW18" s="44"/>
      <c r="AX18" s="48" t="str">
        <f t="shared" si="5"/>
        <v/>
      </c>
      <c r="AY18" s="50"/>
      <c r="AZ18" s="50"/>
      <c r="BA18" s="50"/>
      <c r="BB18" s="50"/>
      <c r="BC18" s="50"/>
      <c r="BD18" s="50"/>
      <c r="BE18" s="50"/>
      <c r="BF18" s="48" t="str">
        <f t="shared" si="6"/>
        <v/>
      </c>
      <c r="BG18" s="44"/>
      <c r="BH18" s="44"/>
      <c r="BI18" s="44"/>
      <c r="BJ18" s="44"/>
      <c r="BK18" s="44"/>
      <c r="BL18" s="44"/>
      <c r="BM18" s="44"/>
      <c r="BN18" s="48" t="str">
        <f t="shared" si="7"/>
        <v/>
      </c>
      <c r="BO18" s="50"/>
      <c r="BP18" s="50"/>
      <c r="BQ18" s="50"/>
      <c r="BR18" s="50"/>
      <c r="BS18" s="50"/>
      <c r="BT18" s="50"/>
      <c r="BU18" s="50"/>
      <c r="BV18" s="48" t="str">
        <f t="shared" si="8"/>
        <v/>
      </c>
      <c r="BW18" s="44"/>
      <c r="BX18" s="44"/>
      <c r="BY18" s="44"/>
      <c r="BZ18" s="44"/>
      <c r="CA18" s="44"/>
      <c r="CB18" s="44"/>
      <c r="CC18" s="55"/>
      <c r="CD18" s="48" t="str">
        <f t="shared" si="9"/>
        <v/>
      </c>
    </row>
    <row r="19" spans="1:82" ht="40" customHeight="1" x14ac:dyDescent="0.15">
      <c r="A19" s="73" t="s">
        <v>73</v>
      </c>
      <c r="B19" s="74" t="s">
        <v>74</v>
      </c>
      <c r="C19" s="70"/>
      <c r="D19" s="44"/>
      <c r="E19" s="44"/>
      <c r="F19" s="44"/>
      <c r="G19" s="44"/>
      <c r="H19" s="44"/>
      <c r="I19" s="44"/>
      <c r="J19" s="48" t="str">
        <f t="shared" si="0"/>
        <v/>
      </c>
      <c r="K19" s="44"/>
      <c r="L19" s="44"/>
      <c r="M19" s="44"/>
      <c r="N19" s="44"/>
      <c r="O19" s="44"/>
      <c r="P19" s="44"/>
      <c r="Q19" s="44"/>
      <c r="R19" s="48" t="str">
        <f t="shared" si="1"/>
        <v/>
      </c>
      <c r="S19" s="47"/>
      <c r="T19" s="47"/>
      <c r="U19" s="47"/>
      <c r="V19" s="47"/>
      <c r="W19" s="47"/>
      <c r="X19" s="47"/>
      <c r="Y19" s="47"/>
      <c r="Z19" s="48" t="str">
        <f t="shared" si="2"/>
        <v/>
      </c>
      <c r="AA19" s="44"/>
      <c r="AB19" s="44"/>
      <c r="AC19" s="44"/>
      <c r="AD19" s="44"/>
      <c r="AE19" s="44"/>
      <c r="AF19" s="44"/>
      <c r="AG19" s="44"/>
      <c r="AH19" s="48" t="str">
        <f t="shared" si="3"/>
        <v/>
      </c>
      <c r="AI19" s="44"/>
      <c r="AJ19" s="44"/>
      <c r="AK19" s="44"/>
      <c r="AL19" s="44"/>
      <c r="AM19" s="44"/>
      <c r="AN19" s="44"/>
      <c r="AO19" s="44"/>
      <c r="AP19" s="48" t="str">
        <f t="shared" si="4"/>
        <v/>
      </c>
      <c r="AQ19" s="44"/>
      <c r="AR19" s="44"/>
      <c r="AS19" s="44"/>
      <c r="AT19" s="44"/>
      <c r="AU19" s="44"/>
      <c r="AV19" s="44"/>
      <c r="AW19" s="44"/>
      <c r="AX19" s="48" t="str">
        <f t="shared" si="5"/>
        <v/>
      </c>
      <c r="AY19" s="50"/>
      <c r="AZ19" s="50"/>
      <c r="BA19" s="50"/>
      <c r="BB19" s="50"/>
      <c r="BC19" s="50"/>
      <c r="BD19" s="50"/>
      <c r="BE19" s="50"/>
      <c r="BF19" s="48" t="str">
        <f t="shared" si="6"/>
        <v/>
      </c>
      <c r="BG19" s="44"/>
      <c r="BH19" s="44"/>
      <c r="BI19" s="44"/>
      <c r="BJ19" s="44"/>
      <c r="BK19" s="44"/>
      <c r="BL19" s="44"/>
      <c r="BM19" s="44"/>
      <c r="BN19" s="48" t="str">
        <f t="shared" si="7"/>
        <v/>
      </c>
      <c r="BO19" s="50"/>
      <c r="BP19" s="50"/>
      <c r="BQ19" s="50"/>
      <c r="BR19" s="50"/>
      <c r="BS19" s="50"/>
      <c r="BT19" s="50"/>
      <c r="BU19" s="50"/>
      <c r="BV19" s="48" t="str">
        <f t="shared" si="8"/>
        <v/>
      </c>
      <c r="BW19" s="44"/>
      <c r="BX19" s="44"/>
      <c r="BY19" s="44"/>
      <c r="BZ19" s="44"/>
      <c r="CA19" s="44"/>
      <c r="CB19" s="44"/>
      <c r="CC19" s="55"/>
      <c r="CD19" s="48" t="str">
        <f t="shared" si="9"/>
        <v/>
      </c>
    </row>
    <row r="20" spans="1:82" ht="40" customHeight="1" x14ac:dyDescent="0.15">
      <c r="A20" s="71" t="s">
        <v>75</v>
      </c>
      <c r="B20" s="72" t="s">
        <v>76</v>
      </c>
      <c r="C20" s="70"/>
      <c r="D20" s="44"/>
      <c r="E20" s="44"/>
      <c r="F20" s="44"/>
      <c r="G20" s="44"/>
      <c r="H20" s="44"/>
      <c r="I20" s="44"/>
      <c r="J20" s="48" t="str">
        <f t="shared" si="0"/>
        <v/>
      </c>
      <c r="K20" s="44"/>
      <c r="L20" s="44"/>
      <c r="M20" s="44"/>
      <c r="N20" s="44"/>
      <c r="O20" s="44"/>
      <c r="P20" s="44"/>
      <c r="Q20" s="44"/>
      <c r="R20" s="48" t="str">
        <f t="shared" si="1"/>
        <v/>
      </c>
      <c r="S20" s="47"/>
      <c r="T20" s="47"/>
      <c r="U20" s="47"/>
      <c r="V20" s="47"/>
      <c r="W20" s="47"/>
      <c r="X20" s="47"/>
      <c r="Y20" s="47"/>
      <c r="Z20" s="48" t="str">
        <f t="shared" si="2"/>
        <v/>
      </c>
      <c r="AA20" s="44"/>
      <c r="AB20" s="44"/>
      <c r="AC20" s="44"/>
      <c r="AD20" s="44"/>
      <c r="AE20" s="44"/>
      <c r="AF20" s="44"/>
      <c r="AG20" s="44"/>
      <c r="AH20" s="48" t="str">
        <f t="shared" si="3"/>
        <v/>
      </c>
      <c r="AI20" s="44"/>
      <c r="AJ20" s="44"/>
      <c r="AK20" s="44"/>
      <c r="AL20" s="44"/>
      <c r="AM20" s="44"/>
      <c r="AN20" s="44"/>
      <c r="AO20" s="44"/>
      <c r="AP20" s="48" t="str">
        <f t="shared" si="4"/>
        <v/>
      </c>
      <c r="AQ20" s="44"/>
      <c r="AR20" s="44"/>
      <c r="AS20" s="44"/>
      <c r="AT20" s="44"/>
      <c r="AU20" s="44"/>
      <c r="AV20" s="44"/>
      <c r="AW20" s="44"/>
      <c r="AX20" s="48" t="str">
        <f t="shared" si="5"/>
        <v/>
      </c>
      <c r="AY20" s="50"/>
      <c r="AZ20" s="50"/>
      <c r="BA20" s="50"/>
      <c r="BB20" s="50"/>
      <c r="BC20" s="50"/>
      <c r="BD20" s="50"/>
      <c r="BE20" s="50"/>
      <c r="BF20" s="48" t="str">
        <f t="shared" si="6"/>
        <v/>
      </c>
      <c r="BG20" s="44"/>
      <c r="BH20" s="44"/>
      <c r="BI20" s="44"/>
      <c r="BJ20" s="44"/>
      <c r="BK20" s="44"/>
      <c r="BL20" s="44"/>
      <c r="BM20" s="44"/>
      <c r="BN20" s="48" t="str">
        <f t="shared" si="7"/>
        <v/>
      </c>
      <c r="BO20" s="50"/>
      <c r="BP20" s="50"/>
      <c r="BQ20" s="50"/>
      <c r="BR20" s="50"/>
      <c r="BS20" s="50"/>
      <c r="BT20" s="50"/>
      <c r="BU20" s="50"/>
      <c r="BV20" s="48" t="str">
        <f t="shared" si="8"/>
        <v/>
      </c>
      <c r="BW20" s="44"/>
      <c r="BX20" s="44"/>
      <c r="BY20" s="44"/>
      <c r="BZ20" s="44"/>
      <c r="CA20" s="44"/>
      <c r="CB20" s="44"/>
      <c r="CC20" s="55"/>
      <c r="CD20" s="48" t="str">
        <f t="shared" si="9"/>
        <v/>
      </c>
    </row>
    <row r="21" spans="1:82" ht="40" customHeight="1" x14ac:dyDescent="0.15">
      <c r="A21" s="71" t="s">
        <v>77</v>
      </c>
      <c r="B21" s="72" t="s">
        <v>78</v>
      </c>
      <c r="C21" s="70"/>
      <c r="D21" s="44"/>
      <c r="E21" s="44"/>
      <c r="F21" s="44"/>
      <c r="G21" s="44"/>
      <c r="H21" s="44"/>
      <c r="I21" s="44"/>
      <c r="J21" s="48" t="str">
        <f t="shared" si="0"/>
        <v/>
      </c>
      <c r="K21" s="44"/>
      <c r="L21" s="44"/>
      <c r="M21" s="44"/>
      <c r="N21" s="44"/>
      <c r="O21" s="44"/>
      <c r="P21" s="44"/>
      <c r="Q21" s="44"/>
      <c r="R21" s="48" t="str">
        <f t="shared" si="1"/>
        <v/>
      </c>
      <c r="S21" s="47"/>
      <c r="T21" s="47"/>
      <c r="U21" s="47"/>
      <c r="V21" s="47"/>
      <c r="W21" s="47"/>
      <c r="X21" s="47"/>
      <c r="Y21" s="47"/>
      <c r="Z21" s="48" t="str">
        <f t="shared" si="2"/>
        <v/>
      </c>
      <c r="AA21" s="44"/>
      <c r="AB21" s="44"/>
      <c r="AC21" s="44"/>
      <c r="AD21" s="44"/>
      <c r="AE21" s="44"/>
      <c r="AF21" s="44"/>
      <c r="AG21" s="44"/>
      <c r="AH21" s="48" t="str">
        <f t="shared" si="3"/>
        <v/>
      </c>
      <c r="AI21" s="44"/>
      <c r="AJ21" s="44"/>
      <c r="AK21" s="44"/>
      <c r="AL21" s="44"/>
      <c r="AM21" s="44"/>
      <c r="AN21" s="44"/>
      <c r="AO21" s="44"/>
      <c r="AP21" s="48" t="str">
        <f t="shared" si="4"/>
        <v/>
      </c>
      <c r="AQ21" s="44"/>
      <c r="AR21" s="44"/>
      <c r="AS21" s="44"/>
      <c r="AT21" s="44"/>
      <c r="AU21" s="44"/>
      <c r="AV21" s="44"/>
      <c r="AW21" s="44"/>
      <c r="AX21" s="48" t="str">
        <f t="shared" si="5"/>
        <v/>
      </c>
      <c r="AY21" s="50"/>
      <c r="AZ21" s="50"/>
      <c r="BA21" s="50"/>
      <c r="BB21" s="50"/>
      <c r="BC21" s="50"/>
      <c r="BD21" s="50"/>
      <c r="BE21" s="50"/>
      <c r="BF21" s="48" t="str">
        <f t="shared" si="6"/>
        <v/>
      </c>
      <c r="BG21" s="44"/>
      <c r="BH21" s="44"/>
      <c r="BI21" s="44"/>
      <c r="BJ21" s="44"/>
      <c r="BK21" s="44"/>
      <c r="BL21" s="44"/>
      <c r="BM21" s="44"/>
      <c r="BN21" s="48" t="str">
        <f t="shared" si="7"/>
        <v/>
      </c>
      <c r="BO21" s="50"/>
      <c r="BP21" s="50"/>
      <c r="BQ21" s="50"/>
      <c r="BR21" s="50"/>
      <c r="BS21" s="50"/>
      <c r="BT21" s="50"/>
      <c r="BU21" s="50"/>
      <c r="BV21" s="48" t="str">
        <f t="shared" si="8"/>
        <v/>
      </c>
      <c r="BW21" s="44"/>
      <c r="BX21" s="44"/>
      <c r="BY21" s="44"/>
      <c r="BZ21" s="44"/>
      <c r="CA21" s="44"/>
      <c r="CB21" s="44"/>
      <c r="CC21" s="55"/>
      <c r="CD21" s="48" t="str">
        <f t="shared" si="9"/>
        <v/>
      </c>
    </row>
    <row r="22" spans="1:82" ht="40" customHeight="1" x14ac:dyDescent="0.15">
      <c r="A22" s="73" t="s">
        <v>79</v>
      </c>
      <c r="B22" s="74" t="s">
        <v>80</v>
      </c>
      <c r="C22" s="70"/>
      <c r="D22" s="44"/>
      <c r="E22" s="44"/>
      <c r="F22" s="44"/>
      <c r="G22" s="44"/>
      <c r="H22" s="44"/>
      <c r="I22" s="44"/>
      <c r="J22" s="48" t="str">
        <f t="shared" si="0"/>
        <v/>
      </c>
      <c r="K22" s="44"/>
      <c r="L22" s="44"/>
      <c r="M22" s="44"/>
      <c r="N22" s="44"/>
      <c r="O22" s="44"/>
      <c r="P22" s="44"/>
      <c r="Q22" s="44"/>
      <c r="R22" s="48" t="str">
        <f t="shared" si="1"/>
        <v/>
      </c>
      <c r="S22" s="47"/>
      <c r="T22" s="47"/>
      <c r="U22" s="47"/>
      <c r="V22" s="47"/>
      <c r="W22" s="47"/>
      <c r="X22" s="47"/>
      <c r="Y22" s="47"/>
      <c r="Z22" s="48" t="str">
        <f t="shared" si="2"/>
        <v/>
      </c>
      <c r="AA22" s="44"/>
      <c r="AB22" s="44"/>
      <c r="AC22" s="44"/>
      <c r="AD22" s="44"/>
      <c r="AE22" s="44"/>
      <c r="AF22" s="44"/>
      <c r="AG22" s="44"/>
      <c r="AH22" s="48" t="str">
        <f t="shared" si="3"/>
        <v/>
      </c>
      <c r="AI22" s="44"/>
      <c r="AJ22" s="44"/>
      <c r="AK22" s="44"/>
      <c r="AL22" s="44"/>
      <c r="AM22" s="44"/>
      <c r="AN22" s="44"/>
      <c r="AO22" s="44"/>
      <c r="AP22" s="48" t="str">
        <f t="shared" si="4"/>
        <v/>
      </c>
      <c r="AQ22" s="44"/>
      <c r="AR22" s="44"/>
      <c r="AS22" s="44"/>
      <c r="AT22" s="44"/>
      <c r="AU22" s="44"/>
      <c r="AV22" s="44"/>
      <c r="AW22" s="44"/>
      <c r="AX22" s="48" t="str">
        <f t="shared" si="5"/>
        <v/>
      </c>
      <c r="AY22" s="50"/>
      <c r="AZ22" s="50"/>
      <c r="BA22" s="50"/>
      <c r="BB22" s="50"/>
      <c r="BC22" s="50"/>
      <c r="BD22" s="50"/>
      <c r="BE22" s="50"/>
      <c r="BF22" s="48" t="str">
        <f t="shared" si="6"/>
        <v/>
      </c>
      <c r="BG22" s="44"/>
      <c r="BH22" s="44"/>
      <c r="BI22" s="44"/>
      <c r="BJ22" s="44"/>
      <c r="BK22" s="44"/>
      <c r="BL22" s="44"/>
      <c r="BM22" s="44"/>
      <c r="BN22" s="48" t="str">
        <f t="shared" si="7"/>
        <v/>
      </c>
      <c r="BO22" s="50"/>
      <c r="BP22" s="50"/>
      <c r="BQ22" s="50"/>
      <c r="BR22" s="50"/>
      <c r="BS22" s="50"/>
      <c r="BT22" s="50"/>
      <c r="BU22" s="50"/>
      <c r="BV22" s="48" t="str">
        <f t="shared" si="8"/>
        <v/>
      </c>
      <c r="BW22" s="44"/>
      <c r="BX22" s="44"/>
      <c r="BY22" s="44"/>
      <c r="BZ22" s="44"/>
      <c r="CA22" s="44"/>
      <c r="CB22" s="44"/>
      <c r="CC22" s="55"/>
      <c r="CD22" s="48" t="str">
        <f t="shared" si="9"/>
        <v/>
      </c>
    </row>
    <row r="23" spans="1:82" ht="40" customHeight="1" x14ac:dyDescent="0.15">
      <c r="A23" s="68" t="s">
        <v>81</v>
      </c>
      <c r="B23" s="69"/>
      <c r="C23" s="70"/>
      <c r="D23" s="44"/>
      <c r="E23" s="44"/>
      <c r="F23" s="44"/>
      <c r="G23" s="44"/>
      <c r="H23" s="44"/>
      <c r="I23" s="44"/>
      <c r="J23" s="48" t="str">
        <f t="shared" si="0"/>
        <v/>
      </c>
      <c r="K23" s="44"/>
      <c r="L23" s="44"/>
      <c r="M23" s="44"/>
      <c r="N23" s="44"/>
      <c r="O23" s="44"/>
      <c r="P23" s="44"/>
      <c r="Q23" s="44"/>
      <c r="R23" s="48" t="str">
        <f t="shared" si="1"/>
        <v/>
      </c>
      <c r="S23" s="47"/>
      <c r="T23" s="47"/>
      <c r="U23" s="47"/>
      <c r="V23" s="47"/>
      <c r="W23" s="47"/>
      <c r="X23" s="47"/>
      <c r="Y23" s="47"/>
      <c r="Z23" s="48" t="str">
        <f t="shared" si="2"/>
        <v/>
      </c>
      <c r="AA23" s="44"/>
      <c r="AB23" s="44"/>
      <c r="AC23" s="44"/>
      <c r="AD23" s="44"/>
      <c r="AE23" s="44"/>
      <c r="AF23" s="44"/>
      <c r="AG23" s="44"/>
      <c r="AH23" s="48" t="str">
        <f t="shared" si="3"/>
        <v/>
      </c>
      <c r="AI23" s="44"/>
      <c r="AJ23" s="44"/>
      <c r="AK23" s="44"/>
      <c r="AL23" s="44"/>
      <c r="AM23" s="44"/>
      <c r="AN23" s="44"/>
      <c r="AO23" s="44"/>
      <c r="AP23" s="48" t="str">
        <f t="shared" si="4"/>
        <v/>
      </c>
      <c r="AQ23" s="44"/>
      <c r="AR23" s="44"/>
      <c r="AS23" s="44"/>
      <c r="AT23" s="44"/>
      <c r="AU23" s="44"/>
      <c r="AV23" s="44"/>
      <c r="AW23" s="44"/>
      <c r="AX23" s="48" t="str">
        <f t="shared" si="5"/>
        <v/>
      </c>
      <c r="AY23" s="50"/>
      <c r="AZ23" s="50"/>
      <c r="BA23" s="50"/>
      <c r="BB23" s="50"/>
      <c r="BC23" s="50"/>
      <c r="BD23" s="50"/>
      <c r="BE23" s="50"/>
      <c r="BF23" s="48" t="str">
        <f t="shared" si="6"/>
        <v/>
      </c>
      <c r="BG23" s="44"/>
      <c r="BH23" s="44"/>
      <c r="BI23" s="44"/>
      <c r="BJ23" s="44"/>
      <c r="BK23" s="44"/>
      <c r="BL23" s="44"/>
      <c r="BM23" s="44"/>
      <c r="BN23" s="48" t="str">
        <f t="shared" si="7"/>
        <v/>
      </c>
      <c r="BO23" s="50"/>
      <c r="BP23" s="50"/>
      <c r="BQ23" s="50"/>
      <c r="BR23" s="50"/>
      <c r="BS23" s="50"/>
      <c r="BT23" s="50"/>
      <c r="BU23" s="50"/>
      <c r="BV23" s="48" t="str">
        <f t="shared" si="8"/>
        <v/>
      </c>
      <c r="BW23" s="44"/>
      <c r="BX23" s="44"/>
      <c r="BY23" s="44"/>
      <c r="BZ23" s="44"/>
      <c r="CA23" s="44"/>
      <c r="CB23" s="44"/>
      <c r="CC23" s="55"/>
      <c r="CD23" s="48" t="str">
        <f t="shared" si="9"/>
        <v/>
      </c>
    </row>
    <row r="24" spans="1:82" ht="40" customHeight="1" x14ac:dyDescent="0.15">
      <c r="A24" s="71" t="s">
        <v>82</v>
      </c>
      <c r="B24" s="72" t="s">
        <v>83</v>
      </c>
      <c r="C24" s="70"/>
      <c r="D24" s="44"/>
      <c r="E24" s="44"/>
      <c r="F24" s="44"/>
      <c r="G24" s="44"/>
      <c r="H24" s="44"/>
      <c r="I24" s="44"/>
      <c r="J24" s="48" t="str">
        <f t="shared" si="0"/>
        <v/>
      </c>
      <c r="K24" s="44"/>
      <c r="L24" s="44"/>
      <c r="M24" s="44"/>
      <c r="N24" s="44"/>
      <c r="O24" s="44"/>
      <c r="P24" s="44"/>
      <c r="Q24" s="44"/>
      <c r="R24" s="48" t="str">
        <f t="shared" si="1"/>
        <v/>
      </c>
      <c r="S24" s="47"/>
      <c r="T24" s="47"/>
      <c r="U24" s="47"/>
      <c r="V24" s="47"/>
      <c r="W24" s="47"/>
      <c r="X24" s="47"/>
      <c r="Y24" s="47"/>
      <c r="Z24" s="48" t="str">
        <f t="shared" si="2"/>
        <v/>
      </c>
      <c r="AA24" s="44"/>
      <c r="AB24" s="44"/>
      <c r="AC24" s="44"/>
      <c r="AD24" s="44"/>
      <c r="AE24" s="44"/>
      <c r="AF24" s="44"/>
      <c r="AG24" s="44"/>
      <c r="AH24" s="48" t="str">
        <f t="shared" si="3"/>
        <v/>
      </c>
      <c r="AI24" s="44"/>
      <c r="AJ24" s="44"/>
      <c r="AK24" s="44"/>
      <c r="AL24" s="44"/>
      <c r="AM24" s="44"/>
      <c r="AN24" s="44"/>
      <c r="AO24" s="44"/>
      <c r="AP24" s="48" t="str">
        <f t="shared" si="4"/>
        <v/>
      </c>
      <c r="AQ24" s="44"/>
      <c r="AR24" s="44"/>
      <c r="AS24" s="44"/>
      <c r="AT24" s="44"/>
      <c r="AU24" s="44"/>
      <c r="AV24" s="44"/>
      <c r="AW24" s="44"/>
      <c r="AX24" s="48" t="str">
        <f t="shared" si="5"/>
        <v/>
      </c>
      <c r="AY24" s="50"/>
      <c r="AZ24" s="50"/>
      <c r="BA24" s="50"/>
      <c r="BB24" s="50"/>
      <c r="BC24" s="50"/>
      <c r="BD24" s="50"/>
      <c r="BE24" s="50"/>
      <c r="BF24" s="48" t="str">
        <f t="shared" si="6"/>
        <v/>
      </c>
      <c r="BG24" s="44"/>
      <c r="BH24" s="44"/>
      <c r="BI24" s="44"/>
      <c r="BJ24" s="44"/>
      <c r="BK24" s="44"/>
      <c r="BL24" s="44"/>
      <c r="BM24" s="44"/>
      <c r="BN24" s="48" t="str">
        <f t="shared" si="7"/>
        <v/>
      </c>
      <c r="BO24" s="50"/>
      <c r="BP24" s="50"/>
      <c r="BQ24" s="50"/>
      <c r="BR24" s="50"/>
      <c r="BS24" s="50"/>
      <c r="BT24" s="50"/>
      <c r="BU24" s="50"/>
      <c r="BV24" s="48" t="str">
        <f t="shared" si="8"/>
        <v/>
      </c>
      <c r="BW24" s="44"/>
      <c r="BX24" s="44"/>
      <c r="BY24" s="44"/>
      <c r="BZ24" s="44"/>
      <c r="CA24" s="44"/>
      <c r="CB24" s="44"/>
      <c r="CC24" s="55"/>
      <c r="CD24" s="48" t="str">
        <f t="shared" si="9"/>
        <v/>
      </c>
    </row>
    <row r="25" spans="1:82" ht="40" customHeight="1" x14ac:dyDescent="0.15">
      <c r="A25" s="68" t="s">
        <v>84</v>
      </c>
      <c r="B25" s="69"/>
      <c r="C25" s="70"/>
      <c r="D25" s="44"/>
      <c r="E25" s="44"/>
      <c r="F25" s="44"/>
      <c r="G25" s="44"/>
      <c r="H25" s="44"/>
      <c r="I25" s="44"/>
      <c r="J25" s="48" t="str">
        <f t="shared" si="0"/>
        <v/>
      </c>
      <c r="K25" s="44"/>
      <c r="L25" s="44"/>
      <c r="M25" s="44"/>
      <c r="N25" s="44"/>
      <c r="O25" s="44"/>
      <c r="P25" s="44"/>
      <c r="Q25" s="44"/>
      <c r="R25" s="48" t="str">
        <f t="shared" si="1"/>
        <v/>
      </c>
      <c r="S25" s="47"/>
      <c r="T25" s="47"/>
      <c r="U25" s="47"/>
      <c r="V25" s="47"/>
      <c r="W25" s="47"/>
      <c r="X25" s="47"/>
      <c r="Y25" s="47"/>
      <c r="Z25" s="48" t="str">
        <f t="shared" si="2"/>
        <v/>
      </c>
      <c r="AA25" s="44"/>
      <c r="AB25" s="44"/>
      <c r="AC25" s="44"/>
      <c r="AD25" s="44"/>
      <c r="AE25" s="44"/>
      <c r="AF25" s="44"/>
      <c r="AG25" s="44"/>
      <c r="AH25" s="48" t="str">
        <f t="shared" si="3"/>
        <v/>
      </c>
      <c r="AI25" s="44"/>
      <c r="AJ25" s="44"/>
      <c r="AK25" s="44"/>
      <c r="AL25" s="44"/>
      <c r="AM25" s="44"/>
      <c r="AN25" s="44"/>
      <c r="AO25" s="44"/>
      <c r="AP25" s="48" t="str">
        <f t="shared" si="4"/>
        <v/>
      </c>
      <c r="AQ25" s="44"/>
      <c r="AR25" s="44"/>
      <c r="AS25" s="44"/>
      <c r="AT25" s="44"/>
      <c r="AU25" s="44"/>
      <c r="AV25" s="44"/>
      <c r="AW25" s="44"/>
      <c r="AX25" s="48" t="str">
        <f t="shared" si="5"/>
        <v/>
      </c>
      <c r="AY25" s="50"/>
      <c r="AZ25" s="50"/>
      <c r="BA25" s="50"/>
      <c r="BB25" s="50"/>
      <c r="BC25" s="50"/>
      <c r="BD25" s="50"/>
      <c r="BE25" s="50"/>
      <c r="BF25" s="48" t="str">
        <f t="shared" si="6"/>
        <v/>
      </c>
      <c r="BG25" s="44"/>
      <c r="BH25" s="44"/>
      <c r="BI25" s="44"/>
      <c r="BJ25" s="44"/>
      <c r="BK25" s="44"/>
      <c r="BL25" s="44"/>
      <c r="BM25" s="44"/>
      <c r="BN25" s="48" t="str">
        <f t="shared" si="7"/>
        <v/>
      </c>
      <c r="BO25" s="50"/>
      <c r="BP25" s="50"/>
      <c r="BQ25" s="50"/>
      <c r="BR25" s="50"/>
      <c r="BS25" s="50"/>
      <c r="BT25" s="50"/>
      <c r="BU25" s="50"/>
      <c r="BV25" s="48" t="str">
        <f t="shared" si="8"/>
        <v/>
      </c>
      <c r="BW25" s="44"/>
      <c r="BX25" s="44"/>
      <c r="BY25" s="44"/>
      <c r="BZ25" s="44"/>
      <c r="CA25" s="44"/>
      <c r="CB25" s="44"/>
      <c r="CC25" s="55"/>
      <c r="CD25" s="48" t="str">
        <f t="shared" si="9"/>
        <v/>
      </c>
    </row>
    <row r="26" spans="1:82" ht="40" customHeight="1" x14ac:dyDescent="0.15">
      <c r="A26" s="71" t="s">
        <v>85</v>
      </c>
      <c r="B26" s="72" t="s">
        <v>86</v>
      </c>
      <c r="C26" s="70"/>
      <c r="D26" s="44"/>
      <c r="E26" s="44"/>
      <c r="F26" s="44"/>
      <c r="G26" s="44"/>
      <c r="H26" s="44"/>
      <c r="I26" s="44"/>
      <c r="J26" s="48" t="str">
        <f t="shared" si="0"/>
        <v/>
      </c>
      <c r="K26" s="44"/>
      <c r="L26" s="44"/>
      <c r="M26" s="44"/>
      <c r="N26" s="44"/>
      <c r="O26" s="44"/>
      <c r="P26" s="44"/>
      <c r="Q26" s="44"/>
      <c r="R26" s="48" t="str">
        <f t="shared" si="1"/>
        <v/>
      </c>
      <c r="S26" s="47"/>
      <c r="T26" s="47"/>
      <c r="U26" s="47"/>
      <c r="V26" s="47"/>
      <c r="W26" s="47"/>
      <c r="X26" s="47"/>
      <c r="Y26" s="47"/>
      <c r="Z26" s="48" t="str">
        <f t="shared" si="2"/>
        <v/>
      </c>
      <c r="AA26" s="44"/>
      <c r="AB26" s="44"/>
      <c r="AC26" s="44"/>
      <c r="AD26" s="44"/>
      <c r="AE26" s="44"/>
      <c r="AF26" s="44"/>
      <c r="AG26" s="44"/>
      <c r="AH26" s="48" t="str">
        <f t="shared" si="3"/>
        <v/>
      </c>
      <c r="AI26" s="44"/>
      <c r="AJ26" s="44"/>
      <c r="AK26" s="44"/>
      <c r="AL26" s="44"/>
      <c r="AM26" s="44"/>
      <c r="AN26" s="44"/>
      <c r="AO26" s="44"/>
      <c r="AP26" s="48" t="str">
        <f t="shared" si="4"/>
        <v/>
      </c>
      <c r="AQ26" s="44"/>
      <c r="AR26" s="44"/>
      <c r="AS26" s="44"/>
      <c r="AT26" s="44"/>
      <c r="AU26" s="44"/>
      <c r="AV26" s="44"/>
      <c r="AW26" s="44"/>
      <c r="AX26" s="48" t="str">
        <f t="shared" si="5"/>
        <v/>
      </c>
      <c r="AY26" s="50"/>
      <c r="AZ26" s="50"/>
      <c r="BA26" s="50"/>
      <c r="BB26" s="50"/>
      <c r="BC26" s="50"/>
      <c r="BD26" s="50"/>
      <c r="BE26" s="50"/>
      <c r="BF26" s="48" t="str">
        <f t="shared" si="6"/>
        <v/>
      </c>
      <c r="BG26" s="44"/>
      <c r="BH26" s="44"/>
      <c r="BI26" s="44"/>
      <c r="BJ26" s="44"/>
      <c r="BK26" s="44"/>
      <c r="BL26" s="44"/>
      <c r="BM26" s="44"/>
      <c r="BN26" s="48" t="str">
        <f t="shared" si="7"/>
        <v/>
      </c>
      <c r="BO26" s="50"/>
      <c r="BP26" s="50"/>
      <c r="BQ26" s="50"/>
      <c r="BR26" s="50"/>
      <c r="BS26" s="50"/>
      <c r="BT26" s="50"/>
      <c r="BU26" s="50"/>
      <c r="BV26" s="48" t="str">
        <f t="shared" si="8"/>
        <v/>
      </c>
      <c r="BW26" s="44"/>
      <c r="BX26" s="44"/>
      <c r="BY26" s="44"/>
      <c r="BZ26" s="44"/>
      <c r="CA26" s="44"/>
      <c r="CB26" s="44"/>
      <c r="CC26" s="55"/>
      <c r="CD26" s="48" t="str">
        <f t="shared" si="9"/>
        <v/>
      </c>
    </row>
    <row r="27" spans="1:82" ht="40" customHeight="1" x14ac:dyDescent="0.15">
      <c r="A27" s="73" t="s">
        <v>87</v>
      </c>
      <c r="B27" s="74" t="s">
        <v>88</v>
      </c>
      <c r="C27" s="70"/>
      <c r="D27" s="44"/>
      <c r="E27" s="44"/>
      <c r="F27" s="44"/>
      <c r="G27" s="44"/>
      <c r="H27" s="44"/>
      <c r="I27" s="44"/>
      <c r="J27" s="48" t="str">
        <f t="shared" si="0"/>
        <v/>
      </c>
      <c r="K27" s="44"/>
      <c r="L27" s="44"/>
      <c r="M27" s="44"/>
      <c r="N27" s="44"/>
      <c r="O27" s="44"/>
      <c r="P27" s="44"/>
      <c r="Q27" s="44"/>
      <c r="R27" s="48" t="str">
        <f t="shared" si="1"/>
        <v/>
      </c>
      <c r="S27" s="47"/>
      <c r="T27" s="47"/>
      <c r="U27" s="47"/>
      <c r="V27" s="47"/>
      <c r="W27" s="47"/>
      <c r="X27" s="47"/>
      <c r="Y27" s="47"/>
      <c r="Z27" s="48" t="str">
        <f t="shared" si="2"/>
        <v/>
      </c>
      <c r="AA27" s="44"/>
      <c r="AB27" s="44"/>
      <c r="AC27" s="44"/>
      <c r="AD27" s="44"/>
      <c r="AE27" s="44"/>
      <c r="AF27" s="44"/>
      <c r="AG27" s="44"/>
      <c r="AH27" s="48" t="str">
        <f t="shared" si="3"/>
        <v/>
      </c>
      <c r="AI27" s="44"/>
      <c r="AJ27" s="44"/>
      <c r="AK27" s="44"/>
      <c r="AL27" s="44"/>
      <c r="AM27" s="44"/>
      <c r="AN27" s="44"/>
      <c r="AO27" s="44"/>
      <c r="AP27" s="48" t="str">
        <f t="shared" si="4"/>
        <v/>
      </c>
      <c r="AQ27" s="44"/>
      <c r="AR27" s="44"/>
      <c r="AS27" s="44"/>
      <c r="AT27" s="44"/>
      <c r="AU27" s="44"/>
      <c r="AV27" s="44"/>
      <c r="AW27" s="44"/>
      <c r="AX27" s="48" t="str">
        <f t="shared" si="5"/>
        <v/>
      </c>
      <c r="AY27" s="50"/>
      <c r="AZ27" s="50"/>
      <c r="BA27" s="50"/>
      <c r="BB27" s="50"/>
      <c r="BC27" s="50"/>
      <c r="BD27" s="50"/>
      <c r="BE27" s="50"/>
      <c r="BF27" s="48" t="str">
        <f t="shared" si="6"/>
        <v/>
      </c>
      <c r="BG27" s="44"/>
      <c r="BH27" s="44"/>
      <c r="BI27" s="44"/>
      <c r="BJ27" s="44"/>
      <c r="BK27" s="44"/>
      <c r="BL27" s="44"/>
      <c r="BM27" s="44"/>
      <c r="BN27" s="48" t="str">
        <f t="shared" si="7"/>
        <v/>
      </c>
      <c r="BO27" s="50"/>
      <c r="BP27" s="50"/>
      <c r="BQ27" s="50"/>
      <c r="BR27" s="50"/>
      <c r="BS27" s="50"/>
      <c r="BT27" s="50"/>
      <c r="BU27" s="50"/>
      <c r="BV27" s="48" t="str">
        <f t="shared" si="8"/>
        <v/>
      </c>
      <c r="BW27" s="44"/>
      <c r="BX27" s="44"/>
      <c r="BY27" s="44"/>
      <c r="BZ27" s="44"/>
      <c r="CA27" s="44"/>
      <c r="CB27" s="44"/>
      <c r="CC27" s="55"/>
      <c r="CD27" s="48" t="str">
        <f t="shared" si="9"/>
        <v/>
      </c>
    </row>
    <row r="28" spans="1:82" ht="40" customHeight="1" x14ac:dyDescent="0.15">
      <c r="A28" s="71" t="s">
        <v>89</v>
      </c>
      <c r="B28" s="72" t="s">
        <v>90</v>
      </c>
      <c r="C28" s="70"/>
      <c r="D28" s="44"/>
      <c r="E28" s="44"/>
      <c r="F28" s="44"/>
      <c r="G28" s="44"/>
      <c r="H28" s="44"/>
      <c r="I28" s="44"/>
      <c r="J28" s="48" t="str">
        <f t="shared" si="0"/>
        <v/>
      </c>
      <c r="K28" s="44"/>
      <c r="L28" s="44"/>
      <c r="M28" s="44"/>
      <c r="N28" s="44"/>
      <c r="O28" s="44"/>
      <c r="P28" s="44"/>
      <c r="Q28" s="44"/>
      <c r="R28" s="48" t="str">
        <f t="shared" si="1"/>
        <v/>
      </c>
      <c r="S28" s="47"/>
      <c r="T28" s="47"/>
      <c r="U28" s="47"/>
      <c r="V28" s="47"/>
      <c r="W28" s="47"/>
      <c r="X28" s="47"/>
      <c r="Y28" s="47"/>
      <c r="Z28" s="48" t="str">
        <f t="shared" si="2"/>
        <v/>
      </c>
      <c r="AA28" s="44"/>
      <c r="AB28" s="44"/>
      <c r="AC28" s="44"/>
      <c r="AD28" s="44"/>
      <c r="AE28" s="44"/>
      <c r="AF28" s="44"/>
      <c r="AG28" s="44"/>
      <c r="AH28" s="48" t="str">
        <f t="shared" si="3"/>
        <v/>
      </c>
      <c r="AI28" s="44"/>
      <c r="AJ28" s="44"/>
      <c r="AK28" s="44"/>
      <c r="AL28" s="44"/>
      <c r="AM28" s="44"/>
      <c r="AN28" s="44"/>
      <c r="AO28" s="44"/>
      <c r="AP28" s="48" t="str">
        <f t="shared" si="4"/>
        <v/>
      </c>
      <c r="AQ28" s="44"/>
      <c r="AR28" s="44"/>
      <c r="AS28" s="44"/>
      <c r="AT28" s="44"/>
      <c r="AU28" s="44"/>
      <c r="AV28" s="44"/>
      <c r="AW28" s="44"/>
      <c r="AX28" s="48" t="str">
        <f t="shared" si="5"/>
        <v/>
      </c>
      <c r="AY28" s="50"/>
      <c r="AZ28" s="50"/>
      <c r="BA28" s="50"/>
      <c r="BB28" s="50"/>
      <c r="BC28" s="50"/>
      <c r="BD28" s="50"/>
      <c r="BE28" s="50"/>
      <c r="BF28" s="48" t="str">
        <f t="shared" si="6"/>
        <v/>
      </c>
      <c r="BG28" s="44"/>
      <c r="BH28" s="44"/>
      <c r="BI28" s="44"/>
      <c r="BJ28" s="44"/>
      <c r="BK28" s="44"/>
      <c r="BL28" s="44"/>
      <c r="BM28" s="44"/>
      <c r="BN28" s="48" t="str">
        <f t="shared" si="7"/>
        <v/>
      </c>
      <c r="BO28" s="50"/>
      <c r="BP28" s="50"/>
      <c r="BQ28" s="50"/>
      <c r="BR28" s="50"/>
      <c r="BS28" s="50"/>
      <c r="BT28" s="50"/>
      <c r="BU28" s="50"/>
      <c r="BV28" s="48" t="str">
        <f t="shared" si="8"/>
        <v/>
      </c>
      <c r="BW28" s="44"/>
      <c r="BX28" s="44"/>
      <c r="BY28" s="44"/>
      <c r="BZ28" s="44"/>
      <c r="CA28" s="44"/>
      <c r="CB28" s="44"/>
      <c r="CC28" s="55"/>
      <c r="CD28" s="48" t="str">
        <f t="shared" si="9"/>
        <v/>
      </c>
    </row>
    <row r="29" spans="1:82" ht="40" customHeight="1" x14ac:dyDescent="0.15">
      <c r="A29" s="73" t="s">
        <v>91</v>
      </c>
      <c r="B29" s="74" t="s">
        <v>92</v>
      </c>
      <c r="C29" s="70"/>
      <c r="D29" s="44"/>
      <c r="E29" s="44"/>
      <c r="F29" s="44"/>
      <c r="G29" s="44"/>
      <c r="H29" s="44"/>
      <c r="I29" s="44"/>
      <c r="J29" s="48" t="str">
        <f t="shared" si="0"/>
        <v/>
      </c>
      <c r="K29" s="44"/>
      <c r="L29" s="44"/>
      <c r="M29" s="44"/>
      <c r="N29" s="44"/>
      <c r="O29" s="44"/>
      <c r="P29" s="44"/>
      <c r="Q29" s="44"/>
      <c r="R29" s="48" t="str">
        <f t="shared" si="1"/>
        <v/>
      </c>
      <c r="S29" s="47"/>
      <c r="T29" s="47"/>
      <c r="U29" s="47"/>
      <c r="V29" s="47"/>
      <c r="W29" s="47"/>
      <c r="X29" s="47"/>
      <c r="Y29" s="47"/>
      <c r="Z29" s="48" t="str">
        <f t="shared" si="2"/>
        <v/>
      </c>
      <c r="AA29" s="44"/>
      <c r="AB29" s="44"/>
      <c r="AC29" s="44"/>
      <c r="AD29" s="44"/>
      <c r="AE29" s="44"/>
      <c r="AF29" s="44"/>
      <c r="AG29" s="44"/>
      <c r="AH29" s="48" t="str">
        <f t="shared" si="3"/>
        <v/>
      </c>
      <c r="AI29" s="44"/>
      <c r="AJ29" s="44"/>
      <c r="AK29" s="44"/>
      <c r="AL29" s="44"/>
      <c r="AM29" s="44"/>
      <c r="AN29" s="44"/>
      <c r="AO29" s="44"/>
      <c r="AP29" s="48" t="str">
        <f t="shared" si="4"/>
        <v/>
      </c>
      <c r="AQ29" s="44"/>
      <c r="AR29" s="44"/>
      <c r="AS29" s="44"/>
      <c r="AT29" s="44"/>
      <c r="AU29" s="44"/>
      <c r="AV29" s="44"/>
      <c r="AW29" s="44"/>
      <c r="AX29" s="48" t="str">
        <f t="shared" si="5"/>
        <v/>
      </c>
      <c r="AY29" s="50"/>
      <c r="AZ29" s="50"/>
      <c r="BA29" s="50"/>
      <c r="BB29" s="50"/>
      <c r="BC29" s="50"/>
      <c r="BD29" s="50"/>
      <c r="BE29" s="50"/>
      <c r="BF29" s="48" t="str">
        <f t="shared" si="6"/>
        <v/>
      </c>
      <c r="BG29" s="44"/>
      <c r="BH29" s="44"/>
      <c r="BI29" s="44"/>
      <c r="BJ29" s="44"/>
      <c r="BK29" s="44"/>
      <c r="BL29" s="44"/>
      <c r="BM29" s="44"/>
      <c r="BN29" s="48" t="str">
        <f t="shared" si="7"/>
        <v/>
      </c>
      <c r="BO29" s="50"/>
      <c r="BP29" s="50"/>
      <c r="BQ29" s="50"/>
      <c r="BR29" s="50"/>
      <c r="BS29" s="50"/>
      <c r="BT29" s="50"/>
      <c r="BU29" s="50"/>
      <c r="BV29" s="48" t="str">
        <f t="shared" si="8"/>
        <v/>
      </c>
      <c r="BW29" s="44"/>
      <c r="BX29" s="44"/>
      <c r="BY29" s="44"/>
      <c r="BZ29" s="44"/>
      <c r="CA29" s="44"/>
      <c r="CB29" s="44"/>
      <c r="CC29" s="55"/>
      <c r="CD29" s="48" t="str">
        <f t="shared" si="9"/>
        <v/>
      </c>
    </row>
    <row r="30" spans="1:82" ht="40" customHeight="1" x14ac:dyDescent="0.15">
      <c r="A30" s="71" t="s">
        <v>93</v>
      </c>
      <c r="B30" s="72" t="s">
        <v>94</v>
      </c>
      <c r="C30" s="70"/>
      <c r="D30" s="44"/>
      <c r="E30" s="44"/>
      <c r="F30" s="44"/>
      <c r="G30" s="44"/>
      <c r="H30" s="44"/>
      <c r="I30" s="44"/>
      <c r="J30" s="48" t="str">
        <f t="shared" si="0"/>
        <v/>
      </c>
      <c r="K30" s="44"/>
      <c r="L30" s="44"/>
      <c r="M30" s="44"/>
      <c r="N30" s="44"/>
      <c r="O30" s="44"/>
      <c r="P30" s="44"/>
      <c r="Q30" s="44"/>
      <c r="R30" s="48" t="str">
        <f t="shared" si="1"/>
        <v/>
      </c>
      <c r="S30" s="47"/>
      <c r="T30" s="47"/>
      <c r="U30" s="47"/>
      <c r="V30" s="47"/>
      <c r="W30" s="47"/>
      <c r="X30" s="47"/>
      <c r="Y30" s="47"/>
      <c r="Z30" s="48" t="str">
        <f t="shared" si="2"/>
        <v/>
      </c>
      <c r="AA30" s="44"/>
      <c r="AB30" s="44"/>
      <c r="AC30" s="44"/>
      <c r="AD30" s="44"/>
      <c r="AE30" s="44"/>
      <c r="AF30" s="44"/>
      <c r="AG30" s="44"/>
      <c r="AH30" s="48" t="str">
        <f t="shared" si="3"/>
        <v/>
      </c>
      <c r="AI30" s="44"/>
      <c r="AJ30" s="44"/>
      <c r="AK30" s="44"/>
      <c r="AL30" s="44"/>
      <c r="AM30" s="44"/>
      <c r="AN30" s="44"/>
      <c r="AO30" s="44"/>
      <c r="AP30" s="48" t="str">
        <f t="shared" si="4"/>
        <v/>
      </c>
      <c r="AQ30" s="44"/>
      <c r="AR30" s="44"/>
      <c r="AS30" s="44"/>
      <c r="AT30" s="44"/>
      <c r="AU30" s="44"/>
      <c r="AV30" s="44"/>
      <c r="AW30" s="44"/>
      <c r="AX30" s="48" t="str">
        <f t="shared" si="5"/>
        <v/>
      </c>
      <c r="AY30" s="50"/>
      <c r="AZ30" s="50"/>
      <c r="BA30" s="50"/>
      <c r="BB30" s="50"/>
      <c r="BC30" s="50"/>
      <c r="BD30" s="50"/>
      <c r="BE30" s="50"/>
      <c r="BF30" s="48" t="str">
        <f t="shared" si="6"/>
        <v/>
      </c>
      <c r="BG30" s="44"/>
      <c r="BH30" s="44"/>
      <c r="BI30" s="44"/>
      <c r="BJ30" s="44"/>
      <c r="BK30" s="44"/>
      <c r="BL30" s="44"/>
      <c r="BM30" s="44"/>
      <c r="BN30" s="48" t="str">
        <f t="shared" si="7"/>
        <v/>
      </c>
      <c r="BO30" s="50"/>
      <c r="BP30" s="50"/>
      <c r="BQ30" s="50"/>
      <c r="BR30" s="50"/>
      <c r="BS30" s="50"/>
      <c r="BT30" s="50"/>
      <c r="BU30" s="50"/>
      <c r="BV30" s="48" t="str">
        <f t="shared" si="8"/>
        <v/>
      </c>
      <c r="BW30" s="44"/>
      <c r="BX30" s="44"/>
      <c r="BY30" s="44"/>
      <c r="BZ30" s="44"/>
      <c r="CA30" s="44"/>
      <c r="CB30" s="44"/>
      <c r="CC30" s="55"/>
      <c r="CD30" s="48" t="str">
        <f t="shared" si="9"/>
        <v/>
      </c>
    </row>
    <row r="31" spans="1:82" ht="40" customHeight="1" x14ac:dyDescent="0.15">
      <c r="A31" s="73" t="s">
        <v>95</v>
      </c>
      <c r="B31" s="74" t="s">
        <v>96</v>
      </c>
      <c r="C31" s="70"/>
      <c r="D31" s="44"/>
      <c r="E31" s="44"/>
      <c r="F31" s="44"/>
      <c r="G31" s="44"/>
      <c r="H31" s="44"/>
      <c r="I31" s="44"/>
      <c r="J31" s="48" t="str">
        <f t="shared" si="0"/>
        <v/>
      </c>
      <c r="K31" s="44"/>
      <c r="L31" s="44"/>
      <c r="M31" s="44"/>
      <c r="N31" s="44"/>
      <c r="O31" s="44"/>
      <c r="P31" s="44"/>
      <c r="Q31" s="44"/>
      <c r="R31" s="48" t="str">
        <f t="shared" si="1"/>
        <v/>
      </c>
      <c r="S31" s="47"/>
      <c r="T31" s="47"/>
      <c r="U31" s="47"/>
      <c r="V31" s="47"/>
      <c r="W31" s="47"/>
      <c r="X31" s="47"/>
      <c r="Y31" s="47"/>
      <c r="Z31" s="48" t="str">
        <f t="shared" si="2"/>
        <v/>
      </c>
      <c r="AA31" s="44"/>
      <c r="AB31" s="44"/>
      <c r="AC31" s="44"/>
      <c r="AD31" s="44"/>
      <c r="AE31" s="44"/>
      <c r="AF31" s="44"/>
      <c r="AG31" s="44"/>
      <c r="AH31" s="48" t="str">
        <f t="shared" si="3"/>
        <v/>
      </c>
      <c r="AI31" s="44"/>
      <c r="AJ31" s="44"/>
      <c r="AK31" s="44"/>
      <c r="AL31" s="44"/>
      <c r="AM31" s="44"/>
      <c r="AN31" s="44"/>
      <c r="AO31" s="44"/>
      <c r="AP31" s="48" t="str">
        <f t="shared" si="4"/>
        <v/>
      </c>
      <c r="AQ31" s="44"/>
      <c r="AR31" s="44"/>
      <c r="AS31" s="44"/>
      <c r="AT31" s="44"/>
      <c r="AU31" s="44"/>
      <c r="AV31" s="44"/>
      <c r="AW31" s="44"/>
      <c r="AX31" s="48" t="str">
        <f t="shared" si="5"/>
        <v/>
      </c>
      <c r="AY31" s="50"/>
      <c r="AZ31" s="50"/>
      <c r="BA31" s="50"/>
      <c r="BB31" s="50"/>
      <c r="BC31" s="50"/>
      <c r="BD31" s="50"/>
      <c r="BE31" s="50"/>
      <c r="BF31" s="48" t="str">
        <f t="shared" si="6"/>
        <v/>
      </c>
      <c r="BG31" s="44"/>
      <c r="BH31" s="44"/>
      <c r="BI31" s="44"/>
      <c r="BJ31" s="44"/>
      <c r="BK31" s="44"/>
      <c r="BL31" s="44"/>
      <c r="BM31" s="44"/>
      <c r="BN31" s="48" t="str">
        <f t="shared" si="7"/>
        <v/>
      </c>
      <c r="BO31" s="50"/>
      <c r="BP31" s="50"/>
      <c r="BQ31" s="50"/>
      <c r="BR31" s="50"/>
      <c r="BS31" s="50"/>
      <c r="BT31" s="50"/>
      <c r="BU31" s="50"/>
      <c r="BV31" s="48" t="str">
        <f t="shared" si="8"/>
        <v/>
      </c>
      <c r="BW31" s="44"/>
      <c r="BX31" s="44"/>
      <c r="BY31" s="44"/>
      <c r="BZ31" s="44"/>
      <c r="CA31" s="44"/>
      <c r="CB31" s="44"/>
      <c r="CC31" s="55"/>
      <c r="CD31" s="48" t="str">
        <f t="shared" si="9"/>
        <v/>
      </c>
    </row>
    <row r="32" spans="1:82" ht="40" customHeight="1" x14ac:dyDescent="0.15">
      <c r="A32" s="71" t="s">
        <v>97</v>
      </c>
      <c r="B32" s="72" t="s">
        <v>98</v>
      </c>
      <c r="C32" s="70"/>
      <c r="D32" s="44"/>
      <c r="E32" s="44"/>
      <c r="F32" s="44"/>
      <c r="G32" s="44"/>
      <c r="H32" s="44"/>
      <c r="I32" s="44"/>
      <c r="J32" s="48" t="str">
        <f t="shared" si="0"/>
        <v/>
      </c>
      <c r="K32" s="44"/>
      <c r="L32" s="44"/>
      <c r="M32" s="44"/>
      <c r="N32" s="44"/>
      <c r="O32" s="44"/>
      <c r="P32" s="44"/>
      <c r="Q32" s="44"/>
      <c r="R32" s="48" t="str">
        <f t="shared" si="1"/>
        <v/>
      </c>
      <c r="S32" s="47"/>
      <c r="T32" s="47"/>
      <c r="U32" s="47"/>
      <c r="V32" s="47"/>
      <c r="W32" s="47"/>
      <c r="X32" s="47"/>
      <c r="Y32" s="47"/>
      <c r="Z32" s="48" t="str">
        <f t="shared" si="2"/>
        <v/>
      </c>
      <c r="AA32" s="44"/>
      <c r="AB32" s="44"/>
      <c r="AC32" s="44"/>
      <c r="AD32" s="44"/>
      <c r="AE32" s="44"/>
      <c r="AF32" s="44"/>
      <c r="AG32" s="44"/>
      <c r="AH32" s="48" t="str">
        <f t="shared" si="3"/>
        <v/>
      </c>
      <c r="AI32" s="44"/>
      <c r="AJ32" s="44"/>
      <c r="AK32" s="44"/>
      <c r="AL32" s="44"/>
      <c r="AM32" s="44"/>
      <c r="AN32" s="44"/>
      <c r="AO32" s="44"/>
      <c r="AP32" s="48" t="str">
        <f t="shared" si="4"/>
        <v/>
      </c>
      <c r="AQ32" s="44"/>
      <c r="AR32" s="44"/>
      <c r="AS32" s="44"/>
      <c r="AT32" s="44"/>
      <c r="AU32" s="44"/>
      <c r="AV32" s="44"/>
      <c r="AW32" s="44"/>
      <c r="AX32" s="48" t="str">
        <f t="shared" si="5"/>
        <v/>
      </c>
      <c r="AY32" s="50"/>
      <c r="AZ32" s="50"/>
      <c r="BA32" s="50"/>
      <c r="BB32" s="50"/>
      <c r="BC32" s="50"/>
      <c r="BD32" s="50"/>
      <c r="BE32" s="50"/>
      <c r="BF32" s="48" t="str">
        <f t="shared" si="6"/>
        <v/>
      </c>
      <c r="BG32" s="44"/>
      <c r="BH32" s="44"/>
      <c r="BI32" s="44"/>
      <c r="BJ32" s="44"/>
      <c r="BK32" s="44"/>
      <c r="BL32" s="44"/>
      <c r="BM32" s="44"/>
      <c r="BN32" s="48" t="str">
        <f t="shared" si="7"/>
        <v/>
      </c>
      <c r="BO32" s="50"/>
      <c r="BP32" s="50"/>
      <c r="BQ32" s="50"/>
      <c r="BR32" s="50"/>
      <c r="BS32" s="50"/>
      <c r="BT32" s="50"/>
      <c r="BU32" s="50"/>
      <c r="BV32" s="48" t="str">
        <f t="shared" si="8"/>
        <v/>
      </c>
      <c r="BW32" s="44"/>
      <c r="BX32" s="44"/>
      <c r="BY32" s="44"/>
      <c r="BZ32" s="44"/>
      <c r="CA32" s="44"/>
      <c r="CB32" s="44"/>
      <c r="CC32" s="55"/>
      <c r="CD32" s="48" t="str">
        <f t="shared" si="9"/>
        <v/>
      </c>
    </row>
    <row r="33" spans="1:82" ht="40" customHeight="1" x14ac:dyDescent="0.15">
      <c r="A33" s="71" t="s">
        <v>99</v>
      </c>
      <c r="B33" s="72" t="s">
        <v>100</v>
      </c>
      <c r="C33" s="70"/>
      <c r="D33" s="44"/>
      <c r="E33" s="44"/>
      <c r="F33" s="44"/>
      <c r="G33" s="44"/>
      <c r="H33" s="44"/>
      <c r="I33" s="44"/>
      <c r="J33" s="48" t="str">
        <f t="shared" si="0"/>
        <v/>
      </c>
      <c r="K33" s="44"/>
      <c r="L33" s="44"/>
      <c r="M33" s="44"/>
      <c r="N33" s="44"/>
      <c r="O33" s="44"/>
      <c r="P33" s="44"/>
      <c r="Q33" s="44"/>
      <c r="R33" s="48" t="str">
        <f t="shared" si="1"/>
        <v/>
      </c>
      <c r="S33" s="47"/>
      <c r="T33" s="47"/>
      <c r="U33" s="47"/>
      <c r="V33" s="47"/>
      <c r="W33" s="47"/>
      <c r="X33" s="47"/>
      <c r="Y33" s="47"/>
      <c r="Z33" s="48" t="str">
        <f t="shared" si="2"/>
        <v/>
      </c>
      <c r="AA33" s="44"/>
      <c r="AB33" s="44"/>
      <c r="AC33" s="44"/>
      <c r="AD33" s="44"/>
      <c r="AE33" s="44"/>
      <c r="AF33" s="44"/>
      <c r="AG33" s="44"/>
      <c r="AH33" s="48" t="str">
        <f t="shared" si="3"/>
        <v/>
      </c>
      <c r="AI33" s="44"/>
      <c r="AJ33" s="44"/>
      <c r="AK33" s="44"/>
      <c r="AL33" s="44"/>
      <c r="AM33" s="44"/>
      <c r="AN33" s="44"/>
      <c r="AO33" s="44"/>
      <c r="AP33" s="48" t="str">
        <f t="shared" si="4"/>
        <v/>
      </c>
      <c r="AQ33" s="44"/>
      <c r="AR33" s="44"/>
      <c r="AS33" s="44"/>
      <c r="AT33" s="44"/>
      <c r="AU33" s="44"/>
      <c r="AV33" s="44"/>
      <c r="AW33" s="44"/>
      <c r="AX33" s="48" t="str">
        <f t="shared" si="5"/>
        <v/>
      </c>
      <c r="AY33" s="50"/>
      <c r="AZ33" s="50"/>
      <c r="BA33" s="50"/>
      <c r="BB33" s="50"/>
      <c r="BC33" s="50"/>
      <c r="BD33" s="50"/>
      <c r="BE33" s="50"/>
      <c r="BF33" s="48" t="str">
        <f t="shared" si="6"/>
        <v/>
      </c>
      <c r="BG33" s="44"/>
      <c r="BH33" s="44"/>
      <c r="BI33" s="44"/>
      <c r="BJ33" s="44"/>
      <c r="BK33" s="44"/>
      <c r="BL33" s="44"/>
      <c r="BM33" s="44"/>
      <c r="BN33" s="48" t="str">
        <f t="shared" si="7"/>
        <v/>
      </c>
      <c r="BO33" s="50"/>
      <c r="BP33" s="50"/>
      <c r="BQ33" s="50"/>
      <c r="BR33" s="50"/>
      <c r="BS33" s="50"/>
      <c r="BT33" s="50"/>
      <c r="BU33" s="50"/>
      <c r="BV33" s="48" t="str">
        <f t="shared" si="8"/>
        <v/>
      </c>
      <c r="BW33" s="44"/>
      <c r="BX33" s="44"/>
      <c r="BY33" s="44"/>
      <c r="BZ33" s="44"/>
      <c r="CA33" s="44"/>
      <c r="CB33" s="44"/>
      <c r="CC33" s="55"/>
      <c r="CD33" s="48" t="str">
        <f t="shared" si="9"/>
        <v/>
      </c>
    </row>
    <row r="34" spans="1:82" ht="40" customHeight="1" x14ac:dyDescent="0.15">
      <c r="A34" s="73" t="s">
        <v>101</v>
      </c>
      <c r="B34" s="74" t="s">
        <v>102</v>
      </c>
      <c r="C34" s="70"/>
      <c r="D34" s="44"/>
      <c r="E34" s="44"/>
      <c r="F34" s="44"/>
      <c r="G34" s="44"/>
      <c r="H34" s="44"/>
      <c r="I34" s="44"/>
      <c r="J34" s="48" t="str">
        <f t="shared" si="0"/>
        <v/>
      </c>
      <c r="K34" s="44"/>
      <c r="L34" s="44"/>
      <c r="M34" s="44"/>
      <c r="N34" s="44"/>
      <c r="O34" s="44"/>
      <c r="P34" s="44"/>
      <c r="Q34" s="44"/>
      <c r="R34" s="48" t="str">
        <f t="shared" si="1"/>
        <v/>
      </c>
      <c r="S34" s="47"/>
      <c r="T34" s="47"/>
      <c r="U34" s="47"/>
      <c r="V34" s="47"/>
      <c r="W34" s="47"/>
      <c r="X34" s="47"/>
      <c r="Y34" s="47"/>
      <c r="Z34" s="48" t="str">
        <f t="shared" si="2"/>
        <v/>
      </c>
      <c r="AA34" s="44"/>
      <c r="AB34" s="44"/>
      <c r="AC34" s="44"/>
      <c r="AD34" s="44"/>
      <c r="AE34" s="44"/>
      <c r="AF34" s="44"/>
      <c r="AG34" s="44"/>
      <c r="AH34" s="48" t="str">
        <f t="shared" si="3"/>
        <v/>
      </c>
      <c r="AI34" s="44"/>
      <c r="AJ34" s="44"/>
      <c r="AK34" s="44"/>
      <c r="AL34" s="44"/>
      <c r="AM34" s="44"/>
      <c r="AN34" s="44"/>
      <c r="AO34" s="44"/>
      <c r="AP34" s="48" t="str">
        <f t="shared" si="4"/>
        <v/>
      </c>
      <c r="AQ34" s="44"/>
      <c r="AR34" s="44"/>
      <c r="AS34" s="44"/>
      <c r="AT34" s="44"/>
      <c r="AU34" s="44"/>
      <c r="AV34" s="44"/>
      <c r="AW34" s="44"/>
      <c r="AX34" s="48" t="str">
        <f t="shared" si="5"/>
        <v/>
      </c>
      <c r="AY34" s="50"/>
      <c r="AZ34" s="50"/>
      <c r="BA34" s="50"/>
      <c r="BB34" s="50"/>
      <c r="BC34" s="50"/>
      <c r="BD34" s="50"/>
      <c r="BE34" s="50"/>
      <c r="BF34" s="48" t="str">
        <f t="shared" si="6"/>
        <v/>
      </c>
      <c r="BG34" s="44"/>
      <c r="BH34" s="44"/>
      <c r="BI34" s="44"/>
      <c r="BJ34" s="44"/>
      <c r="BK34" s="44"/>
      <c r="BL34" s="44"/>
      <c r="BM34" s="44"/>
      <c r="BN34" s="48" t="str">
        <f t="shared" si="7"/>
        <v/>
      </c>
      <c r="BO34" s="50"/>
      <c r="BP34" s="50"/>
      <c r="BQ34" s="50"/>
      <c r="BR34" s="50"/>
      <c r="BS34" s="50"/>
      <c r="BT34" s="50"/>
      <c r="BU34" s="50"/>
      <c r="BV34" s="48" t="str">
        <f t="shared" si="8"/>
        <v/>
      </c>
      <c r="BW34" s="44"/>
      <c r="BX34" s="44"/>
      <c r="BY34" s="44"/>
      <c r="BZ34" s="44"/>
      <c r="CA34" s="44"/>
      <c r="CB34" s="44"/>
      <c r="CC34" s="55"/>
      <c r="CD34" s="48" t="str">
        <f t="shared" si="9"/>
        <v/>
      </c>
    </row>
    <row r="35" spans="1:82" ht="40" customHeight="1" x14ac:dyDescent="0.15">
      <c r="A35" s="68" t="s">
        <v>103</v>
      </c>
      <c r="B35" s="69"/>
      <c r="C35" s="70"/>
      <c r="D35" s="44"/>
      <c r="E35" s="44"/>
      <c r="F35" s="44"/>
      <c r="G35" s="44"/>
      <c r="H35" s="44"/>
      <c r="I35" s="44"/>
      <c r="J35" s="48" t="str">
        <f t="shared" si="0"/>
        <v/>
      </c>
      <c r="K35" s="44"/>
      <c r="L35" s="44"/>
      <c r="M35" s="44"/>
      <c r="N35" s="44"/>
      <c r="O35" s="44"/>
      <c r="P35" s="44"/>
      <c r="Q35" s="44"/>
      <c r="R35" s="48" t="str">
        <f t="shared" si="1"/>
        <v/>
      </c>
      <c r="S35" s="47"/>
      <c r="T35" s="47"/>
      <c r="U35" s="47"/>
      <c r="V35" s="47"/>
      <c r="W35" s="47"/>
      <c r="X35" s="47"/>
      <c r="Y35" s="47"/>
      <c r="Z35" s="48" t="str">
        <f t="shared" si="2"/>
        <v/>
      </c>
      <c r="AA35" s="44"/>
      <c r="AB35" s="44"/>
      <c r="AC35" s="44"/>
      <c r="AD35" s="44"/>
      <c r="AE35" s="44"/>
      <c r="AF35" s="44"/>
      <c r="AG35" s="44"/>
      <c r="AH35" s="48" t="str">
        <f t="shared" si="3"/>
        <v/>
      </c>
      <c r="AI35" s="44"/>
      <c r="AJ35" s="44"/>
      <c r="AK35" s="44"/>
      <c r="AL35" s="44"/>
      <c r="AM35" s="44"/>
      <c r="AN35" s="44"/>
      <c r="AO35" s="44"/>
      <c r="AP35" s="48" t="str">
        <f t="shared" si="4"/>
        <v/>
      </c>
      <c r="AQ35" s="44"/>
      <c r="AR35" s="44"/>
      <c r="AS35" s="44"/>
      <c r="AT35" s="44"/>
      <c r="AU35" s="44"/>
      <c r="AV35" s="44"/>
      <c r="AW35" s="44"/>
      <c r="AX35" s="48" t="str">
        <f t="shared" si="5"/>
        <v/>
      </c>
      <c r="AY35" s="50"/>
      <c r="AZ35" s="50"/>
      <c r="BA35" s="50"/>
      <c r="BB35" s="50"/>
      <c r="BC35" s="50"/>
      <c r="BD35" s="50"/>
      <c r="BE35" s="50"/>
      <c r="BF35" s="48" t="str">
        <f t="shared" si="6"/>
        <v/>
      </c>
      <c r="BG35" s="44"/>
      <c r="BH35" s="44"/>
      <c r="BI35" s="44"/>
      <c r="BJ35" s="44"/>
      <c r="BK35" s="44"/>
      <c r="BL35" s="44"/>
      <c r="BM35" s="44"/>
      <c r="BN35" s="48" t="str">
        <f t="shared" si="7"/>
        <v/>
      </c>
      <c r="BO35" s="50"/>
      <c r="BP35" s="50"/>
      <c r="BQ35" s="50"/>
      <c r="BR35" s="50"/>
      <c r="BS35" s="50"/>
      <c r="BT35" s="50"/>
      <c r="BU35" s="50"/>
      <c r="BV35" s="48" t="str">
        <f t="shared" si="8"/>
        <v/>
      </c>
      <c r="BW35" s="44"/>
      <c r="BX35" s="44"/>
      <c r="BY35" s="44"/>
      <c r="BZ35" s="44"/>
      <c r="CA35" s="44"/>
      <c r="CB35" s="44"/>
      <c r="CC35" s="55"/>
      <c r="CD35" s="48" t="str">
        <f t="shared" si="9"/>
        <v/>
      </c>
    </row>
    <row r="36" spans="1:82" ht="40" customHeight="1" x14ac:dyDescent="0.15">
      <c r="A36" s="71" t="s">
        <v>104</v>
      </c>
      <c r="B36" s="72" t="s">
        <v>105</v>
      </c>
      <c r="C36" s="70"/>
      <c r="D36" s="44"/>
      <c r="E36" s="44"/>
      <c r="F36" s="44"/>
      <c r="G36" s="44"/>
      <c r="H36" s="44"/>
      <c r="I36" s="44"/>
      <c r="J36" s="48" t="str">
        <f t="shared" si="0"/>
        <v/>
      </c>
      <c r="K36" s="44"/>
      <c r="L36" s="44"/>
      <c r="M36" s="44"/>
      <c r="N36" s="44"/>
      <c r="O36" s="44"/>
      <c r="P36" s="44"/>
      <c r="Q36" s="44"/>
      <c r="R36" s="48" t="str">
        <f t="shared" si="1"/>
        <v/>
      </c>
      <c r="S36" s="47"/>
      <c r="T36" s="47"/>
      <c r="U36" s="47"/>
      <c r="V36" s="47"/>
      <c r="W36" s="47"/>
      <c r="X36" s="47"/>
      <c r="Y36" s="47"/>
      <c r="Z36" s="48" t="str">
        <f t="shared" si="2"/>
        <v/>
      </c>
      <c r="AA36" s="44"/>
      <c r="AB36" s="44"/>
      <c r="AC36" s="44"/>
      <c r="AD36" s="44"/>
      <c r="AE36" s="44"/>
      <c r="AF36" s="44"/>
      <c r="AG36" s="44"/>
      <c r="AH36" s="48" t="str">
        <f t="shared" si="3"/>
        <v/>
      </c>
      <c r="AI36" s="44"/>
      <c r="AJ36" s="44"/>
      <c r="AK36" s="44"/>
      <c r="AL36" s="44"/>
      <c r="AM36" s="44"/>
      <c r="AN36" s="44"/>
      <c r="AO36" s="44"/>
      <c r="AP36" s="48" t="str">
        <f t="shared" si="4"/>
        <v/>
      </c>
      <c r="AQ36" s="44"/>
      <c r="AR36" s="44"/>
      <c r="AS36" s="44"/>
      <c r="AT36" s="44"/>
      <c r="AU36" s="44"/>
      <c r="AV36" s="44"/>
      <c r="AW36" s="44"/>
      <c r="AX36" s="48" t="str">
        <f t="shared" si="5"/>
        <v/>
      </c>
      <c r="AY36" s="50"/>
      <c r="AZ36" s="50"/>
      <c r="BA36" s="50"/>
      <c r="BB36" s="50"/>
      <c r="BC36" s="50"/>
      <c r="BD36" s="50"/>
      <c r="BE36" s="50"/>
      <c r="BF36" s="48" t="str">
        <f t="shared" si="6"/>
        <v/>
      </c>
      <c r="BG36" s="44"/>
      <c r="BH36" s="44"/>
      <c r="BI36" s="44"/>
      <c r="BJ36" s="44"/>
      <c r="BK36" s="44"/>
      <c r="BL36" s="44"/>
      <c r="BM36" s="44"/>
      <c r="BN36" s="48" t="str">
        <f t="shared" si="7"/>
        <v/>
      </c>
      <c r="BO36" s="50"/>
      <c r="BP36" s="50"/>
      <c r="BQ36" s="50"/>
      <c r="BR36" s="50"/>
      <c r="BS36" s="50"/>
      <c r="BT36" s="50"/>
      <c r="BU36" s="50"/>
      <c r="BV36" s="48" t="str">
        <f t="shared" si="8"/>
        <v/>
      </c>
      <c r="BW36" s="44"/>
      <c r="BX36" s="44"/>
      <c r="BY36" s="44"/>
      <c r="BZ36" s="44"/>
      <c r="CA36" s="44"/>
      <c r="CB36" s="44"/>
      <c r="CC36" s="55"/>
      <c r="CD36" s="48" t="str">
        <f t="shared" si="9"/>
        <v/>
      </c>
    </row>
    <row r="37" spans="1:82" ht="40" customHeight="1" x14ac:dyDescent="0.15">
      <c r="A37" s="71" t="s">
        <v>106</v>
      </c>
      <c r="B37" s="72" t="s">
        <v>107</v>
      </c>
      <c r="C37" s="70"/>
      <c r="D37" s="44"/>
      <c r="E37" s="44"/>
      <c r="F37" s="44"/>
      <c r="G37" s="44"/>
      <c r="H37" s="44"/>
      <c r="I37" s="44"/>
      <c r="J37" s="48" t="str">
        <f t="shared" si="0"/>
        <v/>
      </c>
      <c r="K37" s="44"/>
      <c r="L37" s="44"/>
      <c r="M37" s="44"/>
      <c r="N37" s="44"/>
      <c r="O37" s="44"/>
      <c r="P37" s="44"/>
      <c r="Q37" s="44"/>
      <c r="R37" s="48" t="str">
        <f t="shared" si="1"/>
        <v/>
      </c>
      <c r="S37" s="47"/>
      <c r="T37" s="47"/>
      <c r="U37" s="47"/>
      <c r="V37" s="47"/>
      <c r="W37" s="47"/>
      <c r="X37" s="47"/>
      <c r="Y37" s="47"/>
      <c r="Z37" s="48" t="str">
        <f t="shared" si="2"/>
        <v/>
      </c>
      <c r="AA37" s="44"/>
      <c r="AB37" s="44"/>
      <c r="AC37" s="44"/>
      <c r="AD37" s="44"/>
      <c r="AE37" s="44"/>
      <c r="AF37" s="44"/>
      <c r="AG37" s="44"/>
      <c r="AH37" s="48" t="str">
        <f t="shared" si="3"/>
        <v/>
      </c>
      <c r="AI37" s="44"/>
      <c r="AJ37" s="44"/>
      <c r="AK37" s="44"/>
      <c r="AL37" s="44"/>
      <c r="AM37" s="44"/>
      <c r="AN37" s="44"/>
      <c r="AO37" s="44"/>
      <c r="AP37" s="48" t="str">
        <f t="shared" si="4"/>
        <v/>
      </c>
      <c r="AQ37" s="44"/>
      <c r="AR37" s="44"/>
      <c r="AS37" s="44"/>
      <c r="AT37" s="44"/>
      <c r="AU37" s="44"/>
      <c r="AV37" s="44"/>
      <c r="AW37" s="44"/>
      <c r="AX37" s="48" t="str">
        <f t="shared" si="5"/>
        <v/>
      </c>
      <c r="AY37" s="50"/>
      <c r="AZ37" s="50"/>
      <c r="BA37" s="50"/>
      <c r="BB37" s="50"/>
      <c r="BC37" s="50"/>
      <c r="BD37" s="50"/>
      <c r="BE37" s="50"/>
      <c r="BF37" s="48" t="str">
        <f t="shared" si="6"/>
        <v/>
      </c>
      <c r="BG37" s="44"/>
      <c r="BH37" s="44"/>
      <c r="BI37" s="44"/>
      <c r="BJ37" s="44"/>
      <c r="BK37" s="44"/>
      <c r="BL37" s="44"/>
      <c r="BM37" s="44"/>
      <c r="BN37" s="48" t="str">
        <f t="shared" si="7"/>
        <v/>
      </c>
      <c r="BO37" s="50"/>
      <c r="BP37" s="50"/>
      <c r="BQ37" s="50"/>
      <c r="BR37" s="50"/>
      <c r="BS37" s="50"/>
      <c r="BT37" s="50"/>
      <c r="BU37" s="50"/>
      <c r="BV37" s="48" t="str">
        <f t="shared" si="8"/>
        <v/>
      </c>
      <c r="BW37" s="44"/>
      <c r="BX37" s="44"/>
      <c r="BY37" s="44"/>
      <c r="BZ37" s="44"/>
      <c r="CA37" s="44"/>
      <c r="CB37" s="44"/>
      <c r="CC37" s="55"/>
      <c r="CD37" s="48" t="str">
        <f t="shared" si="9"/>
        <v/>
      </c>
    </row>
    <row r="38" spans="1:82" ht="40" customHeight="1" x14ac:dyDescent="0.15">
      <c r="A38" s="71" t="s">
        <v>108</v>
      </c>
      <c r="B38" s="72" t="s">
        <v>109</v>
      </c>
      <c r="C38" s="70"/>
      <c r="D38" s="44"/>
      <c r="E38" s="44"/>
      <c r="F38" s="44"/>
      <c r="G38" s="44"/>
      <c r="H38" s="44"/>
      <c r="I38" s="44"/>
      <c r="J38" s="48" t="str">
        <f t="shared" si="0"/>
        <v/>
      </c>
      <c r="K38" s="44"/>
      <c r="L38" s="44"/>
      <c r="M38" s="44"/>
      <c r="N38" s="44"/>
      <c r="O38" s="44"/>
      <c r="P38" s="44"/>
      <c r="Q38" s="44"/>
      <c r="R38" s="48" t="str">
        <f t="shared" si="1"/>
        <v/>
      </c>
      <c r="S38" s="47"/>
      <c r="T38" s="47"/>
      <c r="U38" s="47"/>
      <c r="V38" s="47"/>
      <c r="W38" s="47"/>
      <c r="X38" s="47"/>
      <c r="Y38" s="47"/>
      <c r="Z38" s="48" t="str">
        <f t="shared" si="2"/>
        <v/>
      </c>
      <c r="AA38" s="44"/>
      <c r="AB38" s="44"/>
      <c r="AC38" s="44"/>
      <c r="AD38" s="44"/>
      <c r="AE38" s="44"/>
      <c r="AF38" s="44"/>
      <c r="AG38" s="44"/>
      <c r="AH38" s="48" t="str">
        <f t="shared" si="3"/>
        <v/>
      </c>
      <c r="AI38" s="44"/>
      <c r="AJ38" s="44"/>
      <c r="AK38" s="44"/>
      <c r="AL38" s="44"/>
      <c r="AM38" s="44"/>
      <c r="AN38" s="44"/>
      <c r="AO38" s="44"/>
      <c r="AP38" s="48" t="str">
        <f t="shared" si="4"/>
        <v/>
      </c>
      <c r="AQ38" s="44"/>
      <c r="AR38" s="44"/>
      <c r="AS38" s="44"/>
      <c r="AT38" s="44"/>
      <c r="AU38" s="44"/>
      <c r="AV38" s="44"/>
      <c r="AW38" s="44"/>
      <c r="AX38" s="48" t="str">
        <f t="shared" si="5"/>
        <v/>
      </c>
      <c r="AY38" s="50"/>
      <c r="AZ38" s="50"/>
      <c r="BA38" s="50"/>
      <c r="BB38" s="50"/>
      <c r="BC38" s="50"/>
      <c r="BD38" s="50"/>
      <c r="BE38" s="50"/>
      <c r="BF38" s="48" t="str">
        <f t="shared" si="6"/>
        <v/>
      </c>
      <c r="BG38" s="44"/>
      <c r="BH38" s="44"/>
      <c r="BI38" s="44"/>
      <c r="BJ38" s="44"/>
      <c r="BK38" s="44"/>
      <c r="BL38" s="44"/>
      <c r="BM38" s="44"/>
      <c r="BN38" s="48" t="str">
        <f t="shared" si="7"/>
        <v/>
      </c>
      <c r="BO38" s="50"/>
      <c r="BP38" s="50"/>
      <c r="BQ38" s="50"/>
      <c r="BR38" s="50"/>
      <c r="BS38" s="50"/>
      <c r="BT38" s="50"/>
      <c r="BU38" s="50"/>
      <c r="BV38" s="48" t="str">
        <f t="shared" si="8"/>
        <v/>
      </c>
      <c r="BW38" s="44"/>
      <c r="BX38" s="44"/>
      <c r="BY38" s="44"/>
      <c r="BZ38" s="44"/>
      <c r="CA38" s="44"/>
      <c r="CB38" s="44"/>
      <c r="CC38" s="55"/>
      <c r="CD38" s="48" t="str">
        <f t="shared" si="9"/>
        <v/>
      </c>
    </row>
    <row r="39" spans="1:82" ht="40" customHeight="1" x14ac:dyDescent="0.15">
      <c r="A39" s="73" t="s">
        <v>110</v>
      </c>
      <c r="B39" s="74" t="s">
        <v>111</v>
      </c>
      <c r="C39" s="70"/>
      <c r="D39" s="44"/>
      <c r="E39" s="44"/>
      <c r="F39" s="44"/>
      <c r="G39" s="44"/>
      <c r="H39" s="44"/>
      <c r="I39" s="44"/>
      <c r="J39" s="48" t="str">
        <f t="shared" si="0"/>
        <v/>
      </c>
      <c r="K39" s="44"/>
      <c r="L39" s="44"/>
      <c r="M39" s="44"/>
      <c r="N39" s="44"/>
      <c r="O39" s="44"/>
      <c r="P39" s="44"/>
      <c r="Q39" s="44"/>
      <c r="R39" s="48" t="str">
        <f t="shared" si="1"/>
        <v/>
      </c>
      <c r="S39" s="47"/>
      <c r="T39" s="47"/>
      <c r="U39" s="47"/>
      <c r="V39" s="47"/>
      <c r="W39" s="47"/>
      <c r="X39" s="47"/>
      <c r="Y39" s="47"/>
      <c r="Z39" s="48" t="str">
        <f t="shared" si="2"/>
        <v/>
      </c>
      <c r="AA39" s="44"/>
      <c r="AB39" s="44"/>
      <c r="AC39" s="44"/>
      <c r="AD39" s="44"/>
      <c r="AE39" s="44"/>
      <c r="AF39" s="44"/>
      <c r="AG39" s="44"/>
      <c r="AH39" s="48" t="str">
        <f t="shared" si="3"/>
        <v/>
      </c>
      <c r="AI39" s="44"/>
      <c r="AJ39" s="44"/>
      <c r="AK39" s="44"/>
      <c r="AL39" s="44"/>
      <c r="AM39" s="44"/>
      <c r="AN39" s="44"/>
      <c r="AO39" s="44"/>
      <c r="AP39" s="48" t="str">
        <f t="shared" si="4"/>
        <v/>
      </c>
      <c r="AQ39" s="44"/>
      <c r="AR39" s="44"/>
      <c r="AS39" s="44"/>
      <c r="AT39" s="44"/>
      <c r="AU39" s="44"/>
      <c r="AV39" s="44"/>
      <c r="AW39" s="44"/>
      <c r="AX39" s="48" t="str">
        <f t="shared" si="5"/>
        <v/>
      </c>
      <c r="AY39" s="50"/>
      <c r="AZ39" s="50"/>
      <c r="BA39" s="50"/>
      <c r="BB39" s="50"/>
      <c r="BC39" s="50"/>
      <c r="BD39" s="50"/>
      <c r="BE39" s="50"/>
      <c r="BF39" s="48" t="str">
        <f t="shared" si="6"/>
        <v/>
      </c>
      <c r="BG39" s="44"/>
      <c r="BH39" s="44"/>
      <c r="BI39" s="44"/>
      <c r="BJ39" s="44"/>
      <c r="BK39" s="44"/>
      <c r="BL39" s="44"/>
      <c r="BM39" s="44"/>
      <c r="BN39" s="48" t="str">
        <f t="shared" si="7"/>
        <v/>
      </c>
      <c r="BO39" s="50"/>
      <c r="BP39" s="50"/>
      <c r="BQ39" s="50"/>
      <c r="BR39" s="50"/>
      <c r="BS39" s="50"/>
      <c r="BT39" s="50"/>
      <c r="BU39" s="50"/>
      <c r="BV39" s="48" t="str">
        <f t="shared" si="8"/>
        <v/>
      </c>
      <c r="BW39" s="44"/>
      <c r="BX39" s="44"/>
      <c r="BY39" s="44"/>
      <c r="BZ39" s="44"/>
      <c r="CA39" s="44"/>
      <c r="CB39" s="44"/>
      <c r="CC39" s="55"/>
      <c r="CD39" s="48" t="str">
        <f t="shared" si="9"/>
        <v/>
      </c>
    </row>
    <row r="40" spans="1:82" ht="40" customHeight="1" x14ac:dyDescent="0.15">
      <c r="A40" s="71" t="s">
        <v>112</v>
      </c>
      <c r="B40" s="72" t="s">
        <v>113</v>
      </c>
      <c r="C40" s="70"/>
      <c r="D40" s="44"/>
      <c r="E40" s="44"/>
      <c r="F40" s="44"/>
      <c r="G40" s="44"/>
      <c r="H40" s="44"/>
      <c r="I40" s="44"/>
      <c r="J40" s="48" t="str">
        <f t="shared" ref="J40:J71" si="10">IFERROR((SUM(C40:I40)/SUM($C$6:$I$6))*100,"")</f>
        <v/>
      </c>
      <c r="K40" s="44"/>
      <c r="L40" s="44"/>
      <c r="M40" s="44"/>
      <c r="N40" s="44"/>
      <c r="O40" s="44"/>
      <c r="P40" s="44"/>
      <c r="Q40" s="44"/>
      <c r="R40" s="48" t="str">
        <f t="shared" ref="R40:R71" si="11">IFERROR((SUM(K40:Q40)/SUM($K$6:$Q$6))*100,"")</f>
        <v/>
      </c>
      <c r="S40" s="47"/>
      <c r="T40" s="47"/>
      <c r="U40" s="47"/>
      <c r="V40" s="47"/>
      <c r="W40" s="47"/>
      <c r="X40" s="47"/>
      <c r="Y40" s="47"/>
      <c r="Z40" s="48" t="str">
        <f t="shared" ref="Z40:Z71" si="12">IFERROR((SUM(S40:Y40)/SUM($S$6:$Y$6))*100,"")</f>
        <v/>
      </c>
      <c r="AA40" s="44"/>
      <c r="AB40" s="44"/>
      <c r="AC40" s="44"/>
      <c r="AD40" s="44"/>
      <c r="AE40" s="44"/>
      <c r="AF40" s="44"/>
      <c r="AG40" s="44"/>
      <c r="AH40" s="48" t="str">
        <f t="shared" ref="AH40:AH71" si="13">IFERROR((SUM(AA40:AG40)/SUM($AA$6:$AG$6))*100,"")</f>
        <v/>
      </c>
      <c r="AI40" s="44"/>
      <c r="AJ40" s="44"/>
      <c r="AK40" s="44"/>
      <c r="AL40" s="44"/>
      <c r="AM40" s="44"/>
      <c r="AN40" s="44"/>
      <c r="AO40" s="44"/>
      <c r="AP40" s="48" t="str">
        <f t="shared" ref="AP40:AP71" si="14">IFERROR((SUM(AI40:AO40)/SUM($AI$6:$AO$6))*100,"")</f>
        <v/>
      </c>
      <c r="AQ40" s="44"/>
      <c r="AR40" s="44"/>
      <c r="AS40" s="44"/>
      <c r="AT40" s="44"/>
      <c r="AU40" s="44"/>
      <c r="AV40" s="44"/>
      <c r="AW40" s="44"/>
      <c r="AX40" s="48" t="str">
        <f t="shared" ref="AX40:AX71" si="15">IFERROR((SUM(AQ40:AW40)/SUM($AQ$6:$AW$6))*100,"")</f>
        <v/>
      </c>
      <c r="AY40" s="50"/>
      <c r="AZ40" s="50"/>
      <c r="BA40" s="50"/>
      <c r="BB40" s="50"/>
      <c r="BC40" s="50"/>
      <c r="BD40" s="50"/>
      <c r="BE40" s="50"/>
      <c r="BF40" s="48" t="str">
        <f t="shared" ref="BF40:BF71" si="16">IFERROR((SUM(AY40:BE40)/SUM($AY$6:$BE$6))*100,"")</f>
        <v/>
      </c>
      <c r="BG40" s="44"/>
      <c r="BH40" s="44"/>
      <c r="BI40" s="44"/>
      <c r="BJ40" s="44"/>
      <c r="BK40" s="44"/>
      <c r="BL40" s="44"/>
      <c r="BM40" s="44"/>
      <c r="BN40" s="48" t="str">
        <f t="shared" ref="BN40:BN71" si="17">IFERROR((SUM(BG40:BM40)/SUM($BG$6:$BM$6))*100,"")</f>
        <v/>
      </c>
      <c r="BO40" s="50"/>
      <c r="BP40" s="50"/>
      <c r="BQ40" s="50"/>
      <c r="BR40" s="50"/>
      <c r="BS40" s="50"/>
      <c r="BT40" s="50"/>
      <c r="BU40" s="50"/>
      <c r="BV40" s="48" t="str">
        <f t="shared" ref="BV40:BV71" si="18">IFERROR((SUM(BO40:BU40)/SUM($BP$6:$BU$6))*100,"")</f>
        <v/>
      </c>
      <c r="BW40" s="44"/>
      <c r="BX40" s="44"/>
      <c r="BY40" s="44"/>
      <c r="BZ40" s="44"/>
      <c r="CA40" s="44"/>
      <c r="CB40" s="44"/>
      <c r="CC40" s="55"/>
      <c r="CD40" s="48" t="str">
        <f t="shared" ref="CD40:CD71" si="19">IFERROR((SUM(BW40:CC40)/SUM($BW$6:$CC$6))*100,"")</f>
        <v/>
      </c>
    </row>
    <row r="41" spans="1:82" ht="40" customHeight="1" x14ac:dyDescent="0.15">
      <c r="A41" s="73" t="s">
        <v>114</v>
      </c>
      <c r="B41" s="74" t="s">
        <v>115</v>
      </c>
      <c r="C41" s="70"/>
      <c r="D41" s="44"/>
      <c r="E41" s="44"/>
      <c r="F41" s="44"/>
      <c r="G41" s="44"/>
      <c r="H41" s="44"/>
      <c r="I41" s="44"/>
      <c r="J41" s="48" t="str">
        <f t="shared" si="10"/>
        <v/>
      </c>
      <c r="K41" s="44"/>
      <c r="L41" s="44"/>
      <c r="M41" s="44"/>
      <c r="N41" s="44"/>
      <c r="O41" s="44"/>
      <c r="P41" s="44"/>
      <c r="Q41" s="44"/>
      <c r="R41" s="48" t="str">
        <f t="shared" si="11"/>
        <v/>
      </c>
      <c r="S41" s="47"/>
      <c r="T41" s="47"/>
      <c r="U41" s="47"/>
      <c r="V41" s="47"/>
      <c r="W41" s="47"/>
      <c r="X41" s="47"/>
      <c r="Y41" s="47"/>
      <c r="Z41" s="48" t="str">
        <f t="shared" si="12"/>
        <v/>
      </c>
      <c r="AA41" s="44"/>
      <c r="AB41" s="44"/>
      <c r="AC41" s="44"/>
      <c r="AD41" s="44"/>
      <c r="AE41" s="44"/>
      <c r="AF41" s="44"/>
      <c r="AG41" s="44"/>
      <c r="AH41" s="48" t="str">
        <f t="shared" si="13"/>
        <v/>
      </c>
      <c r="AI41" s="44"/>
      <c r="AJ41" s="44"/>
      <c r="AK41" s="44"/>
      <c r="AL41" s="44"/>
      <c r="AM41" s="44"/>
      <c r="AN41" s="44"/>
      <c r="AO41" s="44"/>
      <c r="AP41" s="48" t="str">
        <f t="shared" si="14"/>
        <v/>
      </c>
      <c r="AQ41" s="44"/>
      <c r="AR41" s="44"/>
      <c r="AS41" s="44"/>
      <c r="AT41" s="44"/>
      <c r="AU41" s="44"/>
      <c r="AV41" s="44"/>
      <c r="AW41" s="44"/>
      <c r="AX41" s="48" t="str">
        <f t="shared" si="15"/>
        <v/>
      </c>
      <c r="AY41" s="50"/>
      <c r="AZ41" s="50"/>
      <c r="BA41" s="50"/>
      <c r="BB41" s="50"/>
      <c r="BC41" s="50"/>
      <c r="BD41" s="50"/>
      <c r="BE41" s="50"/>
      <c r="BF41" s="48" t="str">
        <f t="shared" si="16"/>
        <v/>
      </c>
      <c r="BG41" s="44"/>
      <c r="BH41" s="44"/>
      <c r="BI41" s="44"/>
      <c r="BJ41" s="44"/>
      <c r="BK41" s="44"/>
      <c r="BL41" s="44"/>
      <c r="BM41" s="44"/>
      <c r="BN41" s="48" t="str">
        <f t="shared" si="17"/>
        <v/>
      </c>
      <c r="BO41" s="50"/>
      <c r="BP41" s="50"/>
      <c r="BQ41" s="50"/>
      <c r="BR41" s="50"/>
      <c r="BS41" s="50"/>
      <c r="BT41" s="50"/>
      <c r="BU41" s="50"/>
      <c r="BV41" s="48" t="str">
        <f t="shared" si="18"/>
        <v/>
      </c>
      <c r="BW41" s="44"/>
      <c r="BX41" s="44"/>
      <c r="BY41" s="44"/>
      <c r="BZ41" s="44"/>
      <c r="CA41" s="44"/>
      <c r="CB41" s="44"/>
      <c r="CC41" s="55"/>
      <c r="CD41" s="48" t="str">
        <f t="shared" si="19"/>
        <v/>
      </c>
    </row>
    <row r="42" spans="1:82" ht="40" customHeight="1" x14ac:dyDescent="0.15">
      <c r="A42" s="71" t="s">
        <v>116</v>
      </c>
      <c r="B42" s="72" t="s">
        <v>117</v>
      </c>
      <c r="C42" s="70"/>
      <c r="D42" s="44"/>
      <c r="E42" s="44"/>
      <c r="F42" s="44"/>
      <c r="G42" s="44"/>
      <c r="H42" s="44"/>
      <c r="I42" s="44"/>
      <c r="J42" s="48" t="str">
        <f t="shared" si="10"/>
        <v/>
      </c>
      <c r="K42" s="44"/>
      <c r="L42" s="44"/>
      <c r="M42" s="44"/>
      <c r="N42" s="44"/>
      <c r="O42" s="44"/>
      <c r="P42" s="44"/>
      <c r="Q42" s="44"/>
      <c r="R42" s="48" t="str">
        <f t="shared" si="11"/>
        <v/>
      </c>
      <c r="S42" s="47"/>
      <c r="T42" s="47"/>
      <c r="U42" s="47"/>
      <c r="V42" s="47"/>
      <c r="W42" s="47"/>
      <c r="X42" s="47"/>
      <c r="Y42" s="47"/>
      <c r="Z42" s="48" t="str">
        <f t="shared" si="12"/>
        <v/>
      </c>
      <c r="AA42" s="44"/>
      <c r="AB42" s="44"/>
      <c r="AC42" s="44"/>
      <c r="AD42" s="44"/>
      <c r="AE42" s="44"/>
      <c r="AF42" s="44"/>
      <c r="AG42" s="44"/>
      <c r="AH42" s="48" t="str">
        <f t="shared" si="13"/>
        <v/>
      </c>
      <c r="AI42" s="44"/>
      <c r="AJ42" s="44"/>
      <c r="AK42" s="44"/>
      <c r="AL42" s="44"/>
      <c r="AM42" s="44"/>
      <c r="AN42" s="44"/>
      <c r="AO42" s="44"/>
      <c r="AP42" s="48" t="str">
        <f t="shared" si="14"/>
        <v/>
      </c>
      <c r="AQ42" s="44"/>
      <c r="AR42" s="44"/>
      <c r="AS42" s="44"/>
      <c r="AT42" s="44"/>
      <c r="AU42" s="44"/>
      <c r="AV42" s="44"/>
      <c r="AW42" s="44"/>
      <c r="AX42" s="48" t="str">
        <f t="shared" si="15"/>
        <v/>
      </c>
      <c r="AY42" s="50"/>
      <c r="AZ42" s="50"/>
      <c r="BA42" s="50"/>
      <c r="BB42" s="50"/>
      <c r="BC42" s="50"/>
      <c r="BD42" s="50"/>
      <c r="BE42" s="50"/>
      <c r="BF42" s="48" t="str">
        <f t="shared" si="16"/>
        <v/>
      </c>
      <c r="BG42" s="44"/>
      <c r="BH42" s="44"/>
      <c r="BI42" s="44"/>
      <c r="BJ42" s="44"/>
      <c r="BK42" s="44"/>
      <c r="BL42" s="44"/>
      <c r="BM42" s="44"/>
      <c r="BN42" s="48" t="str">
        <f t="shared" si="17"/>
        <v/>
      </c>
      <c r="BO42" s="50"/>
      <c r="BP42" s="50"/>
      <c r="BQ42" s="50"/>
      <c r="BR42" s="50"/>
      <c r="BS42" s="50"/>
      <c r="BT42" s="50"/>
      <c r="BU42" s="50"/>
      <c r="BV42" s="48" t="str">
        <f t="shared" si="18"/>
        <v/>
      </c>
      <c r="BW42" s="44"/>
      <c r="BX42" s="44"/>
      <c r="BY42" s="44"/>
      <c r="BZ42" s="44"/>
      <c r="CA42" s="44"/>
      <c r="CB42" s="44"/>
      <c r="CC42" s="55"/>
      <c r="CD42" s="48" t="str">
        <f t="shared" si="19"/>
        <v/>
      </c>
    </row>
    <row r="43" spans="1:82" ht="40" customHeight="1" x14ac:dyDescent="0.15">
      <c r="A43" s="73" t="s">
        <v>118</v>
      </c>
      <c r="B43" s="74" t="s">
        <v>119</v>
      </c>
      <c r="C43" s="70"/>
      <c r="D43" s="44"/>
      <c r="E43" s="44"/>
      <c r="F43" s="44"/>
      <c r="G43" s="44"/>
      <c r="H43" s="44"/>
      <c r="I43" s="44"/>
      <c r="J43" s="48" t="str">
        <f t="shared" si="10"/>
        <v/>
      </c>
      <c r="K43" s="44"/>
      <c r="L43" s="44"/>
      <c r="M43" s="44"/>
      <c r="N43" s="44"/>
      <c r="O43" s="44"/>
      <c r="P43" s="44"/>
      <c r="Q43" s="44"/>
      <c r="R43" s="48" t="str">
        <f t="shared" si="11"/>
        <v/>
      </c>
      <c r="S43" s="47"/>
      <c r="T43" s="47"/>
      <c r="U43" s="47"/>
      <c r="V43" s="47"/>
      <c r="W43" s="47"/>
      <c r="X43" s="47"/>
      <c r="Y43" s="47"/>
      <c r="Z43" s="48" t="str">
        <f t="shared" si="12"/>
        <v/>
      </c>
      <c r="AA43" s="44"/>
      <c r="AB43" s="44"/>
      <c r="AC43" s="44"/>
      <c r="AD43" s="44"/>
      <c r="AE43" s="44"/>
      <c r="AF43" s="44"/>
      <c r="AG43" s="44"/>
      <c r="AH43" s="48" t="str">
        <f t="shared" si="13"/>
        <v/>
      </c>
      <c r="AI43" s="44"/>
      <c r="AJ43" s="44"/>
      <c r="AK43" s="44"/>
      <c r="AL43" s="44"/>
      <c r="AM43" s="44"/>
      <c r="AN43" s="44"/>
      <c r="AO43" s="44"/>
      <c r="AP43" s="48" t="str">
        <f t="shared" si="14"/>
        <v/>
      </c>
      <c r="AQ43" s="44"/>
      <c r="AR43" s="44"/>
      <c r="AS43" s="44"/>
      <c r="AT43" s="44"/>
      <c r="AU43" s="44"/>
      <c r="AV43" s="44"/>
      <c r="AW43" s="44"/>
      <c r="AX43" s="48" t="str">
        <f t="shared" si="15"/>
        <v/>
      </c>
      <c r="AY43" s="50"/>
      <c r="AZ43" s="50"/>
      <c r="BA43" s="50"/>
      <c r="BB43" s="50"/>
      <c r="BC43" s="50"/>
      <c r="BD43" s="50"/>
      <c r="BE43" s="50"/>
      <c r="BF43" s="48" t="str">
        <f t="shared" si="16"/>
        <v/>
      </c>
      <c r="BG43" s="44"/>
      <c r="BH43" s="44"/>
      <c r="BI43" s="44"/>
      <c r="BJ43" s="44"/>
      <c r="BK43" s="44"/>
      <c r="BL43" s="44"/>
      <c r="BM43" s="44"/>
      <c r="BN43" s="48" t="str">
        <f t="shared" si="17"/>
        <v/>
      </c>
      <c r="BO43" s="50"/>
      <c r="BP43" s="50"/>
      <c r="BQ43" s="50"/>
      <c r="BR43" s="50"/>
      <c r="BS43" s="50"/>
      <c r="BT43" s="50"/>
      <c r="BU43" s="50"/>
      <c r="BV43" s="48" t="str">
        <f t="shared" si="18"/>
        <v/>
      </c>
      <c r="BW43" s="44"/>
      <c r="BX43" s="44"/>
      <c r="BY43" s="44"/>
      <c r="BZ43" s="44"/>
      <c r="CA43" s="44"/>
      <c r="CB43" s="44"/>
      <c r="CC43" s="55"/>
      <c r="CD43" s="48" t="str">
        <f t="shared" si="19"/>
        <v/>
      </c>
    </row>
    <row r="44" spans="1:82" ht="40" customHeight="1" x14ac:dyDescent="0.15">
      <c r="A44" s="71" t="s">
        <v>120</v>
      </c>
      <c r="B44" s="72" t="s">
        <v>121</v>
      </c>
      <c r="C44" s="70"/>
      <c r="D44" s="44"/>
      <c r="E44" s="44"/>
      <c r="F44" s="44"/>
      <c r="G44" s="44"/>
      <c r="H44" s="44"/>
      <c r="I44" s="44"/>
      <c r="J44" s="48" t="str">
        <f t="shared" si="10"/>
        <v/>
      </c>
      <c r="K44" s="44"/>
      <c r="L44" s="44"/>
      <c r="M44" s="44"/>
      <c r="N44" s="44"/>
      <c r="O44" s="44"/>
      <c r="P44" s="44"/>
      <c r="Q44" s="44"/>
      <c r="R44" s="48" t="str">
        <f t="shared" si="11"/>
        <v/>
      </c>
      <c r="S44" s="47"/>
      <c r="T44" s="47"/>
      <c r="U44" s="47"/>
      <c r="V44" s="47"/>
      <c r="W44" s="47"/>
      <c r="X44" s="47"/>
      <c r="Y44" s="47"/>
      <c r="Z44" s="48" t="str">
        <f t="shared" si="12"/>
        <v/>
      </c>
      <c r="AA44" s="44"/>
      <c r="AB44" s="44"/>
      <c r="AC44" s="44"/>
      <c r="AD44" s="44"/>
      <c r="AE44" s="44"/>
      <c r="AF44" s="44"/>
      <c r="AG44" s="44"/>
      <c r="AH44" s="48" t="str">
        <f t="shared" si="13"/>
        <v/>
      </c>
      <c r="AI44" s="44"/>
      <c r="AJ44" s="44"/>
      <c r="AK44" s="44"/>
      <c r="AL44" s="44"/>
      <c r="AM44" s="44"/>
      <c r="AN44" s="44"/>
      <c r="AO44" s="44"/>
      <c r="AP44" s="48" t="str">
        <f t="shared" si="14"/>
        <v/>
      </c>
      <c r="AQ44" s="44"/>
      <c r="AR44" s="44"/>
      <c r="AS44" s="44"/>
      <c r="AT44" s="44"/>
      <c r="AU44" s="44"/>
      <c r="AV44" s="44"/>
      <c r="AW44" s="44"/>
      <c r="AX44" s="48" t="str">
        <f t="shared" si="15"/>
        <v/>
      </c>
      <c r="AY44" s="50"/>
      <c r="AZ44" s="50"/>
      <c r="BA44" s="50"/>
      <c r="BB44" s="50"/>
      <c r="BC44" s="50"/>
      <c r="BD44" s="50"/>
      <c r="BE44" s="50"/>
      <c r="BF44" s="48" t="str">
        <f t="shared" si="16"/>
        <v/>
      </c>
      <c r="BG44" s="44"/>
      <c r="BH44" s="44"/>
      <c r="BI44" s="44"/>
      <c r="BJ44" s="44"/>
      <c r="BK44" s="44"/>
      <c r="BL44" s="44"/>
      <c r="BM44" s="44"/>
      <c r="BN44" s="48" t="str">
        <f t="shared" si="17"/>
        <v/>
      </c>
      <c r="BO44" s="50"/>
      <c r="BP44" s="50"/>
      <c r="BQ44" s="50"/>
      <c r="BR44" s="50"/>
      <c r="BS44" s="50"/>
      <c r="BT44" s="50"/>
      <c r="BU44" s="50"/>
      <c r="BV44" s="48" t="str">
        <f t="shared" si="18"/>
        <v/>
      </c>
      <c r="BW44" s="44"/>
      <c r="BX44" s="44"/>
      <c r="BY44" s="44"/>
      <c r="BZ44" s="44"/>
      <c r="CA44" s="44"/>
      <c r="CB44" s="44"/>
      <c r="CC44" s="55"/>
      <c r="CD44" s="48" t="str">
        <f t="shared" si="19"/>
        <v/>
      </c>
    </row>
    <row r="45" spans="1:82" ht="40" customHeight="1" x14ac:dyDescent="0.15">
      <c r="A45" s="73" t="s">
        <v>122</v>
      </c>
      <c r="B45" s="74" t="s">
        <v>123</v>
      </c>
      <c r="C45" s="70"/>
      <c r="D45" s="44"/>
      <c r="E45" s="44"/>
      <c r="F45" s="44"/>
      <c r="G45" s="44"/>
      <c r="H45" s="44"/>
      <c r="I45" s="44"/>
      <c r="J45" s="48" t="str">
        <f t="shared" si="10"/>
        <v/>
      </c>
      <c r="K45" s="44"/>
      <c r="L45" s="44"/>
      <c r="M45" s="44"/>
      <c r="N45" s="44"/>
      <c r="O45" s="44"/>
      <c r="P45" s="44"/>
      <c r="Q45" s="44"/>
      <c r="R45" s="48" t="str">
        <f t="shared" si="11"/>
        <v/>
      </c>
      <c r="S45" s="47"/>
      <c r="T45" s="47"/>
      <c r="U45" s="47"/>
      <c r="V45" s="47"/>
      <c r="W45" s="47"/>
      <c r="X45" s="47"/>
      <c r="Y45" s="47"/>
      <c r="Z45" s="48" t="str">
        <f t="shared" si="12"/>
        <v/>
      </c>
      <c r="AA45" s="44"/>
      <c r="AB45" s="44"/>
      <c r="AC45" s="44"/>
      <c r="AD45" s="44"/>
      <c r="AE45" s="44"/>
      <c r="AF45" s="44"/>
      <c r="AG45" s="44"/>
      <c r="AH45" s="48" t="str">
        <f t="shared" si="13"/>
        <v/>
      </c>
      <c r="AI45" s="44"/>
      <c r="AJ45" s="44"/>
      <c r="AK45" s="44"/>
      <c r="AL45" s="44"/>
      <c r="AM45" s="44"/>
      <c r="AN45" s="44"/>
      <c r="AO45" s="44"/>
      <c r="AP45" s="48" t="str">
        <f t="shared" si="14"/>
        <v/>
      </c>
      <c r="AQ45" s="44"/>
      <c r="AR45" s="44"/>
      <c r="AS45" s="44"/>
      <c r="AT45" s="44"/>
      <c r="AU45" s="44"/>
      <c r="AV45" s="44"/>
      <c r="AW45" s="44"/>
      <c r="AX45" s="48" t="str">
        <f t="shared" si="15"/>
        <v/>
      </c>
      <c r="AY45" s="50"/>
      <c r="AZ45" s="50"/>
      <c r="BA45" s="50"/>
      <c r="BB45" s="50"/>
      <c r="BC45" s="50"/>
      <c r="BD45" s="50"/>
      <c r="BE45" s="50"/>
      <c r="BF45" s="48" t="str">
        <f t="shared" si="16"/>
        <v/>
      </c>
      <c r="BG45" s="44"/>
      <c r="BH45" s="44"/>
      <c r="BI45" s="44"/>
      <c r="BJ45" s="44"/>
      <c r="BK45" s="44"/>
      <c r="BL45" s="44"/>
      <c r="BM45" s="44"/>
      <c r="BN45" s="48" t="str">
        <f t="shared" si="17"/>
        <v/>
      </c>
      <c r="BO45" s="50"/>
      <c r="BP45" s="50"/>
      <c r="BQ45" s="50"/>
      <c r="BR45" s="50"/>
      <c r="BS45" s="50"/>
      <c r="BT45" s="50"/>
      <c r="BU45" s="50"/>
      <c r="BV45" s="48" t="str">
        <f t="shared" si="18"/>
        <v/>
      </c>
      <c r="BW45" s="44"/>
      <c r="BX45" s="44"/>
      <c r="BY45" s="44"/>
      <c r="BZ45" s="44"/>
      <c r="CA45" s="44"/>
      <c r="CB45" s="44"/>
      <c r="CC45" s="55"/>
      <c r="CD45" s="48" t="str">
        <f t="shared" si="19"/>
        <v/>
      </c>
    </row>
    <row r="46" spans="1:82" ht="40" customHeight="1" x14ac:dyDescent="0.15">
      <c r="A46" s="71" t="s">
        <v>125</v>
      </c>
      <c r="B46" s="72" t="s">
        <v>126</v>
      </c>
      <c r="C46" s="70"/>
      <c r="D46" s="44"/>
      <c r="E46" s="44"/>
      <c r="F46" s="44"/>
      <c r="G46" s="44"/>
      <c r="H46" s="44"/>
      <c r="I46" s="44"/>
      <c r="J46" s="48" t="str">
        <f t="shared" si="10"/>
        <v/>
      </c>
      <c r="K46" s="44"/>
      <c r="L46" s="44"/>
      <c r="M46" s="44"/>
      <c r="N46" s="44"/>
      <c r="O46" s="44"/>
      <c r="P46" s="44"/>
      <c r="Q46" s="44"/>
      <c r="R46" s="48" t="str">
        <f t="shared" si="11"/>
        <v/>
      </c>
      <c r="S46" s="47"/>
      <c r="T46" s="47"/>
      <c r="U46" s="47"/>
      <c r="V46" s="47"/>
      <c r="W46" s="47"/>
      <c r="X46" s="47"/>
      <c r="Y46" s="47"/>
      <c r="Z46" s="48" t="str">
        <f t="shared" si="12"/>
        <v/>
      </c>
      <c r="AA46" s="44"/>
      <c r="AB46" s="44"/>
      <c r="AC46" s="44"/>
      <c r="AD46" s="44"/>
      <c r="AE46" s="44"/>
      <c r="AF46" s="44"/>
      <c r="AG46" s="44"/>
      <c r="AH46" s="48" t="str">
        <f t="shared" si="13"/>
        <v/>
      </c>
      <c r="AI46" s="44"/>
      <c r="AJ46" s="44"/>
      <c r="AK46" s="44"/>
      <c r="AL46" s="44"/>
      <c r="AM46" s="44"/>
      <c r="AN46" s="44"/>
      <c r="AO46" s="44"/>
      <c r="AP46" s="48" t="str">
        <f t="shared" si="14"/>
        <v/>
      </c>
      <c r="AQ46" s="44"/>
      <c r="AR46" s="44"/>
      <c r="AS46" s="44"/>
      <c r="AT46" s="44"/>
      <c r="AU46" s="44"/>
      <c r="AV46" s="44"/>
      <c r="AW46" s="44"/>
      <c r="AX46" s="48" t="str">
        <f t="shared" si="15"/>
        <v/>
      </c>
      <c r="AY46" s="50"/>
      <c r="AZ46" s="50"/>
      <c r="BA46" s="50"/>
      <c r="BB46" s="50"/>
      <c r="BC46" s="50"/>
      <c r="BD46" s="50"/>
      <c r="BE46" s="50"/>
      <c r="BF46" s="48" t="str">
        <f t="shared" si="16"/>
        <v/>
      </c>
      <c r="BG46" s="44"/>
      <c r="BH46" s="44"/>
      <c r="BI46" s="44"/>
      <c r="BJ46" s="44"/>
      <c r="BK46" s="44"/>
      <c r="BL46" s="44"/>
      <c r="BM46" s="44"/>
      <c r="BN46" s="48" t="str">
        <f t="shared" si="17"/>
        <v/>
      </c>
      <c r="BO46" s="50"/>
      <c r="BP46" s="50"/>
      <c r="BQ46" s="50"/>
      <c r="BR46" s="50"/>
      <c r="BS46" s="50"/>
      <c r="BT46" s="50"/>
      <c r="BU46" s="50"/>
      <c r="BV46" s="48" t="str">
        <f t="shared" si="18"/>
        <v/>
      </c>
      <c r="BW46" s="44"/>
      <c r="BX46" s="44"/>
      <c r="BY46" s="44"/>
      <c r="BZ46" s="44"/>
      <c r="CA46" s="44"/>
      <c r="CB46" s="44"/>
      <c r="CC46" s="55"/>
      <c r="CD46" s="48" t="str">
        <f t="shared" si="19"/>
        <v/>
      </c>
    </row>
    <row r="47" spans="1:82" ht="40" customHeight="1" x14ac:dyDescent="0.15">
      <c r="A47" s="73" t="s">
        <v>127</v>
      </c>
      <c r="B47" s="74" t="s">
        <v>128</v>
      </c>
      <c r="C47" s="70"/>
      <c r="D47" s="44"/>
      <c r="E47" s="44"/>
      <c r="F47" s="44"/>
      <c r="G47" s="44"/>
      <c r="H47" s="44"/>
      <c r="I47" s="44"/>
      <c r="J47" s="48" t="str">
        <f t="shared" si="10"/>
        <v/>
      </c>
      <c r="K47" s="44"/>
      <c r="L47" s="44"/>
      <c r="M47" s="44"/>
      <c r="N47" s="44"/>
      <c r="O47" s="44"/>
      <c r="P47" s="44"/>
      <c r="Q47" s="44"/>
      <c r="R47" s="48" t="str">
        <f t="shared" si="11"/>
        <v/>
      </c>
      <c r="S47" s="47"/>
      <c r="T47" s="47"/>
      <c r="U47" s="47"/>
      <c r="V47" s="47"/>
      <c r="W47" s="47"/>
      <c r="X47" s="47"/>
      <c r="Y47" s="47"/>
      <c r="Z47" s="48" t="str">
        <f t="shared" si="12"/>
        <v/>
      </c>
      <c r="AA47" s="44"/>
      <c r="AB47" s="44"/>
      <c r="AC47" s="44"/>
      <c r="AD47" s="44"/>
      <c r="AE47" s="44"/>
      <c r="AF47" s="44"/>
      <c r="AG47" s="44"/>
      <c r="AH47" s="48" t="str">
        <f t="shared" si="13"/>
        <v/>
      </c>
      <c r="AI47" s="44"/>
      <c r="AJ47" s="44"/>
      <c r="AK47" s="44"/>
      <c r="AL47" s="44"/>
      <c r="AM47" s="44"/>
      <c r="AN47" s="44"/>
      <c r="AO47" s="44"/>
      <c r="AP47" s="48" t="str">
        <f t="shared" si="14"/>
        <v/>
      </c>
      <c r="AQ47" s="44"/>
      <c r="AR47" s="44"/>
      <c r="AS47" s="44"/>
      <c r="AT47" s="44"/>
      <c r="AU47" s="44"/>
      <c r="AV47" s="44"/>
      <c r="AW47" s="44"/>
      <c r="AX47" s="48" t="str">
        <f t="shared" si="15"/>
        <v/>
      </c>
      <c r="AY47" s="50"/>
      <c r="AZ47" s="50"/>
      <c r="BA47" s="50"/>
      <c r="BB47" s="50"/>
      <c r="BC47" s="50"/>
      <c r="BD47" s="50"/>
      <c r="BE47" s="50"/>
      <c r="BF47" s="48" t="str">
        <f t="shared" si="16"/>
        <v/>
      </c>
      <c r="BG47" s="44"/>
      <c r="BH47" s="44"/>
      <c r="BI47" s="44"/>
      <c r="BJ47" s="44"/>
      <c r="BK47" s="44"/>
      <c r="BL47" s="44"/>
      <c r="BM47" s="44"/>
      <c r="BN47" s="48" t="str">
        <f t="shared" si="17"/>
        <v/>
      </c>
      <c r="BO47" s="50"/>
      <c r="BP47" s="50"/>
      <c r="BQ47" s="50"/>
      <c r="BR47" s="50"/>
      <c r="BS47" s="50"/>
      <c r="BT47" s="50"/>
      <c r="BU47" s="50"/>
      <c r="BV47" s="48" t="str">
        <f t="shared" si="18"/>
        <v/>
      </c>
      <c r="BW47" s="44"/>
      <c r="BX47" s="44"/>
      <c r="BY47" s="44"/>
      <c r="BZ47" s="44"/>
      <c r="CA47" s="44"/>
      <c r="CB47" s="44"/>
      <c r="CC47" s="55"/>
      <c r="CD47" s="48" t="str">
        <f t="shared" si="19"/>
        <v/>
      </c>
    </row>
    <row r="48" spans="1:82" ht="40" customHeight="1" x14ac:dyDescent="0.15">
      <c r="A48" s="71" t="s">
        <v>130</v>
      </c>
      <c r="B48" s="72" t="s">
        <v>131</v>
      </c>
      <c r="C48" s="70"/>
      <c r="D48" s="44"/>
      <c r="E48" s="44"/>
      <c r="F48" s="44"/>
      <c r="G48" s="44"/>
      <c r="H48" s="44"/>
      <c r="I48" s="44"/>
      <c r="J48" s="48" t="str">
        <f t="shared" si="10"/>
        <v/>
      </c>
      <c r="K48" s="44"/>
      <c r="L48" s="44"/>
      <c r="M48" s="44"/>
      <c r="N48" s="44"/>
      <c r="O48" s="44"/>
      <c r="P48" s="44"/>
      <c r="Q48" s="44"/>
      <c r="R48" s="48" t="str">
        <f t="shared" si="11"/>
        <v/>
      </c>
      <c r="S48" s="47"/>
      <c r="T48" s="47"/>
      <c r="U48" s="47"/>
      <c r="V48" s="47"/>
      <c r="W48" s="47"/>
      <c r="X48" s="47"/>
      <c r="Y48" s="47"/>
      <c r="Z48" s="48" t="str">
        <f t="shared" si="12"/>
        <v/>
      </c>
      <c r="AA48" s="44"/>
      <c r="AB48" s="44"/>
      <c r="AC48" s="44"/>
      <c r="AD48" s="44"/>
      <c r="AE48" s="44"/>
      <c r="AF48" s="44"/>
      <c r="AG48" s="44"/>
      <c r="AH48" s="48" t="str">
        <f t="shared" si="13"/>
        <v/>
      </c>
      <c r="AI48" s="44"/>
      <c r="AJ48" s="44"/>
      <c r="AK48" s="44"/>
      <c r="AL48" s="44"/>
      <c r="AM48" s="44"/>
      <c r="AN48" s="44"/>
      <c r="AO48" s="44"/>
      <c r="AP48" s="48" t="str">
        <f t="shared" si="14"/>
        <v/>
      </c>
      <c r="AQ48" s="44"/>
      <c r="AR48" s="44"/>
      <c r="AS48" s="44"/>
      <c r="AT48" s="44"/>
      <c r="AU48" s="44"/>
      <c r="AV48" s="44"/>
      <c r="AW48" s="44"/>
      <c r="AX48" s="48" t="str">
        <f t="shared" si="15"/>
        <v/>
      </c>
      <c r="AY48" s="50"/>
      <c r="AZ48" s="50"/>
      <c r="BA48" s="50"/>
      <c r="BB48" s="50"/>
      <c r="BC48" s="50"/>
      <c r="BD48" s="50"/>
      <c r="BE48" s="50"/>
      <c r="BF48" s="48" t="str">
        <f t="shared" si="16"/>
        <v/>
      </c>
      <c r="BG48" s="44"/>
      <c r="BH48" s="44"/>
      <c r="BI48" s="44"/>
      <c r="BJ48" s="44"/>
      <c r="BK48" s="44"/>
      <c r="BL48" s="44"/>
      <c r="BM48" s="44"/>
      <c r="BN48" s="48" t="str">
        <f t="shared" si="17"/>
        <v/>
      </c>
      <c r="BO48" s="50"/>
      <c r="BP48" s="50"/>
      <c r="BQ48" s="50"/>
      <c r="BR48" s="50"/>
      <c r="BS48" s="50"/>
      <c r="BT48" s="50"/>
      <c r="BU48" s="50"/>
      <c r="BV48" s="48" t="str">
        <f t="shared" si="18"/>
        <v/>
      </c>
      <c r="BW48" s="44"/>
      <c r="BX48" s="44"/>
      <c r="BY48" s="44"/>
      <c r="BZ48" s="44"/>
      <c r="CA48" s="44"/>
      <c r="CB48" s="44"/>
      <c r="CC48" s="55"/>
      <c r="CD48" s="48" t="str">
        <f t="shared" si="19"/>
        <v/>
      </c>
    </row>
    <row r="49" spans="1:82" ht="40" customHeight="1" x14ac:dyDescent="0.15">
      <c r="A49" s="73" t="s">
        <v>132</v>
      </c>
      <c r="B49" s="74" t="s">
        <v>133</v>
      </c>
      <c r="C49" s="70"/>
      <c r="D49" s="44"/>
      <c r="E49" s="44"/>
      <c r="F49" s="44"/>
      <c r="G49" s="44"/>
      <c r="H49" s="44"/>
      <c r="I49" s="44"/>
      <c r="J49" s="48" t="str">
        <f t="shared" si="10"/>
        <v/>
      </c>
      <c r="K49" s="44"/>
      <c r="L49" s="44"/>
      <c r="M49" s="44"/>
      <c r="N49" s="44"/>
      <c r="O49" s="44"/>
      <c r="P49" s="44"/>
      <c r="Q49" s="44"/>
      <c r="R49" s="48" t="str">
        <f t="shared" si="11"/>
        <v/>
      </c>
      <c r="S49" s="47"/>
      <c r="T49" s="47"/>
      <c r="U49" s="47"/>
      <c r="V49" s="47"/>
      <c r="W49" s="47"/>
      <c r="X49" s="47"/>
      <c r="Y49" s="47"/>
      <c r="Z49" s="48" t="str">
        <f t="shared" si="12"/>
        <v/>
      </c>
      <c r="AA49" s="44"/>
      <c r="AB49" s="44"/>
      <c r="AC49" s="44"/>
      <c r="AD49" s="44"/>
      <c r="AE49" s="44"/>
      <c r="AF49" s="44"/>
      <c r="AG49" s="44"/>
      <c r="AH49" s="48" t="str">
        <f t="shared" si="13"/>
        <v/>
      </c>
      <c r="AI49" s="44"/>
      <c r="AJ49" s="44"/>
      <c r="AK49" s="44"/>
      <c r="AL49" s="44"/>
      <c r="AM49" s="44"/>
      <c r="AN49" s="44"/>
      <c r="AO49" s="44"/>
      <c r="AP49" s="48" t="str">
        <f t="shared" si="14"/>
        <v/>
      </c>
      <c r="AQ49" s="44"/>
      <c r="AR49" s="44"/>
      <c r="AS49" s="44"/>
      <c r="AT49" s="44"/>
      <c r="AU49" s="44"/>
      <c r="AV49" s="44"/>
      <c r="AW49" s="44"/>
      <c r="AX49" s="48" t="str">
        <f t="shared" si="15"/>
        <v/>
      </c>
      <c r="AY49" s="50"/>
      <c r="AZ49" s="50"/>
      <c r="BA49" s="50"/>
      <c r="BB49" s="50"/>
      <c r="BC49" s="50"/>
      <c r="BD49" s="50"/>
      <c r="BE49" s="50"/>
      <c r="BF49" s="48" t="str">
        <f t="shared" si="16"/>
        <v/>
      </c>
      <c r="BG49" s="44"/>
      <c r="BH49" s="44"/>
      <c r="BI49" s="44"/>
      <c r="BJ49" s="44"/>
      <c r="BK49" s="44"/>
      <c r="BL49" s="44"/>
      <c r="BM49" s="44"/>
      <c r="BN49" s="48" t="str">
        <f t="shared" si="17"/>
        <v/>
      </c>
      <c r="BO49" s="50"/>
      <c r="BP49" s="50"/>
      <c r="BQ49" s="50"/>
      <c r="BR49" s="50"/>
      <c r="BS49" s="50"/>
      <c r="BT49" s="50"/>
      <c r="BU49" s="50"/>
      <c r="BV49" s="48" t="str">
        <f t="shared" si="18"/>
        <v/>
      </c>
      <c r="BW49" s="44"/>
      <c r="BX49" s="44"/>
      <c r="BY49" s="44"/>
      <c r="BZ49" s="44"/>
      <c r="CA49" s="44"/>
      <c r="CB49" s="44"/>
      <c r="CC49" s="55"/>
      <c r="CD49" s="48" t="str">
        <f t="shared" si="19"/>
        <v/>
      </c>
    </row>
    <row r="50" spans="1:82" ht="40" customHeight="1" x14ac:dyDescent="0.15">
      <c r="A50" s="71" t="s">
        <v>135</v>
      </c>
      <c r="B50" s="72" t="s">
        <v>136</v>
      </c>
      <c r="C50" s="70"/>
      <c r="D50" s="44"/>
      <c r="E50" s="44"/>
      <c r="F50" s="44"/>
      <c r="G50" s="44"/>
      <c r="H50" s="44"/>
      <c r="I50" s="44"/>
      <c r="J50" s="48" t="str">
        <f t="shared" si="10"/>
        <v/>
      </c>
      <c r="K50" s="44"/>
      <c r="L50" s="44"/>
      <c r="M50" s="44"/>
      <c r="N50" s="44"/>
      <c r="O50" s="44"/>
      <c r="P50" s="44"/>
      <c r="Q50" s="44"/>
      <c r="R50" s="48" t="str">
        <f t="shared" si="11"/>
        <v/>
      </c>
      <c r="S50" s="47"/>
      <c r="T50" s="47"/>
      <c r="U50" s="47"/>
      <c r="V50" s="47"/>
      <c r="W50" s="47"/>
      <c r="X50" s="47"/>
      <c r="Y50" s="47"/>
      <c r="Z50" s="48" t="str">
        <f t="shared" si="12"/>
        <v/>
      </c>
      <c r="AA50" s="44"/>
      <c r="AB50" s="44"/>
      <c r="AC50" s="44"/>
      <c r="AD50" s="44"/>
      <c r="AE50" s="44"/>
      <c r="AF50" s="44"/>
      <c r="AG50" s="44"/>
      <c r="AH50" s="48" t="str">
        <f t="shared" si="13"/>
        <v/>
      </c>
      <c r="AI50" s="44"/>
      <c r="AJ50" s="44"/>
      <c r="AK50" s="44"/>
      <c r="AL50" s="44"/>
      <c r="AM50" s="44"/>
      <c r="AN50" s="44"/>
      <c r="AO50" s="44"/>
      <c r="AP50" s="48" t="str">
        <f t="shared" si="14"/>
        <v/>
      </c>
      <c r="AQ50" s="44"/>
      <c r="AR50" s="44"/>
      <c r="AS50" s="44"/>
      <c r="AT50" s="44"/>
      <c r="AU50" s="44"/>
      <c r="AV50" s="44"/>
      <c r="AW50" s="44"/>
      <c r="AX50" s="48" t="str">
        <f t="shared" si="15"/>
        <v/>
      </c>
      <c r="AY50" s="50"/>
      <c r="AZ50" s="50"/>
      <c r="BA50" s="50"/>
      <c r="BB50" s="50"/>
      <c r="BC50" s="50"/>
      <c r="BD50" s="50"/>
      <c r="BE50" s="50"/>
      <c r="BF50" s="48" t="str">
        <f t="shared" si="16"/>
        <v/>
      </c>
      <c r="BG50" s="44"/>
      <c r="BH50" s="44"/>
      <c r="BI50" s="44"/>
      <c r="BJ50" s="44"/>
      <c r="BK50" s="44"/>
      <c r="BL50" s="44"/>
      <c r="BM50" s="44"/>
      <c r="BN50" s="48" t="str">
        <f t="shared" si="17"/>
        <v/>
      </c>
      <c r="BO50" s="50"/>
      <c r="BP50" s="50"/>
      <c r="BQ50" s="50"/>
      <c r="BR50" s="50"/>
      <c r="BS50" s="50"/>
      <c r="BT50" s="50"/>
      <c r="BU50" s="50"/>
      <c r="BV50" s="48" t="str">
        <f t="shared" si="18"/>
        <v/>
      </c>
      <c r="BW50" s="44"/>
      <c r="BX50" s="44"/>
      <c r="BY50" s="44"/>
      <c r="BZ50" s="44"/>
      <c r="CA50" s="44"/>
      <c r="CB50" s="44"/>
      <c r="CC50" s="55"/>
      <c r="CD50" s="48" t="str">
        <f t="shared" si="19"/>
        <v/>
      </c>
    </row>
    <row r="51" spans="1:82" ht="40" customHeight="1" x14ac:dyDescent="0.15">
      <c r="A51" s="73" t="s">
        <v>138</v>
      </c>
      <c r="B51" s="74" t="s">
        <v>139</v>
      </c>
      <c r="C51" s="70"/>
      <c r="D51" s="44"/>
      <c r="E51" s="44"/>
      <c r="F51" s="44"/>
      <c r="G51" s="44"/>
      <c r="H51" s="44"/>
      <c r="I51" s="44"/>
      <c r="J51" s="48" t="str">
        <f t="shared" si="10"/>
        <v/>
      </c>
      <c r="K51" s="44"/>
      <c r="L51" s="44"/>
      <c r="M51" s="44"/>
      <c r="N51" s="44"/>
      <c r="O51" s="44"/>
      <c r="P51" s="44"/>
      <c r="Q51" s="44"/>
      <c r="R51" s="48" t="str">
        <f t="shared" si="11"/>
        <v/>
      </c>
      <c r="S51" s="47"/>
      <c r="T51" s="47"/>
      <c r="U51" s="47"/>
      <c r="V51" s="47"/>
      <c r="W51" s="47"/>
      <c r="X51" s="47"/>
      <c r="Y51" s="47"/>
      <c r="Z51" s="48" t="str">
        <f t="shared" si="12"/>
        <v/>
      </c>
      <c r="AA51" s="44"/>
      <c r="AB51" s="44"/>
      <c r="AC51" s="44"/>
      <c r="AD51" s="44"/>
      <c r="AE51" s="44"/>
      <c r="AF51" s="44"/>
      <c r="AG51" s="44"/>
      <c r="AH51" s="48" t="str">
        <f t="shared" si="13"/>
        <v/>
      </c>
      <c r="AI51" s="44"/>
      <c r="AJ51" s="44"/>
      <c r="AK51" s="44"/>
      <c r="AL51" s="44"/>
      <c r="AM51" s="44"/>
      <c r="AN51" s="44"/>
      <c r="AO51" s="44"/>
      <c r="AP51" s="48" t="str">
        <f t="shared" si="14"/>
        <v/>
      </c>
      <c r="AQ51" s="44"/>
      <c r="AR51" s="44"/>
      <c r="AS51" s="44"/>
      <c r="AT51" s="44"/>
      <c r="AU51" s="44"/>
      <c r="AV51" s="44"/>
      <c r="AW51" s="44"/>
      <c r="AX51" s="48" t="str">
        <f t="shared" si="15"/>
        <v/>
      </c>
      <c r="AY51" s="50"/>
      <c r="AZ51" s="50"/>
      <c r="BA51" s="50"/>
      <c r="BB51" s="50"/>
      <c r="BC51" s="50"/>
      <c r="BD51" s="50"/>
      <c r="BE51" s="50"/>
      <c r="BF51" s="48" t="str">
        <f t="shared" si="16"/>
        <v/>
      </c>
      <c r="BG51" s="44"/>
      <c r="BH51" s="44"/>
      <c r="BI51" s="44"/>
      <c r="BJ51" s="44"/>
      <c r="BK51" s="44"/>
      <c r="BL51" s="44"/>
      <c r="BM51" s="44"/>
      <c r="BN51" s="48" t="str">
        <f t="shared" si="17"/>
        <v/>
      </c>
      <c r="BO51" s="50"/>
      <c r="BP51" s="50"/>
      <c r="BQ51" s="50"/>
      <c r="BR51" s="50"/>
      <c r="BS51" s="50"/>
      <c r="BT51" s="50"/>
      <c r="BU51" s="50"/>
      <c r="BV51" s="48" t="str">
        <f t="shared" si="18"/>
        <v/>
      </c>
      <c r="BW51" s="44"/>
      <c r="BX51" s="44"/>
      <c r="BY51" s="44"/>
      <c r="BZ51" s="44"/>
      <c r="CA51" s="44"/>
      <c r="CB51" s="44"/>
      <c r="CC51" s="55"/>
      <c r="CD51" s="48" t="str">
        <f t="shared" si="19"/>
        <v/>
      </c>
    </row>
    <row r="52" spans="1:82" ht="40" customHeight="1" x14ac:dyDescent="0.15">
      <c r="A52" s="71" t="s">
        <v>140</v>
      </c>
      <c r="B52" s="72" t="s">
        <v>141</v>
      </c>
      <c r="C52" s="70"/>
      <c r="D52" s="44"/>
      <c r="E52" s="44"/>
      <c r="F52" s="44"/>
      <c r="G52" s="44"/>
      <c r="H52" s="44"/>
      <c r="I52" s="44"/>
      <c r="J52" s="48" t="str">
        <f t="shared" si="10"/>
        <v/>
      </c>
      <c r="K52" s="44"/>
      <c r="L52" s="44"/>
      <c r="M52" s="44"/>
      <c r="N52" s="44"/>
      <c r="O52" s="44"/>
      <c r="P52" s="44"/>
      <c r="Q52" s="44"/>
      <c r="R52" s="48" t="str">
        <f t="shared" si="11"/>
        <v/>
      </c>
      <c r="S52" s="47"/>
      <c r="T52" s="47"/>
      <c r="U52" s="47"/>
      <c r="V52" s="47"/>
      <c r="W52" s="47"/>
      <c r="X52" s="47"/>
      <c r="Y52" s="47"/>
      <c r="Z52" s="48" t="str">
        <f t="shared" si="12"/>
        <v/>
      </c>
      <c r="AA52" s="44"/>
      <c r="AB52" s="44"/>
      <c r="AC52" s="44"/>
      <c r="AD52" s="44"/>
      <c r="AE52" s="44"/>
      <c r="AF52" s="44"/>
      <c r="AG52" s="44"/>
      <c r="AH52" s="48" t="str">
        <f t="shared" si="13"/>
        <v/>
      </c>
      <c r="AI52" s="44"/>
      <c r="AJ52" s="44"/>
      <c r="AK52" s="44"/>
      <c r="AL52" s="44"/>
      <c r="AM52" s="44"/>
      <c r="AN52" s="44"/>
      <c r="AO52" s="44"/>
      <c r="AP52" s="48" t="str">
        <f t="shared" si="14"/>
        <v/>
      </c>
      <c r="AQ52" s="44"/>
      <c r="AR52" s="44"/>
      <c r="AS52" s="44"/>
      <c r="AT52" s="44"/>
      <c r="AU52" s="44"/>
      <c r="AV52" s="44"/>
      <c r="AW52" s="44"/>
      <c r="AX52" s="48" t="str">
        <f t="shared" si="15"/>
        <v/>
      </c>
      <c r="AY52" s="50"/>
      <c r="AZ52" s="50"/>
      <c r="BA52" s="50"/>
      <c r="BB52" s="50"/>
      <c r="BC52" s="50"/>
      <c r="BD52" s="50"/>
      <c r="BE52" s="50"/>
      <c r="BF52" s="48" t="str">
        <f t="shared" si="16"/>
        <v/>
      </c>
      <c r="BG52" s="44"/>
      <c r="BH52" s="44"/>
      <c r="BI52" s="44"/>
      <c r="BJ52" s="44"/>
      <c r="BK52" s="44"/>
      <c r="BL52" s="44"/>
      <c r="BM52" s="44"/>
      <c r="BN52" s="48" t="str">
        <f t="shared" si="17"/>
        <v/>
      </c>
      <c r="BO52" s="50"/>
      <c r="BP52" s="50"/>
      <c r="BQ52" s="50"/>
      <c r="BR52" s="50"/>
      <c r="BS52" s="50"/>
      <c r="BT52" s="50"/>
      <c r="BU52" s="50"/>
      <c r="BV52" s="48" t="str">
        <f t="shared" si="18"/>
        <v/>
      </c>
      <c r="BW52" s="44"/>
      <c r="BX52" s="44"/>
      <c r="BY52" s="44"/>
      <c r="BZ52" s="44"/>
      <c r="CA52" s="44"/>
      <c r="CB52" s="44"/>
      <c r="CC52" s="55"/>
      <c r="CD52" s="48" t="str">
        <f t="shared" si="19"/>
        <v/>
      </c>
    </row>
    <row r="53" spans="1:82" ht="40" customHeight="1" x14ac:dyDescent="0.15">
      <c r="A53" s="73" t="s">
        <v>143</v>
      </c>
      <c r="B53" s="74" t="s">
        <v>144</v>
      </c>
      <c r="C53" s="70"/>
      <c r="D53" s="44"/>
      <c r="E53" s="44"/>
      <c r="F53" s="44"/>
      <c r="G53" s="44"/>
      <c r="H53" s="44"/>
      <c r="I53" s="44"/>
      <c r="J53" s="48" t="str">
        <f t="shared" si="10"/>
        <v/>
      </c>
      <c r="K53" s="44"/>
      <c r="L53" s="44"/>
      <c r="M53" s="44"/>
      <c r="N53" s="44"/>
      <c r="O53" s="44"/>
      <c r="P53" s="44"/>
      <c r="Q53" s="44"/>
      <c r="R53" s="48" t="str">
        <f t="shared" si="11"/>
        <v/>
      </c>
      <c r="S53" s="47"/>
      <c r="T53" s="47"/>
      <c r="U53" s="47"/>
      <c r="V53" s="47"/>
      <c r="W53" s="47"/>
      <c r="X53" s="47"/>
      <c r="Y53" s="47"/>
      <c r="Z53" s="48" t="str">
        <f t="shared" si="12"/>
        <v/>
      </c>
      <c r="AA53" s="44"/>
      <c r="AB53" s="44"/>
      <c r="AC53" s="44"/>
      <c r="AD53" s="44"/>
      <c r="AE53" s="44"/>
      <c r="AF53" s="44"/>
      <c r="AG53" s="44"/>
      <c r="AH53" s="48" t="str">
        <f t="shared" si="13"/>
        <v/>
      </c>
      <c r="AI53" s="44"/>
      <c r="AJ53" s="44"/>
      <c r="AK53" s="44"/>
      <c r="AL53" s="44"/>
      <c r="AM53" s="44"/>
      <c r="AN53" s="44"/>
      <c r="AO53" s="44"/>
      <c r="AP53" s="48" t="str">
        <f t="shared" si="14"/>
        <v/>
      </c>
      <c r="AQ53" s="44"/>
      <c r="AR53" s="44"/>
      <c r="AS53" s="44"/>
      <c r="AT53" s="44"/>
      <c r="AU53" s="44"/>
      <c r="AV53" s="44"/>
      <c r="AW53" s="44"/>
      <c r="AX53" s="48" t="str">
        <f t="shared" si="15"/>
        <v/>
      </c>
      <c r="AY53" s="50"/>
      <c r="AZ53" s="50"/>
      <c r="BA53" s="50"/>
      <c r="BB53" s="50"/>
      <c r="BC53" s="50"/>
      <c r="BD53" s="50"/>
      <c r="BE53" s="50"/>
      <c r="BF53" s="48" t="str">
        <f t="shared" si="16"/>
        <v/>
      </c>
      <c r="BG53" s="44"/>
      <c r="BH53" s="44"/>
      <c r="BI53" s="44"/>
      <c r="BJ53" s="44"/>
      <c r="BK53" s="44"/>
      <c r="BL53" s="44"/>
      <c r="BM53" s="44"/>
      <c r="BN53" s="48" t="str">
        <f t="shared" si="17"/>
        <v/>
      </c>
      <c r="BO53" s="50"/>
      <c r="BP53" s="50"/>
      <c r="BQ53" s="50"/>
      <c r="BR53" s="50"/>
      <c r="BS53" s="50"/>
      <c r="BT53" s="50"/>
      <c r="BU53" s="50"/>
      <c r="BV53" s="48" t="str">
        <f t="shared" si="18"/>
        <v/>
      </c>
      <c r="BW53" s="44"/>
      <c r="BX53" s="44"/>
      <c r="BY53" s="44"/>
      <c r="BZ53" s="44"/>
      <c r="CA53" s="44"/>
      <c r="CB53" s="44"/>
      <c r="CC53" s="55"/>
      <c r="CD53" s="48" t="str">
        <f t="shared" si="19"/>
        <v/>
      </c>
    </row>
    <row r="54" spans="1:82" ht="40" customHeight="1" x14ac:dyDescent="0.15">
      <c r="A54" s="71" t="s">
        <v>146</v>
      </c>
      <c r="B54" s="72" t="s">
        <v>147</v>
      </c>
      <c r="C54" s="70"/>
      <c r="D54" s="44"/>
      <c r="E54" s="44"/>
      <c r="F54" s="44"/>
      <c r="G54" s="44"/>
      <c r="H54" s="44"/>
      <c r="I54" s="44"/>
      <c r="J54" s="48" t="str">
        <f t="shared" si="10"/>
        <v/>
      </c>
      <c r="K54" s="44"/>
      <c r="L54" s="44"/>
      <c r="M54" s="44"/>
      <c r="N54" s="44"/>
      <c r="O54" s="44"/>
      <c r="P54" s="44"/>
      <c r="Q54" s="44"/>
      <c r="R54" s="48" t="str">
        <f t="shared" si="11"/>
        <v/>
      </c>
      <c r="S54" s="47"/>
      <c r="T54" s="47"/>
      <c r="U54" s="47"/>
      <c r="V54" s="47"/>
      <c r="W54" s="47"/>
      <c r="X54" s="47"/>
      <c r="Y54" s="47"/>
      <c r="Z54" s="48" t="str">
        <f t="shared" si="12"/>
        <v/>
      </c>
      <c r="AA54" s="44"/>
      <c r="AB54" s="44"/>
      <c r="AC54" s="44"/>
      <c r="AD54" s="44"/>
      <c r="AE54" s="44"/>
      <c r="AF54" s="44"/>
      <c r="AG54" s="44"/>
      <c r="AH54" s="48" t="str">
        <f t="shared" si="13"/>
        <v/>
      </c>
      <c r="AI54" s="44"/>
      <c r="AJ54" s="44"/>
      <c r="AK54" s="44"/>
      <c r="AL54" s="44"/>
      <c r="AM54" s="44"/>
      <c r="AN54" s="44"/>
      <c r="AO54" s="44"/>
      <c r="AP54" s="48" t="str">
        <f t="shared" si="14"/>
        <v/>
      </c>
      <c r="AQ54" s="44"/>
      <c r="AR54" s="44"/>
      <c r="AS54" s="44"/>
      <c r="AT54" s="44"/>
      <c r="AU54" s="44"/>
      <c r="AV54" s="44"/>
      <c r="AW54" s="44"/>
      <c r="AX54" s="48" t="str">
        <f t="shared" si="15"/>
        <v/>
      </c>
      <c r="AY54" s="50"/>
      <c r="AZ54" s="50"/>
      <c r="BA54" s="50"/>
      <c r="BB54" s="50"/>
      <c r="BC54" s="50"/>
      <c r="BD54" s="50"/>
      <c r="BE54" s="50"/>
      <c r="BF54" s="48" t="str">
        <f t="shared" si="16"/>
        <v/>
      </c>
      <c r="BG54" s="44"/>
      <c r="BH54" s="44"/>
      <c r="BI54" s="44"/>
      <c r="BJ54" s="44"/>
      <c r="BK54" s="44"/>
      <c r="BL54" s="44"/>
      <c r="BM54" s="44"/>
      <c r="BN54" s="48" t="str">
        <f t="shared" si="17"/>
        <v/>
      </c>
      <c r="BO54" s="50"/>
      <c r="BP54" s="50"/>
      <c r="BQ54" s="50"/>
      <c r="BR54" s="50"/>
      <c r="BS54" s="50"/>
      <c r="BT54" s="50"/>
      <c r="BU54" s="50"/>
      <c r="BV54" s="48" t="str">
        <f t="shared" si="18"/>
        <v/>
      </c>
      <c r="BW54" s="44"/>
      <c r="BX54" s="44"/>
      <c r="BY54" s="44"/>
      <c r="BZ54" s="44"/>
      <c r="CA54" s="44"/>
      <c r="CB54" s="44"/>
      <c r="CC54" s="55"/>
      <c r="CD54" s="48" t="str">
        <f t="shared" si="19"/>
        <v/>
      </c>
    </row>
    <row r="55" spans="1:82" ht="40" customHeight="1" x14ac:dyDescent="0.15">
      <c r="A55" s="73" t="s">
        <v>149</v>
      </c>
      <c r="B55" s="74" t="s">
        <v>150</v>
      </c>
      <c r="C55" s="70"/>
      <c r="D55" s="44"/>
      <c r="E55" s="44"/>
      <c r="F55" s="44"/>
      <c r="G55" s="44"/>
      <c r="H55" s="44"/>
      <c r="I55" s="44"/>
      <c r="J55" s="48" t="str">
        <f t="shared" si="10"/>
        <v/>
      </c>
      <c r="K55" s="44"/>
      <c r="L55" s="44"/>
      <c r="M55" s="44"/>
      <c r="N55" s="44"/>
      <c r="O55" s="44"/>
      <c r="P55" s="44"/>
      <c r="Q55" s="44"/>
      <c r="R55" s="48" t="str">
        <f t="shared" si="11"/>
        <v/>
      </c>
      <c r="S55" s="47"/>
      <c r="T55" s="47"/>
      <c r="U55" s="47"/>
      <c r="V55" s="47"/>
      <c r="W55" s="47"/>
      <c r="X55" s="47"/>
      <c r="Y55" s="47"/>
      <c r="Z55" s="48" t="str">
        <f t="shared" si="12"/>
        <v/>
      </c>
      <c r="AA55" s="44"/>
      <c r="AB55" s="44"/>
      <c r="AC55" s="44"/>
      <c r="AD55" s="44"/>
      <c r="AE55" s="44"/>
      <c r="AF55" s="44"/>
      <c r="AG55" s="44"/>
      <c r="AH55" s="48" t="str">
        <f t="shared" si="13"/>
        <v/>
      </c>
      <c r="AI55" s="44"/>
      <c r="AJ55" s="44"/>
      <c r="AK55" s="44"/>
      <c r="AL55" s="44"/>
      <c r="AM55" s="44"/>
      <c r="AN55" s="44"/>
      <c r="AO55" s="44"/>
      <c r="AP55" s="48" t="str">
        <f t="shared" si="14"/>
        <v/>
      </c>
      <c r="AQ55" s="44"/>
      <c r="AR55" s="44"/>
      <c r="AS55" s="44"/>
      <c r="AT55" s="44"/>
      <c r="AU55" s="44"/>
      <c r="AV55" s="44"/>
      <c r="AW55" s="44"/>
      <c r="AX55" s="48" t="str">
        <f t="shared" si="15"/>
        <v/>
      </c>
      <c r="AY55" s="50"/>
      <c r="AZ55" s="50"/>
      <c r="BA55" s="50"/>
      <c r="BB55" s="50"/>
      <c r="BC55" s="50"/>
      <c r="BD55" s="50"/>
      <c r="BE55" s="50"/>
      <c r="BF55" s="48" t="str">
        <f t="shared" si="16"/>
        <v/>
      </c>
      <c r="BG55" s="44"/>
      <c r="BH55" s="44"/>
      <c r="BI55" s="44"/>
      <c r="BJ55" s="44"/>
      <c r="BK55" s="44"/>
      <c r="BL55" s="44"/>
      <c r="BM55" s="44"/>
      <c r="BN55" s="48" t="str">
        <f t="shared" si="17"/>
        <v/>
      </c>
      <c r="BO55" s="50"/>
      <c r="BP55" s="50"/>
      <c r="BQ55" s="50"/>
      <c r="BR55" s="50"/>
      <c r="BS55" s="50"/>
      <c r="BT55" s="50"/>
      <c r="BU55" s="50"/>
      <c r="BV55" s="48" t="str">
        <f t="shared" si="18"/>
        <v/>
      </c>
      <c r="BW55" s="44"/>
      <c r="BX55" s="44"/>
      <c r="BY55" s="44"/>
      <c r="BZ55" s="44"/>
      <c r="CA55" s="44"/>
      <c r="CB55" s="44"/>
      <c r="CC55" s="55"/>
      <c r="CD55" s="48" t="str">
        <f t="shared" si="19"/>
        <v/>
      </c>
    </row>
    <row r="56" spans="1:82" ht="40" customHeight="1" x14ac:dyDescent="0.15">
      <c r="A56" s="71" t="s">
        <v>152</v>
      </c>
      <c r="B56" s="72" t="s">
        <v>153</v>
      </c>
      <c r="C56" s="70"/>
      <c r="D56" s="44"/>
      <c r="E56" s="44"/>
      <c r="F56" s="44"/>
      <c r="G56" s="44"/>
      <c r="H56" s="44"/>
      <c r="I56" s="44"/>
      <c r="J56" s="48" t="str">
        <f t="shared" si="10"/>
        <v/>
      </c>
      <c r="K56" s="44"/>
      <c r="L56" s="44"/>
      <c r="M56" s="44"/>
      <c r="N56" s="44"/>
      <c r="O56" s="44"/>
      <c r="P56" s="44"/>
      <c r="Q56" s="44"/>
      <c r="R56" s="48" t="str">
        <f t="shared" si="11"/>
        <v/>
      </c>
      <c r="S56" s="47"/>
      <c r="T56" s="47"/>
      <c r="U56" s="47"/>
      <c r="V56" s="47"/>
      <c r="W56" s="47"/>
      <c r="X56" s="47"/>
      <c r="Y56" s="47"/>
      <c r="Z56" s="48" t="str">
        <f t="shared" si="12"/>
        <v/>
      </c>
      <c r="AA56" s="44"/>
      <c r="AB56" s="44"/>
      <c r="AC56" s="44"/>
      <c r="AD56" s="44"/>
      <c r="AE56" s="44"/>
      <c r="AF56" s="44"/>
      <c r="AG56" s="44"/>
      <c r="AH56" s="48" t="str">
        <f t="shared" si="13"/>
        <v/>
      </c>
      <c r="AI56" s="44"/>
      <c r="AJ56" s="44"/>
      <c r="AK56" s="44"/>
      <c r="AL56" s="44"/>
      <c r="AM56" s="44"/>
      <c r="AN56" s="44"/>
      <c r="AO56" s="44"/>
      <c r="AP56" s="48" t="str">
        <f t="shared" si="14"/>
        <v/>
      </c>
      <c r="AQ56" s="44"/>
      <c r="AR56" s="44"/>
      <c r="AS56" s="44"/>
      <c r="AT56" s="44"/>
      <c r="AU56" s="44"/>
      <c r="AV56" s="44"/>
      <c r="AW56" s="44"/>
      <c r="AX56" s="48" t="str">
        <f t="shared" si="15"/>
        <v/>
      </c>
      <c r="AY56" s="50"/>
      <c r="AZ56" s="50"/>
      <c r="BA56" s="50"/>
      <c r="BB56" s="50"/>
      <c r="BC56" s="50"/>
      <c r="BD56" s="50"/>
      <c r="BE56" s="50"/>
      <c r="BF56" s="48" t="str">
        <f t="shared" si="16"/>
        <v/>
      </c>
      <c r="BG56" s="44"/>
      <c r="BH56" s="44"/>
      <c r="BI56" s="44"/>
      <c r="BJ56" s="44"/>
      <c r="BK56" s="44"/>
      <c r="BL56" s="44"/>
      <c r="BM56" s="44"/>
      <c r="BN56" s="48" t="str">
        <f t="shared" si="17"/>
        <v/>
      </c>
      <c r="BO56" s="50"/>
      <c r="BP56" s="50"/>
      <c r="BQ56" s="50"/>
      <c r="BR56" s="50"/>
      <c r="BS56" s="50"/>
      <c r="BT56" s="50"/>
      <c r="BU56" s="50"/>
      <c r="BV56" s="48" t="str">
        <f t="shared" si="18"/>
        <v/>
      </c>
      <c r="BW56" s="44"/>
      <c r="BX56" s="44"/>
      <c r="BY56" s="44"/>
      <c r="BZ56" s="44"/>
      <c r="CA56" s="44"/>
      <c r="CB56" s="44"/>
      <c r="CC56" s="55"/>
      <c r="CD56" s="48" t="str">
        <f t="shared" si="19"/>
        <v/>
      </c>
    </row>
    <row r="57" spans="1:82" ht="40" customHeight="1" x14ac:dyDescent="0.15">
      <c r="A57" s="73" t="s">
        <v>154</v>
      </c>
      <c r="B57" s="74" t="s">
        <v>155</v>
      </c>
      <c r="C57" s="70"/>
      <c r="D57" s="44"/>
      <c r="E57" s="44"/>
      <c r="F57" s="44"/>
      <c r="G57" s="44"/>
      <c r="H57" s="44"/>
      <c r="I57" s="44"/>
      <c r="J57" s="48" t="str">
        <f t="shared" si="10"/>
        <v/>
      </c>
      <c r="K57" s="44"/>
      <c r="L57" s="44"/>
      <c r="M57" s="44"/>
      <c r="N57" s="44"/>
      <c r="O57" s="44"/>
      <c r="P57" s="44"/>
      <c r="Q57" s="44"/>
      <c r="R57" s="48" t="str">
        <f t="shared" si="11"/>
        <v/>
      </c>
      <c r="S57" s="47"/>
      <c r="T57" s="47"/>
      <c r="U57" s="47"/>
      <c r="V57" s="47"/>
      <c r="W57" s="47"/>
      <c r="X57" s="47"/>
      <c r="Y57" s="47"/>
      <c r="Z57" s="48" t="str">
        <f t="shared" si="12"/>
        <v/>
      </c>
      <c r="AA57" s="44"/>
      <c r="AB57" s="44"/>
      <c r="AC57" s="44"/>
      <c r="AD57" s="44"/>
      <c r="AE57" s="44"/>
      <c r="AF57" s="44"/>
      <c r="AG57" s="44"/>
      <c r="AH57" s="48" t="str">
        <f t="shared" si="13"/>
        <v/>
      </c>
      <c r="AI57" s="44"/>
      <c r="AJ57" s="44"/>
      <c r="AK57" s="44"/>
      <c r="AL57" s="44"/>
      <c r="AM57" s="44"/>
      <c r="AN57" s="44"/>
      <c r="AO57" s="44"/>
      <c r="AP57" s="48" t="str">
        <f t="shared" si="14"/>
        <v/>
      </c>
      <c r="AQ57" s="44"/>
      <c r="AR57" s="44"/>
      <c r="AS57" s="44"/>
      <c r="AT57" s="44"/>
      <c r="AU57" s="44"/>
      <c r="AV57" s="44"/>
      <c r="AW57" s="44"/>
      <c r="AX57" s="48" t="str">
        <f t="shared" si="15"/>
        <v/>
      </c>
      <c r="AY57" s="50"/>
      <c r="AZ57" s="50"/>
      <c r="BA57" s="50"/>
      <c r="BB57" s="50"/>
      <c r="BC57" s="50"/>
      <c r="BD57" s="50"/>
      <c r="BE57" s="50"/>
      <c r="BF57" s="48" t="str">
        <f t="shared" si="16"/>
        <v/>
      </c>
      <c r="BG57" s="44"/>
      <c r="BH57" s="44"/>
      <c r="BI57" s="44"/>
      <c r="BJ57" s="44"/>
      <c r="BK57" s="44"/>
      <c r="BL57" s="44"/>
      <c r="BM57" s="44"/>
      <c r="BN57" s="48" t="str">
        <f t="shared" si="17"/>
        <v/>
      </c>
      <c r="BO57" s="50"/>
      <c r="BP57" s="50"/>
      <c r="BQ57" s="50"/>
      <c r="BR57" s="50"/>
      <c r="BS57" s="50"/>
      <c r="BT57" s="50"/>
      <c r="BU57" s="50"/>
      <c r="BV57" s="48" t="str">
        <f t="shared" si="18"/>
        <v/>
      </c>
      <c r="BW57" s="44"/>
      <c r="BX57" s="44"/>
      <c r="BY57" s="44"/>
      <c r="BZ57" s="44"/>
      <c r="CA57" s="44"/>
      <c r="CB57" s="44"/>
      <c r="CC57" s="55"/>
      <c r="CD57" s="48" t="str">
        <f t="shared" si="19"/>
        <v/>
      </c>
    </row>
    <row r="58" spans="1:82" ht="40" customHeight="1" x14ac:dyDescent="0.15">
      <c r="A58" s="71" t="s">
        <v>157</v>
      </c>
      <c r="B58" s="72" t="s">
        <v>158</v>
      </c>
      <c r="C58" s="70"/>
      <c r="D58" s="44"/>
      <c r="E58" s="44"/>
      <c r="F58" s="44"/>
      <c r="G58" s="44"/>
      <c r="H58" s="44"/>
      <c r="I58" s="44"/>
      <c r="J58" s="48" t="str">
        <f t="shared" si="10"/>
        <v/>
      </c>
      <c r="K58" s="44"/>
      <c r="L58" s="44"/>
      <c r="M58" s="44"/>
      <c r="N58" s="44"/>
      <c r="O58" s="44"/>
      <c r="P58" s="44"/>
      <c r="Q58" s="44"/>
      <c r="R58" s="48" t="str">
        <f t="shared" si="11"/>
        <v/>
      </c>
      <c r="S58" s="47"/>
      <c r="T58" s="47"/>
      <c r="U58" s="47"/>
      <c r="V58" s="47"/>
      <c r="W58" s="47"/>
      <c r="X58" s="47"/>
      <c r="Y58" s="47"/>
      <c r="Z58" s="48" t="str">
        <f t="shared" si="12"/>
        <v/>
      </c>
      <c r="AA58" s="44"/>
      <c r="AB58" s="44"/>
      <c r="AC58" s="44"/>
      <c r="AD58" s="44"/>
      <c r="AE58" s="44"/>
      <c r="AF58" s="44"/>
      <c r="AG58" s="44"/>
      <c r="AH58" s="48" t="str">
        <f t="shared" si="13"/>
        <v/>
      </c>
      <c r="AI58" s="44"/>
      <c r="AJ58" s="44"/>
      <c r="AK58" s="44"/>
      <c r="AL58" s="44"/>
      <c r="AM58" s="44"/>
      <c r="AN58" s="44"/>
      <c r="AO58" s="44"/>
      <c r="AP58" s="48" t="str">
        <f t="shared" si="14"/>
        <v/>
      </c>
      <c r="AQ58" s="44"/>
      <c r="AR58" s="44"/>
      <c r="AS58" s="44"/>
      <c r="AT58" s="44"/>
      <c r="AU58" s="44"/>
      <c r="AV58" s="44"/>
      <c r="AW58" s="44"/>
      <c r="AX58" s="48" t="str">
        <f t="shared" si="15"/>
        <v/>
      </c>
      <c r="AY58" s="50"/>
      <c r="AZ58" s="50"/>
      <c r="BA58" s="50"/>
      <c r="BB58" s="50"/>
      <c r="BC58" s="50"/>
      <c r="BD58" s="50"/>
      <c r="BE58" s="50"/>
      <c r="BF58" s="48" t="str">
        <f t="shared" si="16"/>
        <v/>
      </c>
      <c r="BG58" s="44"/>
      <c r="BH58" s="44"/>
      <c r="BI58" s="44"/>
      <c r="BJ58" s="44"/>
      <c r="BK58" s="44"/>
      <c r="BL58" s="44"/>
      <c r="BM58" s="44"/>
      <c r="BN58" s="48" t="str">
        <f t="shared" si="17"/>
        <v/>
      </c>
      <c r="BO58" s="50"/>
      <c r="BP58" s="50"/>
      <c r="BQ58" s="50"/>
      <c r="BR58" s="50"/>
      <c r="BS58" s="50"/>
      <c r="BT58" s="50"/>
      <c r="BU58" s="50"/>
      <c r="BV58" s="48" t="str">
        <f t="shared" si="18"/>
        <v/>
      </c>
      <c r="BW58" s="44"/>
      <c r="BX58" s="44"/>
      <c r="BY58" s="44"/>
      <c r="BZ58" s="44"/>
      <c r="CA58" s="44"/>
      <c r="CB58" s="44"/>
      <c r="CC58" s="55"/>
      <c r="CD58" s="48" t="str">
        <f t="shared" si="19"/>
        <v/>
      </c>
    </row>
    <row r="59" spans="1:82" ht="40" customHeight="1" x14ac:dyDescent="0.15">
      <c r="A59" s="73" t="s">
        <v>160</v>
      </c>
      <c r="B59" s="74" t="s">
        <v>161</v>
      </c>
      <c r="C59" s="70"/>
      <c r="D59" s="44"/>
      <c r="E59" s="44"/>
      <c r="F59" s="44"/>
      <c r="G59" s="44"/>
      <c r="H59" s="44"/>
      <c r="I59" s="44"/>
      <c r="J59" s="48" t="str">
        <f t="shared" si="10"/>
        <v/>
      </c>
      <c r="K59" s="44"/>
      <c r="L59" s="44"/>
      <c r="M59" s="44"/>
      <c r="N59" s="44"/>
      <c r="O59" s="44"/>
      <c r="P59" s="44"/>
      <c r="Q59" s="44"/>
      <c r="R59" s="48" t="str">
        <f t="shared" si="11"/>
        <v/>
      </c>
      <c r="S59" s="47"/>
      <c r="T59" s="47"/>
      <c r="U59" s="47"/>
      <c r="V59" s="47"/>
      <c r="W59" s="47"/>
      <c r="X59" s="47"/>
      <c r="Y59" s="47"/>
      <c r="Z59" s="48" t="str">
        <f t="shared" si="12"/>
        <v/>
      </c>
      <c r="AA59" s="44"/>
      <c r="AB59" s="44"/>
      <c r="AC59" s="44"/>
      <c r="AD59" s="44"/>
      <c r="AE59" s="44"/>
      <c r="AF59" s="44"/>
      <c r="AG59" s="44"/>
      <c r="AH59" s="48" t="str">
        <f t="shared" si="13"/>
        <v/>
      </c>
      <c r="AI59" s="44"/>
      <c r="AJ59" s="44"/>
      <c r="AK59" s="44"/>
      <c r="AL59" s="44"/>
      <c r="AM59" s="44"/>
      <c r="AN59" s="44"/>
      <c r="AO59" s="44"/>
      <c r="AP59" s="48" t="str">
        <f t="shared" si="14"/>
        <v/>
      </c>
      <c r="AQ59" s="44"/>
      <c r="AR59" s="44"/>
      <c r="AS59" s="44"/>
      <c r="AT59" s="44"/>
      <c r="AU59" s="44"/>
      <c r="AV59" s="44"/>
      <c r="AW59" s="44"/>
      <c r="AX59" s="48" t="str">
        <f t="shared" si="15"/>
        <v/>
      </c>
      <c r="AY59" s="50"/>
      <c r="AZ59" s="50"/>
      <c r="BA59" s="50"/>
      <c r="BB59" s="50"/>
      <c r="BC59" s="50"/>
      <c r="BD59" s="50"/>
      <c r="BE59" s="50"/>
      <c r="BF59" s="48" t="str">
        <f t="shared" si="16"/>
        <v/>
      </c>
      <c r="BG59" s="44"/>
      <c r="BH59" s="44"/>
      <c r="BI59" s="44"/>
      <c r="BJ59" s="44"/>
      <c r="BK59" s="44"/>
      <c r="BL59" s="44"/>
      <c r="BM59" s="44"/>
      <c r="BN59" s="48" t="str">
        <f t="shared" si="17"/>
        <v/>
      </c>
      <c r="BO59" s="50"/>
      <c r="BP59" s="50"/>
      <c r="BQ59" s="50"/>
      <c r="BR59" s="50"/>
      <c r="BS59" s="50"/>
      <c r="BT59" s="50"/>
      <c r="BU59" s="50"/>
      <c r="BV59" s="48" t="str">
        <f t="shared" si="18"/>
        <v/>
      </c>
      <c r="BW59" s="44"/>
      <c r="BX59" s="44"/>
      <c r="BY59" s="44"/>
      <c r="BZ59" s="44"/>
      <c r="CA59" s="44"/>
      <c r="CB59" s="44"/>
      <c r="CC59" s="55"/>
      <c r="CD59" s="48" t="str">
        <f t="shared" si="19"/>
        <v/>
      </c>
    </row>
    <row r="60" spans="1:82" ht="40" customHeight="1" x14ac:dyDescent="0.15">
      <c r="A60" s="71" t="s">
        <v>163</v>
      </c>
      <c r="B60" s="72" t="s">
        <v>164</v>
      </c>
      <c r="C60" s="70"/>
      <c r="D60" s="44"/>
      <c r="E60" s="44"/>
      <c r="F60" s="44"/>
      <c r="G60" s="44"/>
      <c r="H60" s="44"/>
      <c r="I60" s="44"/>
      <c r="J60" s="48" t="str">
        <f t="shared" si="10"/>
        <v/>
      </c>
      <c r="K60" s="44"/>
      <c r="L60" s="44"/>
      <c r="M60" s="44"/>
      <c r="N60" s="44"/>
      <c r="O60" s="44"/>
      <c r="P60" s="44"/>
      <c r="Q60" s="44"/>
      <c r="R60" s="48" t="str">
        <f t="shared" si="11"/>
        <v/>
      </c>
      <c r="S60" s="47"/>
      <c r="T60" s="47"/>
      <c r="U60" s="47"/>
      <c r="V60" s="47"/>
      <c r="W60" s="47"/>
      <c r="X60" s="47"/>
      <c r="Y60" s="47"/>
      <c r="Z60" s="48" t="str">
        <f t="shared" si="12"/>
        <v/>
      </c>
      <c r="AA60" s="44"/>
      <c r="AB60" s="44"/>
      <c r="AC60" s="44"/>
      <c r="AD60" s="44"/>
      <c r="AE60" s="44"/>
      <c r="AF60" s="44"/>
      <c r="AG60" s="44"/>
      <c r="AH60" s="48" t="str">
        <f t="shared" si="13"/>
        <v/>
      </c>
      <c r="AI60" s="44"/>
      <c r="AJ60" s="44"/>
      <c r="AK60" s="44"/>
      <c r="AL60" s="44"/>
      <c r="AM60" s="44"/>
      <c r="AN60" s="44"/>
      <c r="AO60" s="44"/>
      <c r="AP60" s="48" t="str">
        <f t="shared" si="14"/>
        <v/>
      </c>
      <c r="AQ60" s="44"/>
      <c r="AR60" s="44"/>
      <c r="AS60" s="44"/>
      <c r="AT60" s="44"/>
      <c r="AU60" s="44"/>
      <c r="AV60" s="44"/>
      <c r="AW60" s="44"/>
      <c r="AX60" s="48" t="str">
        <f t="shared" si="15"/>
        <v/>
      </c>
      <c r="AY60" s="50"/>
      <c r="AZ60" s="50"/>
      <c r="BA60" s="50"/>
      <c r="BB60" s="50"/>
      <c r="BC60" s="50"/>
      <c r="BD60" s="50"/>
      <c r="BE60" s="50"/>
      <c r="BF60" s="48" t="str">
        <f t="shared" si="16"/>
        <v/>
      </c>
      <c r="BG60" s="44"/>
      <c r="BH60" s="44"/>
      <c r="BI60" s="44"/>
      <c r="BJ60" s="44"/>
      <c r="BK60" s="44"/>
      <c r="BL60" s="44"/>
      <c r="BM60" s="44"/>
      <c r="BN60" s="48" t="str">
        <f t="shared" si="17"/>
        <v/>
      </c>
      <c r="BO60" s="50"/>
      <c r="BP60" s="50"/>
      <c r="BQ60" s="50"/>
      <c r="BR60" s="50"/>
      <c r="BS60" s="50"/>
      <c r="BT60" s="50"/>
      <c r="BU60" s="50"/>
      <c r="BV60" s="48" t="str">
        <f t="shared" si="18"/>
        <v/>
      </c>
      <c r="BW60" s="44"/>
      <c r="BX60" s="44"/>
      <c r="BY60" s="44"/>
      <c r="BZ60" s="44"/>
      <c r="CA60" s="44"/>
      <c r="CB60" s="44"/>
      <c r="CC60" s="55"/>
      <c r="CD60" s="48" t="str">
        <f t="shared" si="19"/>
        <v/>
      </c>
    </row>
    <row r="61" spans="1:82" ht="40" customHeight="1" x14ac:dyDescent="0.15">
      <c r="A61" s="73" t="s">
        <v>166</v>
      </c>
      <c r="B61" s="74" t="s">
        <v>167</v>
      </c>
      <c r="C61" s="70"/>
      <c r="D61" s="44"/>
      <c r="E61" s="44"/>
      <c r="F61" s="44"/>
      <c r="G61" s="44"/>
      <c r="H61" s="44"/>
      <c r="I61" s="44"/>
      <c r="J61" s="48" t="str">
        <f t="shared" si="10"/>
        <v/>
      </c>
      <c r="K61" s="44"/>
      <c r="L61" s="44"/>
      <c r="M61" s="44"/>
      <c r="N61" s="44"/>
      <c r="O61" s="44"/>
      <c r="P61" s="44"/>
      <c r="Q61" s="44"/>
      <c r="R61" s="48" t="str">
        <f t="shared" si="11"/>
        <v/>
      </c>
      <c r="S61" s="47"/>
      <c r="T61" s="47"/>
      <c r="U61" s="47"/>
      <c r="V61" s="47"/>
      <c r="W61" s="47"/>
      <c r="X61" s="47"/>
      <c r="Y61" s="47"/>
      <c r="Z61" s="48" t="str">
        <f t="shared" si="12"/>
        <v/>
      </c>
      <c r="AA61" s="44"/>
      <c r="AB61" s="44"/>
      <c r="AC61" s="44"/>
      <c r="AD61" s="44"/>
      <c r="AE61" s="44"/>
      <c r="AF61" s="44"/>
      <c r="AG61" s="44"/>
      <c r="AH61" s="48" t="str">
        <f t="shared" si="13"/>
        <v/>
      </c>
      <c r="AI61" s="44"/>
      <c r="AJ61" s="44"/>
      <c r="AK61" s="44"/>
      <c r="AL61" s="44"/>
      <c r="AM61" s="44"/>
      <c r="AN61" s="44"/>
      <c r="AO61" s="44"/>
      <c r="AP61" s="48" t="str">
        <f t="shared" si="14"/>
        <v/>
      </c>
      <c r="AQ61" s="44"/>
      <c r="AR61" s="44"/>
      <c r="AS61" s="44"/>
      <c r="AT61" s="44"/>
      <c r="AU61" s="44"/>
      <c r="AV61" s="44"/>
      <c r="AW61" s="44"/>
      <c r="AX61" s="48" t="str">
        <f t="shared" si="15"/>
        <v/>
      </c>
      <c r="AY61" s="50"/>
      <c r="AZ61" s="50"/>
      <c r="BA61" s="50"/>
      <c r="BB61" s="50"/>
      <c r="BC61" s="50"/>
      <c r="BD61" s="50"/>
      <c r="BE61" s="50"/>
      <c r="BF61" s="48" t="str">
        <f t="shared" si="16"/>
        <v/>
      </c>
      <c r="BG61" s="44"/>
      <c r="BH61" s="44"/>
      <c r="BI61" s="44"/>
      <c r="BJ61" s="44"/>
      <c r="BK61" s="44"/>
      <c r="BL61" s="44"/>
      <c r="BM61" s="44"/>
      <c r="BN61" s="48" t="str">
        <f t="shared" si="17"/>
        <v/>
      </c>
      <c r="BO61" s="50"/>
      <c r="BP61" s="50"/>
      <c r="BQ61" s="50"/>
      <c r="BR61" s="50"/>
      <c r="BS61" s="50"/>
      <c r="BT61" s="50"/>
      <c r="BU61" s="50"/>
      <c r="BV61" s="48" t="str">
        <f t="shared" si="18"/>
        <v/>
      </c>
      <c r="BW61" s="44"/>
      <c r="BX61" s="44"/>
      <c r="BY61" s="44"/>
      <c r="BZ61" s="44"/>
      <c r="CA61" s="44"/>
      <c r="CB61" s="44"/>
      <c r="CC61" s="55"/>
      <c r="CD61" s="48" t="str">
        <f t="shared" si="19"/>
        <v/>
      </c>
    </row>
    <row r="62" spans="1:82" ht="40" customHeight="1" x14ac:dyDescent="0.15">
      <c r="A62" s="71" t="s">
        <v>168</v>
      </c>
      <c r="B62" s="72" t="s">
        <v>169</v>
      </c>
      <c r="C62" s="70"/>
      <c r="D62" s="44"/>
      <c r="E62" s="44"/>
      <c r="F62" s="44"/>
      <c r="G62" s="44"/>
      <c r="H62" s="44"/>
      <c r="I62" s="44"/>
      <c r="J62" s="48" t="str">
        <f t="shared" si="10"/>
        <v/>
      </c>
      <c r="K62" s="44"/>
      <c r="L62" s="44"/>
      <c r="M62" s="44"/>
      <c r="N62" s="44"/>
      <c r="O62" s="44"/>
      <c r="P62" s="44"/>
      <c r="Q62" s="44"/>
      <c r="R62" s="48" t="str">
        <f t="shared" si="11"/>
        <v/>
      </c>
      <c r="S62" s="47"/>
      <c r="T62" s="47"/>
      <c r="U62" s="47"/>
      <c r="V62" s="47"/>
      <c r="W62" s="47"/>
      <c r="X62" s="47"/>
      <c r="Y62" s="47"/>
      <c r="Z62" s="48" t="str">
        <f t="shared" si="12"/>
        <v/>
      </c>
      <c r="AA62" s="44"/>
      <c r="AB62" s="44"/>
      <c r="AC62" s="44"/>
      <c r="AD62" s="44"/>
      <c r="AE62" s="44"/>
      <c r="AF62" s="44"/>
      <c r="AG62" s="44"/>
      <c r="AH62" s="48" t="str">
        <f t="shared" si="13"/>
        <v/>
      </c>
      <c r="AI62" s="44"/>
      <c r="AJ62" s="44"/>
      <c r="AK62" s="44"/>
      <c r="AL62" s="44"/>
      <c r="AM62" s="44"/>
      <c r="AN62" s="44"/>
      <c r="AO62" s="44"/>
      <c r="AP62" s="48" t="str">
        <f t="shared" si="14"/>
        <v/>
      </c>
      <c r="AQ62" s="44"/>
      <c r="AR62" s="44"/>
      <c r="AS62" s="44"/>
      <c r="AT62" s="44"/>
      <c r="AU62" s="44"/>
      <c r="AV62" s="44"/>
      <c r="AW62" s="44"/>
      <c r="AX62" s="48" t="str">
        <f t="shared" si="15"/>
        <v/>
      </c>
      <c r="AY62" s="50"/>
      <c r="AZ62" s="50"/>
      <c r="BA62" s="50"/>
      <c r="BB62" s="50"/>
      <c r="BC62" s="50"/>
      <c r="BD62" s="50"/>
      <c r="BE62" s="50"/>
      <c r="BF62" s="48" t="str">
        <f t="shared" si="16"/>
        <v/>
      </c>
      <c r="BG62" s="44"/>
      <c r="BH62" s="44"/>
      <c r="BI62" s="44"/>
      <c r="BJ62" s="44"/>
      <c r="BK62" s="44"/>
      <c r="BL62" s="44"/>
      <c r="BM62" s="44"/>
      <c r="BN62" s="48" t="str">
        <f t="shared" si="17"/>
        <v/>
      </c>
      <c r="BO62" s="50"/>
      <c r="BP62" s="50"/>
      <c r="BQ62" s="50"/>
      <c r="BR62" s="50"/>
      <c r="BS62" s="50"/>
      <c r="BT62" s="50"/>
      <c r="BU62" s="50"/>
      <c r="BV62" s="48" t="str">
        <f t="shared" si="18"/>
        <v/>
      </c>
      <c r="BW62" s="44"/>
      <c r="BX62" s="44"/>
      <c r="BY62" s="44"/>
      <c r="BZ62" s="44"/>
      <c r="CA62" s="44"/>
      <c r="CB62" s="44"/>
      <c r="CC62" s="55"/>
      <c r="CD62" s="48" t="str">
        <f t="shared" si="19"/>
        <v/>
      </c>
    </row>
    <row r="63" spans="1:82" ht="40" customHeight="1" x14ac:dyDescent="0.15">
      <c r="A63" s="73" t="s">
        <v>170</v>
      </c>
      <c r="B63" s="74" t="s">
        <v>171</v>
      </c>
      <c r="C63" s="70"/>
      <c r="D63" s="44"/>
      <c r="E63" s="44"/>
      <c r="F63" s="44"/>
      <c r="G63" s="44"/>
      <c r="H63" s="44"/>
      <c r="I63" s="44"/>
      <c r="J63" s="48" t="str">
        <f t="shared" si="10"/>
        <v/>
      </c>
      <c r="K63" s="44"/>
      <c r="L63" s="44"/>
      <c r="M63" s="44"/>
      <c r="N63" s="44"/>
      <c r="O63" s="44"/>
      <c r="P63" s="44"/>
      <c r="Q63" s="44"/>
      <c r="R63" s="48" t="str">
        <f t="shared" si="11"/>
        <v/>
      </c>
      <c r="S63" s="47"/>
      <c r="T63" s="47"/>
      <c r="U63" s="47"/>
      <c r="V63" s="47"/>
      <c r="W63" s="47"/>
      <c r="X63" s="47"/>
      <c r="Y63" s="47"/>
      <c r="Z63" s="48" t="str">
        <f t="shared" si="12"/>
        <v/>
      </c>
      <c r="AA63" s="44"/>
      <c r="AB63" s="44"/>
      <c r="AC63" s="44"/>
      <c r="AD63" s="44"/>
      <c r="AE63" s="44"/>
      <c r="AF63" s="44"/>
      <c r="AG63" s="44"/>
      <c r="AH63" s="48" t="str">
        <f t="shared" si="13"/>
        <v/>
      </c>
      <c r="AI63" s="44"/>
      <c r="AJ63" s="44"/>
      <c r="AK63" s="44"/>
      <c r="AL63" s="44"/>
      <c r="AM63" s="44"/>
      <c r="AN63" s="44"/>
      <c r="AO63" s="44"/>
      <c r="AP63" s="48" t="str">
        <f t="shared" si="14"/>
        <v/>
      </c>
      <c r="AQ63" s="44"/>
      <c r="AR63" s="44"/>
      <c r="AS63" s="44"/>
      <c r="AT63" s="44"/>
      <c r="AU63" s="44"/>
      <c r="AV63" s="44"/>
      <c r="AW63" s="44"/>
      <c r="AX63" s="48" t="str">
        <f t="shared" si="15"/>
        <v/>
      </c>
      <c r="AY63" s="50"/>
      <c r="AZ63" s="50"/>
      <c r="BA63" s="50"/>
      <c r="BB63" s="50"/>
      <c r="BC63" s="50"/>
      <c r="BD63" s="50"/>
      <c r="BE63" s="50"/>
      <c r="BF63" s="48" t="str">
        <f t="shared" si="16"/>
        <v/>
      </c>
      <c r="BG63" s="44"/>
      <c r="BH63" s="44"/>
      <c r="BI63" s="44"/>
      <c r="BJ63" s="44"/>
      <c r="BK63" s="44"/>
      <c r="BL63" s="44"/>
      <c r="BM63" s="44"/>
      <c r="BN63" s="48" t="str">
        <f t="shared" si="17"/>
        <v/>
      </c>
      <c r="BO63" s="50"/>
      <c r="BP63" s="50"/>
      <c r="BQ63" s="50"/>
      <c r="BR63" s="50"/>
      <c r="BS63" s="50"/>
      <c r="BT63" s="50"/>
      <c r="BU63" s="50"/>
      <c r="BV63" s="48" t="str">
        <f t="shared" si="18"/>
        <v/>
      </c>
      <c r="BW63" s="44"/>
      <c r="BX63" s="44"/>
      <c r="BY63" s="44"/>
      <c r="BZ63" s="44"/>
      <c r="CA63" s="44"/>
      <c r="CB63" s="44"/>
      <c r="CC63" s="55"/>
      <c r="CD63" s="48" t="str">
        <f t="shared" si="19"/>
        <v/>
      </c>
    </row>
    <row r="64" spans="1:82" ht="40" customHeight="1" x14ac:dyDescent="0.15">
      <c r="A64" s="71" t="s">
        <v>172</v>
      </c>
      <c r="B64" s="72" t="s">
        <v>173</v>
      </c>
      <c r="C64" s="70"/>
      <c r="D64" s="44"/>
      <c r="E64" s="44"/>
      <c r="F64" s="44"/>
      <c r="G64" s="44"/>
      <c r="H64" s="44"/>
      <c r="I64" s="44"/>
      <c r="J64" s="48" t="str">
        <f t="shared" si="10"/>
        <v/>
      </c>
      <c r="K64" s="44"/>
      <c r="L64" s="44"/>
      <c r="M64" s="44"/>
      <c r="N64" s="44"/>
      <c r="O64" s="44"/>
      <c r="P64" s="44"/>
      <c r="Q64" s="44"/>
      <c r="R64" s="48" t="str">
        <f t="shared" si="11"/>
        <v/>
      </c>
      <c r="S64" s="47"/>
      <c r="T64" s="47"/>
      <c r="U64" s="47"/>
      <c r="V64" s="47"/>
      <c r="W64" s="47"/>
      <c r="X64" s="47"/>
      <c r="Y64" s="47"/>
      <c r="Z64" s="48" t="str">
        <f t="shared" si="12"/>
        <v/>
      </c>
      <c r="AA64" s="44"/>
      <c r="AB64" s="44"/>
      <c r="AC64" s="44"/>
      <c r="AD64" s="44"/>
      <c r="AE64" s="44"/>
      <c r="AF64" s="44"/>
      <c r="AG64" s="44"/>
      <c r="AH64" s="48" t="str">
        <f t="shared" si="13"/>
        <v/>
      </c>
      <c r="AI64" s="44"/>
      <c r="AJ64" s="44"/>
      <c r="AK64" s="44"/>
      <c r="AL64" s="44"/>
      <c r="AM64" s="44"/>
      <c r="AN64" s="44"/>
      <c r="AO64" s="44"/>
      <c r="AP64" s="48" t="str">
        <f t="shared" si="14"/>
        <v/>
      </c>
      <c r="AQ64" s="44"/>
      <c r="AR64" s="44"/>
      <c r="AS64" s="44"/>
      <c r="AT64" s="44"/>
      <c r="AU64" s="44"/>
      <c r="AV64" s="44"/>
      <c r="AW64" s="44"/>
      <c r="AX64" s="48" t="str">
        <f t="shared" si="15"/>
        <v/>
      </c>
      <c r="AY64" s="50"/>
      <c r="AZ64" s="50"/>
      <c r="BA64" s="50"/>
      <c r="BB64" s="50"/>
      <c r="BC64" s="50"/>
      <c r="BD64" s="50"/>
      <c r="BE64" s="50"/>
      <c r="BF64" s="48" t="str">
        <f t="shared" si="16"/>
        <v/>
      </c>
      <c r="BG64" s="44"/>
      <c r="BH64" s="44"/>
      <c r="BI64" s="44"/>
      <c r="BJ64" s="44"/>
      <c r="BK64" s="44"/>
      <c r="BL64" s="44"/>
      <c r="BM64" s="44"/>
      <c r="BN64" s="48" t="str">
        <f t="shared" si="17"/>
        <v/>
      </c>
      <c r="BO64" s="50"/>
      <c r="BP64" s="50"/>
      <c r="BQ64" s="50"/>
      <c r="BR64" s="50"/>
      <c r="BS64" s="50"/>
      <c r="BT64" s="50"/>
      <c r="BU64" s="50"/>
      <c r="BV64" s="48" t="str">
        <f t="shared" si="18"/>
        <v/>
      </c>
      <c r="BW64" s="44"/>
      <c r="BX64" s="44"/>
      <c r="BY64" s="44"/>
      <c r="BZ64" s="44"/>
      <c r="CA64" s="44"/>
      <c r="CB64" s="44"/>
      <c r="CC64" s="55"/>
      <c r="CD64" s="48" t="str">
        <f t="shared" si="19"/>
        <v/>
      </c>
    </row>
    <row r="65" spans="1:82" ht="40" customHeight="1" x14ac:dyDescent="0.15">
      <c r="A65" s="71" t="s">
        <v>174</v>
      </c>
      <c r="B65" s="72" t="s">
        <v>175</v>
      </c>
      <c r="C65" s="70"/>
      <c r="D65" s="44"/>
      <c r="E65" s="44"/>
      <c r="F65" s="44"/>
      <c r="G65" s="44"/>
      <c r="H65" s="44"/>
      <c r="I65" s="44"/>
      <c r="J65" s="48" t="str">
        <f t="shared" si="10"/>
        <v/>
      </c>
      <c r="K65" s="44"/>
      <c r="L65" s="44"/>
      <c r="M65" s="44"/>
      <c r="N65" s="44"/>
      <c r="O65" s="44"/>
      <c r="P65" s="44"/>
      <c r="Q65" s="44"/>
      <c r="R65" s="48" t="str">
        <f t="shared" si="11"/>
        <v/>
      </c>
      <c r="S65" s="47"/>
      <c r="T65" s="47"/>
      <c r="U65" s="47"/>
      <c r="V65" s="47"/>
      <c r="W65" s="47"/>
      <c r="X65" s="47"/>
      <c r="Y65" s="47"/>
      <c r="Z65" s="48" t="str">
        <f t="shared" si="12"/>
        <v/>
      </c>
      <c r="AA65" s="44"/>
      <c r="AB65" s="44"/>
      <c r="AC65" s="44"/>
      <c r="AD65" s="44"/>
      <c r="AE65" s="44"/>
      <c r="AF65" s="44"/>
      <c r="AG65" s="44"/>
      <c r="AH65" s="48" t="str">
        <f t="shared" si="13"/>
        <v/>
      </c>
      <c r="AI65" s="44"/>
      <c r="AJ65" s="44"/>
      <c r="AK65" s="44"/>
      <c r="AL65" s="44"/>
      <c r="AM65" s="44"/>
      <c r="AN65" s="44"/>
      <c r="AO65" s="44"/>
      <c r="AP65" s="48" t="str">
        <f t="shared" si="14"/>
        <v/>
      </c>
      <c r="AQ65" s="44"/>
      <c r="AR65" s="44"/>
      <c r="AS65" s="44"/>
      <c r="AT65" s="44"/>
      <c r="AU65" s="44"/>
      <c r="AV65" s="44"/>
      <c r="AW65" s="44"/>
      <c r="AX65" s="48" t="str">
        <f t="shared" si="15"/>
        <v/>
      </c>
      <c r="AY65" s="50"/>
      <c r="AZ65" s="50"/>
      <c r="BA65" s="50"/>
      <c r="BB65" s="50"/>
      <c r="BC65" s="50"/>
      <c r="BD65" s="50"/>
      <c r="BE65" s="50"/>
      <c r="BF65" s="48" t="str">
        <f t="shared" si="16"/>
        <v/>
      </c>
      <c r="BG65" s="44"/>
      <c r="BH65" s="44"/>
      <c r="BI65" s="44"/>
      <c r="BJ65" s="44"/>
      <c r="BK65" s="44"/>
      <c r="BL65" s="44"/>
      <c r="BM65" s="44"/>
      <c r="BN65" s="48" t="str">
        <f t="shared" si="17"/>
        <v/>
      </c>
      <c r="BO65" s="50"/>
      <c r="BP65" s="50"/>
      <c r="BQ65" s="50"/>
      <c r="BR65" s="50"/>
      <c r="BS65" s="50"/>
      <c r="BT65" s="50"/>
      <c r="BU65" s="50"/>
      <c r="BV65" s="48" t="str">
        <f t="shared" si="18"/>
        <v/>
      </c>
      <c r="BW65" s="44"/>
      <c r="BX65" s="44"/>
      <c r="BY65" s="44"/>
      <c r="BZ65" s="44"/>
      <c r="CA65" s="44"/>
      <c r="CB65" s="44"/>
      <c r="CC65" s="55"/>
      <c r="CD65" s="48" t="str">
        <f t="shared" si="19"/>
        <v/>
      </c>
    </row>
    <row r="66" spans="1:82" ht="40" customHeight="1" x14ac:dyDescent="0.15">
      <c r="A66" s="73" t="s">
        <v>176</v>
      </c>
      <c r="B66" s="74" t="s">
        <v>177</v>
      </c>
      <c r="C66" s="70"/>
      <c r="D66" s="44"/>
      <c r="E66" s="44"/>
      <c r="F66" s="44"/>
      <c r="G66" s="44"/>
      <c r="H66" s="44"/>
      <c r="I66" s="44"/>
      <c r="J66" s="48" t="str">
        <f t="shared" si="10"/>
        <v/>
      </c>
      <c r="K66" s="44"/>
      <c r="L66" s="44"/>
      <c r="M66" s="44"/>
      <c r="N66" s="44"/>
      <c r="O66" s="44"/>
      <c r="P66" s="44"/>
      <c r="Q66" s="44"/>
      <c r="R66" s="48" t="str">
        <f t="shared" si="11"/>
        <v/>
      </c>
      <c r="S66" s="47"/>
      <c r="T66" s="47"/>
      <c r="U66" s="47"/>
      <c r="V66" s="47"/>
      <c r="W66" s="47"/>
      <c r="X66" s="47"/>
      <c r="Y66" s="47"/>
      <c r="Z66" s="48" t="str">
        <f t="shared" si="12"/>
        <v/>
      </c>
      <c r="AA66" s="44"/>
      <c r="AB66" s="44"/>
      <c r="AC66" s="44"/>
      <c r="AD66" s="44"/>
      <c r="AE66" s="44"/>
      <c r="AF66" s="44"/>
      <c r="AG66" s="44"/>
      <c r="AH66" s="48" t="str">
        <f t="shared" si="13"/>
        <v/>
      </c>
      <c r="AI66" s="44"/>
      <c r="AJ66" s="44"/>
      <c r="AK66" s="44"/>
      <c r="AL66" s="44"/>
      <c r="AM66" s="44"/>
      <c r="AN66" s="44"/>
      <c r="AO66" s="44"/>
      <c r="AP66" s="48" t="str">
        <f t="shared" si="14"/>
        <v/>
      </c>
      <c r="AQ66" s="44"/>
      <c r="AR66" s="44"/>
      <c r="AS66" s="44"/>
      <c r="AT66" s="44"/>
      <c r="AU66" s="44"/>
      <c r="AV66" s="44"/>
      <c r="AW66" s="44"/>
      <c r="AX66" s="48" t="str">
        <f t="shared" si="15"/>
        <v/>
      </c>
      <c r="AY66" s="50"/>
      <c r="AZ66" s="50"/>
      <c r="BA66" s="50"/>
      <c r="BB66" s="50"/>
      <c r="BC66" s="50"/>
      <c r="BD66" s="50"/>
      <c r="BE66" s="50"/>
      <c r="BF66" s="48" t="str">
        <f t="shared" si="16"/>
        <v/>
      </c>
      <c r="BG66" s="44"/>
      <c r="BH66" s="44"/>
      <c r="BI66" s="44"/>
      <c r="BJ66" s="44"/>
      <c r="BK66" s="44"/>
      <c r="BL66" s="44"/>
      <c r="BM66" s="44"/>
      <c r="BN66" s="48" t="str">
        <f t="shared" si="17"/>
        <v/>
      </c>
      <c r="BO66" s="50"/>
      <c r="BP66" s="50"/>
      <c r="BQ66" s="50"/>
      <c r="BR66" s="50"/>
      <c r="BS66" s="50"/>
      <c r="BT66" s="50"/>
      <c r="BU66" s="50"/>
      <c r="BV66" s="48" t="str">
        <f t="shared" si="18"/>
        <v/>
      </c>
      <c r="BW66" s="44"/>
      <c r="BX66" s="44"/>
      <c r="BY66" s="44"/>
      <c r="BZ66" s="44"/>
      <c r="CA66" s="44"/>
      <c r="CB66" s="44"/>
      <c r="CC66" s="55"/>
      <c r="CD66" s="48" t="str">
        <f t="shared" si="19"/>
        <v/>
      </c>
    </row>
    <row r="67" spans="1:82" ht="40" customHeight="1" x14ac:dyDescent="0.15">
      <c r="A67" s="73" t="s">
        <v>178</v>
      </c>
      <c r="B67" s="74" t="s">
        <v>179</v>
      </c>
      <c r="C67" s="70"/>
      <c r="D67" s="44"/>
      <c r="E67" s="44"/>
      <c r="F67" s="44"/>
      <c r="G67" s="44"/>
      <c r="H67" s="44"/>
      <c r="I67" s="44"/>
      <c r="J67" s="48" t="str">
        <f t="shared" si="10"/>
        <v/>
      </c>
      <c r="K67" s="44"/>
      <c r="L67" s="44"/>
      <c r="M67" s="44"/>
      <c r="N67" s="44"/>
      <c r="O67" s="44"/>
      <c r="P67" s="44"/>
      <c r="Q67" s="44"/>
      <c r="R67" s="48" t="str">
        <f t="shared" si="11"/>
        <v/>
      </c>
      <c r="S67" s="47"/>
      <c r="T67" s="47"/>
      <c r="U67" s="47"/>
      <c r="V67" s="47"/>
      <c r="W67" s="47"/>
      <c r="X67" s="47"/>
      <c r="Y67" s="47"/>
      <c r="Z67" s="48" t="str">
        <f t="shared" si="12"/>
        <v/>
      </c>
      <c r="AA67" s="44"/>
      <c r="AB67" s="44"/>
      <c r="AC67" s="44"/>
      <c r="AD67" s="44"/>
      <c r="AE67" s="44"/>
      <c r="AF67" s="44"/>
      <c r="AG67" s="44"/>
      <c r="AH67" s="48" t="str">
        <f t="shared" si="13"/>
        <v/>
      </c>
      <c r="AI67" s="44"/>
      <c r="AJ67" s="44"/>
      <c r="AK67" s="44"/>
      <c r="AL67" s="44"/>
      <c r="AM67" s="44"/>
      <c r="AN67" s="44"/>
      <c r="AO67" s="44"/>
      <c r="AP67" s="48" t="str">
        <f t="shared" si="14"/>
        <v/>
      </c>
      <c r="AQ67" s="44"/>
      <c r="AR67" s="44"/>
      <c r="AS67" s="44"/>
      <c r="AT67" s="44"/>
      <c r="AU67" s="44"/>
      <c r="AV67" s="44"/>
      <c r="AW67" s="44"/>
      <c r="AX67" s="48" t="str">
        <f t="shared" si="15"/>
        <v/>
      </c>
      <c r="AY67" s="50"/>
      <c r="AZ67" s="50"/>
      <c r="BA67" s="50"/>
      <c r="BB67" s="50"/>
      <c r="BC67" s="50"/>
      <c r="BD67" s="50"/>
      <c r="BE67" s="50"/>
      <c r="BF67" s="48" t="str">
        <f t="shared" si="16"/>
        <v/>
      </c>
      <c r="BG67" s="44"/>
      <c r="BH67" s="44"/>
      <c r="BI67" s="44"/>
      <c r="BJ67" s="44"/>
      <c r="BK67" s="44"/>
      <c r="BL67" s="44"/>
      <c r="BM67" s="44"/>
      <c r="BN67" s="48" t="str">
        <f t="shared" si="17"/>
        <v/>
      </c>
      <c r="BO67" s="50"/>
      <c r="BP67" s="50"/>
      <c r="BQ67" s="50"/>
      <c r="BR67" s="50"/>
      <c r="BS67" s="50"/>
      <c r="BT67" s="50"/>
      <c r="BU67" s="50"/>
      <c r="BV67" s="48" t="str">
        <f t="shared" si="18"/>
        <v/>
      </c>
      <c r="BW67" s="44"/>
      <c r="BX67" s="44"/>
      <c r="BY67" s="44"/>
      <c r="BZ67" s="44"/>
      <c r="CA67" s="44"/>
      <c r="CB67" s="44"/>
      <c r="CC67" s="55"/>
      <c r="CD67" s="48" t="str">
        <f t="shared" si="19"/>
        <v/>
      </c>
    </row>
    <row r="68" spans="1:82" ht="40" customHeight="1" x14ac:dyDescent="0.15">
      <c r="A68" s="73" t="s">
        <v>180</v>
      </c>
      <c r="B68" s="74" t="s">
        <v>181</v>
      </c>
      <c r="C68" s="70"/>
      <c r="D68" s="44"/>
      <c r="E68" s="44"/>
      <c r="F68" s="44"/>
      <c r="G68" s="44"/>
      <c r="H68" s="44"/>
      <c r="I68" s="44"/>
      <c r="J68" s="48" t="str">
        <f t="shared" si="10"/>
        <v/>
      </c>
      <c r="K68" s="44"/>
      <c r="L68" s="44"/>
      <c r="M68" s="44"/>
      <c r="N68" s="44"/>
      <c r="O68" s="44"/>
      <c r="P68" s="44"/>
      <c r="Q68" s="44"/>
      <c r="R68" s="48" t="str">
        <f t="shared" si="11"/>
        <v/>
      </c>
      <c r="S68" s="47"/>
      <c r="T68" s="47"/>
      <c r="U68" s="47"/>
      <c r="V68" s="47"/>
      <c r="W68" s="47"/>
      <c r="X68" s="47"/>
      <c r="Y68" s="47"/>
      <c r="Z68" s="48" t="str">
        <f t="shared" si="12"/>
        <v/>
      </c>
      <c r="AA68" s="44"/>
      <c r="AB68" s="44"/>
      <c r="AC68" s="44"/>
      <c r="AD68" s="44"/>
      <c r="AE68" s="44"/>
      <c r="AF68" s="44"/>
      <c r="AG68" s="44"/>
      <c r="AH68" s="48" t="str">
        <f t="shared" si="13"/>
        <v/>
      </c>
      <c r="AI68" s="44"/>
      <c r="AJ68" s="44"/>
      <c r="AK68" s="44"/>
      <c r="AL68" s="44"/>
      <c r="AM68" s="44"/>
      <c r="AN68" s="44"/>
      <c r="AO68" s="44"/>
      <c r="AP68" s="48" t="str">
        <f t="shared" si="14"/>
        <v/>
      </c>
      <c r="AQ68" s="44"/>
      <c r="AR68" s="44"/>
      <c r="AS68" s="44"/>
      <c r="AT68" s="44"/>
      <c r="AU68" s="44"/>
      <c r="AV68" s="44"/>
      <c r="AW68" s="44"/>
      <c r="AX68" s="48" t="str">
        <f t="shared" si="15"/>
        <v/>
      </c>
      <c r="AY68" s="50"/>
      <c r="AZ68" s="50"/>
      <c r="BA68" s="50"/>
      <c r="BB68" s="50"/>
      <c r="BC68" s="50"/>
      <c r="BD68" s="50"/>
      <c r="BE68" s="50"/>
      <c r="BF68" s="48" t="str">
        <f t="shared" si="16"/>
        <v/>
      </c>
      <c r="BG68" s="44"/>
      <c r="BH68" s="44"/>
      <c r="BI68" s="44"/>
      <c r="BJ68" s="44"/>
      <c r="BK68" s="44"/>
      <c r="BL68" s="44"/>
      <c r="BM68" s="44"/>
      <c r="BN68" s="48" t="str">
        <f t="shared" si="17"/>
        <v/>
      </c>
      <c r="BO68" s="50"/>
      <c r="BP68" s="50"/>
      <c r="BQ68" s="50"/>
      <c r="BR68" s="50"/>
      <c r="BS68" s="50"/>
      <c r="BT68" s="50"/>
      <c r="BU68" s="50"/>
      <c r="BV68" s="48" t="str">
        <f t="shared" si="18"/>
        <v/>
      </c>
      <c r="BW68" s="44"/>
      <c r="BX68" s="44"/>
      <c r="BY68" s="44"/>
      <c r="BZ68" s="44"/>
      <c r="CA68" s="44"/>
      <c r="CB68" s="44"/>
      <c r="CC68" s="55"/>
      <c r="CD68" s="48" t="str">
        <f t="shared" si="19"/>
        <v/>
      </c>
    </row>
    <row r="69" spans="1:82" ht="40" customHeight="1" x14ac:dyDescent="0.15">
      <c r="A69" s="71" t="s">
        <v>182</v>
      </c>
      <c r="B69" s="72" t="s">
        <v>183</v>
      </c>
      <c r="C69" s="70"/>
      <c r="D69" s="44"/>
      <c r="E69" s="44"/>
      <c r="F69" s="44"/>
      <c r="G69" s="44"/>
      <c r="H69" s="44"/>
      <c r="I69" s="44"/>
      <c r="J69" s="48" t="str">
        <f t="shared" si="10"/>
        <v/>
      </c>
      <c r="K69" s="44"/>
      <c r="L69" s="44"/>
      <c r="M69" s="44"/>
      <c r="N69" s="44"/>
      <c r="O69" s="44"/>
      <c r="P69" s="44"/>
      <c r="Q69" s="44"/>
      <c r="R69" s="48" t="str">
        <f t="shared" si="11"/>
        <v/>
      </c>
      <c r="S69" s="47"/>
      <c r="T69" s="47"/>
      <c r="U69" s="47"/>
      <c r="V69" s="47"/>
      <c r="W69" s="47"/>
      <c r="X69" s="47"/>
      <c r="Y69" s="47"/>
      <c r="Z69" s="48" t="str">
        <f t="shared" si="12"/>
        <v/>
      </c>
      <c r="AA69" s="44"/>
      <c r="AB69" s="44"/>
      <c r="AC69" s="44"/>
      <c r="AD69" s="44"/>
      <c r="AE69" s="44"/>
      <c r="AF69" s="44"/>
      <c r="AG69" s="44"/>
      <c r="AH69" s="48" t="str">
        <f t="shared" si="13"/>
        <v/>
      </c>
      <c r="AI69" s="44"/>
      <c r="AJ69" s="44"/>
      <c r="AK69" s="44"/>
      <c r="AL69" s="44"/>
      <c r="AM69" s="44"/>
      <c r="AN69" s="44"/>
      <c r="AO69" s="44"/>
      <c r="AP69" s="48" t="str">
        <f t="shared" si="14"/>
        <v/>
      </c>
      <c r="AQ69" s="44"/>
      <c r="AR69" s="44"/>
      <c r="AS69" s="44"/>
      <c r="AT69" s="44"/>
      <c r="AU69" s="44"/>
      <c r="AV69" s="44"/>
      <c r="AW69" s="44"/>
      <c r="AX69" s="48" t="str">
        <f t="shared" si="15"/>
        <v/>
      </c>
      <c r="AY69" s="50"/>
      <c r="AZ69" s="50"/>
      <c r="BA69" s="50"/>
      <c r="BB69" s="50"/>
      <c r="BC69" s="50"/>
      <c r="BD69" s="50"/>
      <c r="BE69" s="50"/>
      <c r="BF69" s="48" t="str">
        <f t="shared" si="16"/>
        <v/>
      </c>
      <c r="BG69" s="44"/>
      <c r="BH69" s="44"/>
      <c r="BI69" s="44"/>
      <c r="BJ69" s="44"/>
      <c r="BK69" s="44"/>
      <c r="BL69" s="44"/>
      <c r="BM69" s="44"/>
      <c r="BN69" s="48" t="str">
        <f t="shared" si="17"/>
        <v/>
      </c>
      <c r="BO69" s="50"/>
      <c r="BP69" s="50"/>
      <c r="BQ69" s="50"/>
      <c r="BR69" s="50"/>
      <c r="BS69" s="50"/>
      <c r="BT69" s="50"/>
      <c r="BU69" s="50"/>
      <c r="BV69" s="48" t="str">
        <f t="shared" si="18"/>
        <v/>
      </c>
      <c r="BW69" s="44"/>
      <c r="BX69" s="44"/>
      <c r="BY69" s="44"/>
      <c r="BZ69" s="44"/>
      <c r="CA69" s="44"/>
      <c r="CB69" s="44"/>
      <c r="CC69" s="55"/>
      <c r="CD69" s="48" t="str">
        <f t="shared" si="19"/>
        <v/>
      </c>
    </row>
    <row r="70" spans="1:82" ht="40" customHeight="1" x14ac:dyDescent="0.15">
      <c r="A70" s="71" t="s">
        <v>184</v>
      </c>
      <c r="B70" s="72" t="s">
        <v>185</v>
      </c>
      <c r="C70" s="70"/>
      <c r="D70" s="44"/>
      <c r="E70" s="44"/>
      <c r="F70" s="44"/>
      <c r="G70" s="44"/>
      <c r="H70" s="44"/>
      <c r="I70" s="44"/>
      <c r="J70" s="48" t="str">
        <f t="shared" si="10"/>
        <v/>
      </c>
      <c r="K70" s="44"/>
      <c r="L70" s="44"/>
      <c r="M70" s="44"/>
      <c r="N70" s="44"/>
      <c r="O70" s="44"/>
      <c r="P70" s="44"/>
      <c r="Q70" s="44"/>
      <c r="R70" s="48" t="str">
        <f t="shared" si="11"/>
        <v/>
      </c>
      <c r="S70" s="47"/>
      <c r="T70" s="47"/>
      <c r="U70" s="47"/>
      <c r="V70" s="47"/>
      <c r="W70" s="47"/>
      <c r="X70" s="47"/>
      <c r="Y70" s="47"/>
      <c r="Z70" s="48" t="str">
        <f t="shared" si="12"/>
        <v/>
      </c>
      <c r="AA70" s="44"/>
      <c r="AB70" s="44"/>
      <c r="AC70" s="44"/>
      <c r="AD70" s="44"/>
      <c r="AE70" s="44"/>
      <c r="AF70" s="44"/>
      <c r="AG70" s="44"/>
      <c r="AH70" s="48" t="str">
        <f t="shared" si="13"/>
        <v/>
      </c>
      <c r="AI70" s="44"/>
      <c r="AJ70" s="44"/>
      <c r="AK70" s="44"/>
      <c r="AL70" s="44"/>
      <c r="AM70" s="44"/>
      <c r="AN70" s="44"/>
      <c r="AO70" s="44"/>
      <c r="AP70" s="48" t="str">
        <f t="shared" si="14"/>
        <v/>
      </c>
      <c r="AQ70" s="44"/>
      <c r="AR70" s="44"/>
      <c r="AS70" s="44"/>
      <c r="AT70" s="44"/>
      <c r="AU70" s="44"/>
      <c r="AV70" s="44"/>
      <c r="AW70" s="44"/>
      <c r="AX70" s="48" t="str">
        <f t="shared" si="15"/>
        <v/>
      </c>
      <c r="AY70" s="50"/>
      <c r="AZ70" s="50"/>
      <c r="BA70" s="50"/>
      <c r="BB70" s="50"/>
      <c r="BC70" s="50"/>
      <c r="BD70" s="50"/>
      <c r="BE70" s="50"/>
      <c r="BF70" s="48" t="str">
        <f t="shared" si="16"/>
        <v/>
      </c>
      <c r="BG70" s="44"/>
      <c r="BH70" s="44"/>
      <c r="BI70" s="44"/>
      <c r="BJ70" s="44"/>
      <c r="BK70" s="44"/>
      <c r="BL70" s="44"/>
      <c r="BM70" s="44"/>
      <c r="BN70" s="48" t="str">
        <f t="shared" si="17"/>
        <v/>
      </c>
      <c r="BO70" s="50"/>
      <c r="BP70" s="50"/>
      <c r="BQ70" s="50"/>
      <c r="BR70" s="50"/>
      <c r="BS70" s="50"/>
      <c r="BT70" s="50"/>
      <c r="BU70" s="50"/>
      <c r="BV70" s="48" t="str">
        <f t="shared" si="18"/>
        <v/>
      </c>
      <c r="BW70" s="44"/>
      <c r="BX70" s="44"/>
      <c r="BY70" s="44"/>
      <c r="BZ70" s="44"/>
      <c r="CA70" s="44"/>
      <c r="CB70" s="44"/>
      <c r="CC70" s="55"/>
      <c r="CD70" s="48" t="str">
        <f t="shared" si="19"/>
        <v/>
      </c>
    </row>
    <row r="71" spans="1:82" ht="40" customHeight="1" x14ac:dyDescent="0.15">
      <c r="A71" s="68" t="s">
        <v>186</v>
      </c>
      <c r="B71" s="69"/>
      <c r="C71" s="70"/>
      <c r="D71" s="44"/>
      <c r="E71" s="44"/>
      <c r="F71" s="44"/>
      <c r="G71" s="44"/>
      <c r="H71" s="44"/>
      <c r="I71" s="44"/>
      <c r="J71" s="48" t="str">
        <f t="shared" si="10"/>
        <v/>
      </c>
      <c r="K71" s="44"/>
      <c r="L71" s="44"/>
      <c r="M71" s="44"/>
      <c r="N71" s="44"/>
      <c r="O71" s="44"/>
      <c r="P71" s="44"/>
      <c r="Q71" s="44"/>
      <c r="R71" s="48" t="str">
        <f t="shared" si="11"/>
        <v/>
      </c>
      <c r="S71" s="47"/>
      <c r="T71" s="47"/>
      <c r="U71" s="47"/>
      <c r="V71" s="47"/>
      <c r="W71" s="47"/>
      <c r="X71" s="47"/>
      <c r="Y71" s="47"/>
      <c r="Z71" s="48" t="str">
        <f t="shared" si="12"/>
        <v/>
      </c>
      <c r="AA71" s="44"/>
      <c r="AB71" s="44"/>
      <c r="AC71" s="44"/>
      <c r="AD71" s="44"/>
      <c r="AE71" s="44"/>
      <c r="AF71" s="44"/>
      <c r="AG71" s="44"/>
      <c r="AH71" s="48" t="str">
        <f t="shared" si="13"/>
        <v/>
      </c>
      <c r="AI71" s="44"/>
      <c r="AJ71" s="44"/>
      <c r="AK71" s="44"/>
      <c r="AL71" s="44"/>
      <c r="AM71" s="44"/>
      <c r="AN71" s="44"/>
      <c r="AO71" s="44"/>
      <c r="AP71" s="48" t="str">
        <f t="shared" si="14"/>
        <v/>
      </c>
      <c r="AQ71" s="44"/>
      <c r="AR71" s="44"/>
      <c r="AS71" s="44"/>
      <c r="AT71" s="44"/>
      <c r="AU71" s="44"/>
      <c r="AV71" s="44"/>
      <c r="AW71" s="44"/>
      <c r="AX71" s="48" t="str">
        <f t="shared" si="15"/>
        <v/>
      </c>
      <c r="AY71" s="50"/>
      <c r="AZ71" s="50"/>
      <c r="BA71" s="50"/>
      <c r="BB71" s="50"/>
      <c r="BC71" s="50"/>
      <c r="BD71" s="50"/>
      <c r="BE71" s="50"/>
      <c r="BF71" s="48" t="str">
        <f t="shared" si="16"/>
        <v/>
      </c>
      <c r="BG71" s="44"/>
      <c r="BH71" s="44"/>
      <c r="BI71" s="44"/>
      <c r="BJ71" s="44"/>
      <c r="BK71" s="44"/>
      <c r="BL71" s="44"/>
      <c r="BM71" s="44"/>
      <c r="BN71" s="48" t="str">
        <f t="shared" si="17"/>
        <v/>
      </c>
      <c r="BO71" s="50"/>
      <c r="BP71" s="50"/>
      <c r="BQ71" s="50"/>
      <c r="BR71" s="50"/>
      <c r="BS71" s="50"/>
      <c r="BT71" s="50"/>
      <c r="BU71" s="50"/>
      <c r="BV71" s="48" t="str">
        <f t="shared" si="18"/>
        <v/>
      </c>
      <c r="BW71" s="44"/>
      <c r="BX71" s="44"/>
      <c r="BY71" s="44"/>
      <c r="BZ71" s="44"/>
      <c r="CA71" s="44"/>
      <c r="CB71" s="44"/>
      <c r="CC71" s="55"/>
      <c r="CD71" s="48" t="str">
        <f t="shared" si="19"/>
        <v/>
      </c>
    </row>
    <row r="72" spans="1:82" ht="40" customHeight="1" x14ac:dyDescent="0.15">
      <c r="A72" s="71" t="s">
        <v>187</v>
      </c>
      <c r="B72" s="72" t="s">
        <v>188</v>
      </c>
      <c r="C72" s="70"/>
      <c r="D72" s="44"/>
      <c r="E72" s="44"/>
      <c r="F72" s="44"/>
      <c r="G72" s="44"/>
      <c r="H72" s="44"/>
      <c r="I72" s="44"/>
      <c r="J72" s="48" t="str">
        <f t="shared" ref="J72:J103" si="20">IFERROR((SUM(C72:I72)/SUM($C$6:$I$6))*100,"")</f>
        <v/>
      </c>
      <c r="K72" s="44"/>
      <c r="L72" s="44"/>
      <c r="M72" s="44"/>
      <c r="N72" s="44"/>
      <c r="O72" s="44"/>
      <c r="P72" s="44"/>
      <c r="Q72" s="44"/>
      <c r="R72" s="48" t="str">
        <f t="shared" ref="R72:R103" si="21">IFERROR((SUM(K72:Q72)/SUM($K$6:$Q$6))*100,"")</f>
        <v/>
      </c>
      <c r="S72" s="47"/>
      <c r="T72" s="47"/>
      <c r="U72" s="47"/>
      <c r="V72" s="47"/>
      <c r="W72" s="47"/>
      <c r="X72" s="47"/>
      <c r="Y72" s="47"/>
      <c r="Z72" s="48" t="str">
        <f t="shared" ref="Z72:Z103" si="22">IFERROR((SUM(S72:Y72)/SUM($S$6:$Y$6))*100,"")</f>
        <v/>
      </c>
      <c r="AA72" s="44"/>
      <c r="AB72" s="44"/>
      <c r="AC72" s="44"/>
      <c r="AD72" s="44"/>
      <c r="AE72" s="44"/>
      <c r="AF72" s="44"/>
      <c r="AG72" s="44"/>
      <c r="AH72" s="48" t="str">
        <f t="shared" ref="AH72:AH103" si="23">IFERROR((SUM(AA72:AG72)/SUM($AA$6:$AG$6))*100,"")</f>
        <v/>
      </c>
      <c r="AI72" s="44"/>
      <c r="AJ72" s="44"/>
      <c r="AK72" s="44"/>
      <c r="AL72" s="44"/>
      <c r="AM72" s="44"/>
      <c r="AN72" s="44"/>
      <c r="AO72" s="44"/>
      <c r="AP72" s="48" t="str">
        <f t="shared" ref="AP72:AP103" si="24">IFERROR((SUM(AI72:AO72)/SUM($AI$6:$AO$6))*100,"")</f>
        <v/>
      </c>
      <c r="AQ72" s="44"/>
      <c r="AR72" s="44"/>
      <c r="AS72" s="44"/>
      <c r="AT72" s="44"/>
      <c r="AU72" s="44"/>
      <c r="AV72" s="44"/>
      <c r="AW72" s="44"/>
      <c r="AX72" s="48" t="str">
        <f t="shared" ref="AX72:AX103" si="25">IFERROR((SUM(AQ72:AW72)/SUM($AQ$6:$AW$6))*100,"")</f>
        <v/>
      </c>
      <c r="AY72" s="50"/>
      <c r="AZ72" s="50"/>
      <c r="BA72" s="50"/>
      <c r="BB72" s="50"/>
      <c r="BC72" s="50"/>
      <c r="BD72" s="50"/>
      <c r="BE72" s="50"/>
      <c r="BF72" s="48" t="str">
        <f t="shared" ref="BF72:BF103" si="26">IFERROR((SUM(AY72:BE72)/SUM($AY$6:$BE$6))*100,"")</f>
        <v/>
      </c>
      <c r="BG72" s="44"/>
      <c r="BH72" s="44"/>
      <c r="BI72" s="44"/>
      <c r="BJ72" s="44"/>
      <c r="BK72" s="44"/>
      <c r="BL72" s="44"/>
      <c r="BM72" s="44"/>
      <c r="BN72" s="48" t="str">
        <f t="shared" ref="BN72:BN103" si="27">IFERROR((SUM(BG72:BM72)/SUM($BG$6:$BM$6))*100,"")</f>
        <v/>
      </c>
      <c r="BO72" s="50"/>
      <c r="BP72" s="50"/>
      <c r="BQ72" s="50"/>
      <c r="BR72" s="50"/>
      <c r="BS72" s="50"/>
      <c r="BT72" s="50"/>
      <c r="BU72" s="50"/>
      <c r="BV72" s="48" t="str">
        <f t="shared" ref="BV72:BV103" si="28">IFERROR((SUM(BO72:BU72)/SUM($BP$6:$BU$6))*100,"")</f>
        <v/>
      </c>
      <c r="BW72" s="44"/>
      <c r="BX72" s="44"/>
      <c r="BY72" s="44"/>
      <c r="BZ72" s="44"/>
      <c r="CA72" s="44"/>
      <c r="CB72" s="44"/>
      <c r="CC72" s="55"/>
      <c r="CD72" s="48" t="str">
        <f t="shared" ref="CD72:CD103" si="29">IFERROR((SUM(BW72:CC72)/SUM($BW$6:$CC$6))*100,"")</f>
        <v/>
      </c>
    </row>
    <row r="73" spans="1:82" ht="40" customHeight="1" x14ac:dyDescent="0.15">
      <c r="A73" s="73" t="s">
        <v>189</v>
      </c>
      <c r="B73" s="74" t="s">
        <v>190</v>
      </c>
      <c r="C73" s="70"/>
      <c r="D73" s="44"/>
      <c r="E73" s="44"/>
      <c r="F73" s="44"/>
      <c r="G73" s="44"/>
      <c r="H73" s="44"/>
      <c r="I73" s="44"/>
      <c r="J73" s="48" t="str">
        <f t="shared" si="20"/>
        <v/>
      </c>
      <c r="K73" s="44"/>
      <c r="L73" s="44"/>
      <c r="M73" s="44"/>
      <c r="N73" s="44"/>
      <c r="O73" s="44"/>
      <c r="P73" s="44"/>
      <c r="Q73" s="44"/>
      <c r="R73" s="48" t="str">
        <f t="shared" si="21"/>
        <v/>
      </c>
      <c r="S73" s="47"/>
      <c r="T73" s="47"/>
      <c r="U73" s="47"/>
      <c r="V73" s="47"/>
      <c r="W73" s="47"/>
      <c r="X73" s="47"/>
      <c r="Y73" s="47"/>
      <c r="Z73" s="48" t="str">
        <f t="shared" si="22"/>
        <v/>
      </c>
      <c r="AA73" s="44"/>
      <c r="AB73" s="44"/>
      <c r="AC73" s="44"/>
      <c r="AD73" s="44"/>
      <c r="AE73" s="44"/>
      <c r="AF73" s="44"/>
      <c r="AG73" s="44"/>
      <c r="AH73" s="48" t="str">
        <f t="shared" si="23"/>
        <v/>
      </c>
      <c r="AI73" s="44"/>
      <c r="AJ73" s="44"/>
      <c r="AK73" s="44"/>
      <c r="AL73" s="44"/>
      <c r="AM73" s="44"/>
      <c r="AN73" s="44"/>
      <c r="AO73" s="44"/>
      <c r="AP73" s="48" t="str">
        <f t="shared" si="24"/>
        <v/>
      </c>
      <c r="AQ73" s="44"/>
      <c r="AR73" s="44"/>
      <c r="AS73" s="44"/>
      <c r="AT73" s="44"/>
      <c r="AU73" s="44"/>
      <c r="AV73" s="44"/>
      <c r="AW73" s="44"/>
      <c r="AX73" s="48" t="str">
        <f t="shared" si="25"/>
        <v/>
      </c>
      <c r="AY73" s="50"/>
      <c r="AZ73" s="50"/>
      <c r="BA73" s="50"/>
      <c r="BB73" s="50"/>
      <c r="BC73" s="50"/>
      <c r="BD73" s="50"/>
      <c r="BE73" s="50"/>
      <c r="BF73" s="48" t="str">
        <f t="shared" si="26"/>
        <v/>
      </c>
      <c r="BG73" s="44"/>
      <c r="BH73" s="44"/>
      <c r="BI73" s="44"/>
      <c r="BJ73" s="44"/>
      <c r="BK73" s="44"/>
      <c r="BL73" s="44"/>
      <c r="BM73" s="44"/>
      <c r="BN73" s="48" t="str">
        <f t="shared" si="27"/>
        <v/>
      </c>
      <c r="BO73" s="50"/>
      <c r="BP73" s="50"/>
      <c r="BQ73" s="50"/>
      <c r="BR73" s="50"/>
      <c r="BS73" s="50"/>
      <c r="BT73" s="50"/>
      <c r="BU73" s="50"/>
      <c r="BV73" s="48" t="str">
        <f t="shared" si="28"/>
        <v/>
      </c>
      <c r="BW73" s="44"/>
      <c r="BX73" s="44"/>
      <c r="BY73" s="44"/>
      <c r="BZ73" s="44"/>
      <c r="CA73" s="44"/>
      <c r="CB73" s="44"/>
      <c r="CC73" s="55"/>
      <c r="CD73" s="48" t="str">
        <f t="shared" si="29"/>
        <v/>
      </c>
    </row>
    <row r="74" spans="1:82" ht="40" customHeight="1" x14ac:dyDescent="0.15">
      <c r="A74" s="71" t="s">
        <v>191</v>
      </c>
      <c r="B74" s="72" t="s">
        <v>192</v>
      </c>
      <c r="C74" s="70"/>
      <c r="D74" s="44"/>
      <c r="E74" s="44"/>
      <c r="F74" s="44"/>
      <c r="G74" s="44"/>
      <c r="H74" s="44"/>
      <c r="I74" s="44"/>
      <c r="J74" s="48" t="str">
        <f t="shared" si="20"/>
        <v/>
      </c>
      <c r="K74" s="44"/>
      <c r="L74" s="44"/>
      <c r="M74" s="44"/>
      <c r="N74" s="44"/>
      <c r="O74" s="44"/>
      <c r="P74" s="44"/>
      <c r="Q74" s="44"/>
      <c r="R74" s="48" t="str">
        <f t="shared" si="21"/>
        <v/>
      </c>
      <c r="S74" s="47"/>
      <c r="T74" s="47"/>
      <c r="U74" s="47"/>
      <c r="V74" s="47"/>
      <c r="W74" s="47"/>
      <c r="X74" s="47"/>
      <c r="Y74" s="47"/>
      <c r="Z74" s="48" t="str">
        <f t="shared" si="22"/>
        <v/>
      </c>
      <c r="AA74" s="44"/>
      <c r="AB74" s="44"/>
      <c r="AC74" s="44"/>
      <c r="AD74" s="44"/>
      <c r="AE74" s="44"/>
      <c r="AF74" s="44"/>
      <c r="AG74" s="44"/>
      <c r="AH74" s="48" t="str">
        <f t="shared" si="23"/>
        <v/>
      </c>
      <c r="AI74" s="44"/>
      <c r="AJ74" s="44"/>
      <c r="AK74" s="44"/>
      <c r="AL74" s="44"/>
      <c r="AM74" s="44"/>
      <c r="AN74" s="44"/>
      <c r="AO74" s="44"/>
      <c r="AP74" s="48" t="str">
        <f t="shared" si="24"/>
        <v/>
      </c>
      <c r="AQ74" s="44"/>
      <c r="AR74" s="44"/>
      <c r="AS74" s="44"/>
      <c r="AT74" s="44"/>
      <c r="AU74" s="44"/>
      <c r="AV74" s="44"/>
      <c r="AW74" s="44"/>
      <c r="AX74" s="48" t="str">
        <f t="shared" si="25"/>
        <v/>
      </c>
      <c r="AY74" s="50"/>
      <c r="AZ74" s="50"/>
      <c r="BA74" s="50"/>
      <c r="BB74" s="50"/>
      <c r="BC74" s="50"/>
      <c r="BD74" s="50"/>
      <c r="BE74" s="50"/>
      <c r="BF74" s="48" t="str">
        <f t="shared" si="26"/>
        <v/>
      </c>
      <c r="BG74" s="44"/>
      <c r="BH74" s="44"/>
      <c r="BI74" s="44"/>
      <c r="BJ74" s="44"/>
      <c r="BK74" s="44"/>
      <c r="BL74" s="44"/>
      <c r="BM74" s="44"/>
      <c r="BN74" s="48" t="str">
        <f t="shared" si="27"/>
        <v/>
      </c>
      <c r="BO74" s="50"/>
      <c r="BP74" s="50"/>
      <c r="BQ74" s="50"/>
      <c r="BR74" s="50"/>
      <c r="BS74" s="50"/>
      <c r="BT74" s="50"/>
      <c r="BU74" s="50"/>
      <c r="BV74" s="48" t="str">
        <f t="shared" si="28"/>
        <v/>
      </c>
      <c r="BW74" s="44"/>
      <c r="BX74" s="44"/>
      <c r="BY74" s="44"/>
      <c r="BZ74" s="44"/>
      <c r="CA74" s="44"/>
      <c r="CB74" s="44"/>
      <c r="CC74" s="55"/>
      <c r="CD74" s="48" t="str">
        <f t="shared" si="29"/>
        <v/>
      </c>
    </row>
    <row r="75" spans="1:82" ht="40" customHeight="1" x14ac:dyDescent="0.15">
      <c r="A75" s="71" t="s">
        <v>193</v>
      </c>
      <c r="B75" s="72" t="s">
        <v>194</v>
      </c>
      <c r="C75" s="70"/>
      <c r="D75" s="44"/>
      <c r="E75" s="44"/>
      <c r="F75" s="44"/>
      <c r="G75" s="44"/>
      <c r="H75" s="44"/>
      <c r="I75" s="44"/>
      <c r="J75" s="48" t="str">
        <f t="shared" si="20"/>
        <v/>
      </c>
      <c r="K75" s="44"/>
      <c r="L75" s="44"/>
      <c r="M75" s="44"/>
      <c r="N75" s="44"/>
      <c r="O75" s="44"/>
      <c r="P75" s="44"/>
      <c r="Q75" s="44"/>
      <c r="R75" s="48" t="str">
        <f t="shared" si="21"/>
        <v/>
      </c>
      <c r="S75" s="47"/>
      <c r="T75" s="47"/>
      <c r="U75" s="47"/>
      <c r="V75" s="47"/>
      <c r="W75" s="47"/>
      <c r="X75" s="47"/>
      <c r="Y75" s="47"/>
      <c r="Z75" s="48" t="str">
        <f t="shared" si="22"/>
        <v/>
      </c>
      <c r="AA75" s="44"/>
      <c r="AB75" s="44"/>
      <c r="AC75" s="44"/>
      <c r="AD75" s="44"/>
      <c r="AE75" s="44"/>
      <c r="AF75" s="44"/>
      <c r="AG75" s="44"/>
      <c r="AH75" s="48" t="str">
        <f t="shared" si="23"/>
        <v/>
      </c>
      <c r="AI75" s="44"/>
      <c r="AJ75" s="44"/>
      <c r="AK75" s="44"/>
      <c r="AL75" s="44"/>
      <c r="AM75" s="44"/>
      <c r="AN75" s="44"/>
      <c r="AO75" s="44"/>
      <c r="AP75" s="48" t="str">
        <f t="shared" si="24"/>
        <v/>
      </c>
      <c r="AQ75" s="44"/>
      <c r="AR75" s="44"/>
      <c r="AS75" s="44"/>
      <c r="AT75" s="44"/>
      <c r="AU75" s="44"/>
      <c r="AV75" s="44"/>
      <c r="AW75" s="44"/>
      <c r="AX75" s="48" t="str">
        <f t="shared" si="25"/>
        <v/>
      </c>
      <c r="AY75" s="50"/>
      <c r="AZ75" s="50"/>
      <c r="BA75" s="50"/>
      <c r="BB75" s="50"/>
      <c r="BC75" s="50"/>
      <c r="BD75" s="50"/>
      <c r="BE75" s="50"/>
      <c r="BF75" s="48" t="str">
        <f t="shared" si="26"/>
        <v/>
      </c>
      <c r="BG75" s="44"/>
      <c r="BH75" s="44"/>
      <c r="BI75" s="44"/>
      <c r="BJ75" s="44"/>
      <c r="BK75" s="44"/>
      <c r="BL75" s="44"/>
      <c r="BM75" s="44"/>
      <c r="BN75" s="48" t="str">
        <f t="shared" si="27"/>
        <v/>
      </c>
      <c r="BO75" s="50"/>
      <c r="BP75" s="50"/>
      <c r="BQ75" s="50"/>
      <c r="BR75" s="50"/>
      <c r="BS75" s="50"/>
      <c r="BT75" s="50"/>
      <c r="BU75" s="50"/>
      <c r="BV75" s="48" t="str">
        <f t="shared" si="28"/>
        <v/>
      </c>
      <c r="BW75" s="44"/>
      <c r="BX75" s="44"/>
      <c r="BY75" s="44"/>
      <c r="BZ75" s="44"/>
      <c r="CA75" s="44"/>
      <c r="CB75" s="44"/>
      <c r="CC75" s="55"/>
      <c r="CD75" s="48" t="str">
        <f t="shared" si="29"/>
        <v/>
      </c>
    </row>
    <row r="76" spans="1:82" ht="40" customHeight="1" x14ac:dyDescent="0.15">
      <c r="A76" s="73" t="s">
        <v>195</v>
      </c>
      <c r="B76" s="74" t="s">
        <v>196</v>
      </c>
      <c r="C76" s="70"/>
      <c r="D76" s="44"/>
      <c r="E76" s="44"/>
      <c r="F76" s="44"/>
      <c r="G76" s="44"/>
      <c r="H76" s="44"/>
      <c r="I76" s="44"/>
      <c r="J76" s="48" t="str">
        <f t="shared" si="20"/>
        <v/>
      </c>
      <c r="K76" s="44"/>
      <c r="L76" s="44"/>
      <c r="M76" s="44"/>
      <c r="N76" s="44"/>
      <c r="O76" s="44"/>
      <c r="P76" s="44"/>
      <c r="Q76" s="44"/>
      <c r="R76" s="48" t="str">
        <f t="shared" si="21"/>
        <v/>
      </c>
      <c r="S76" s="47"/>
      <c r="T76" s="47"/>
      <c r="U76" s="47"/>
      <c r="V76" s="47"/>
      <c r="W76" s="47"/>
      <c r="X76" s="47"/>
      <c r="Y76" s="47"/>
      <c r="Z76" s="48" t="str">
        <f t="shared" si="22"/>
        <v/>
      </c>
      <c r="AA76" s="44"/>
      <c r="AB76" s="44"/>
      <c r="AC76" s="44"/>
      <c r="AD76" s="44"/>
      <c r="AE76" s="44"/>
      <c r="AF76" s="44"/>
      <c r="AG76" s="44"/>
      <c r="AH76" s="48" t="str">
        <f t="shared" si="23"/>
        <v/>
      </c>
      <c r="AI76" s="44"/>
      <c r="AJ76" s="44"/>
      <c r="AK76" s="44"/>
      <c r="AL76" s="44"/>
      <c r="AM76" s="44"/>
      <c r="AN76" s="44"/>
      <c r="AO76" s="44"/>
      <c r="AP76" s="48" t="str">
        <f t="shared" si="24"/>
        <v/>
      </c>
      <c r="AQ76" s="44"/>
      <c r="AR76" s="44"/>
      <c r="AS76" s="44"/>
      <c r="AT76" s="44"/>
      <c r="AU76" s="44"/>
      <c r="AV76" s="44"/>
      <c r="AW76" s="44"/>
      <c r="AX76" s="48" t="str">
        <f t="shared" si="25"/>
        <v/>
      </c>
      <c r="AY76" s="50"/>
      <c r="AZ76" s="50"/>
      <c r="BA76" s="50"/>
      <c r="BB76" s="50"/>
      <c r="BC76" s="50"/>
      <c r="BD76" s="50"/>
      <c r="BE76" s="50"/>
      <c r="BF76" s="48" t="str">
        <f t="shared" si="26"/>
        <v/>
      </c>
      <c r="BG76" s="44"/>
      <c r="BH76" s="44"/>
      <c r="BI76" s="44"/>
      <c r="BJ76" s="44"/>
      <c r="BK76" s="44"/>
      <c r="BL76" s="44"/>
      <c r="BM76" s="44"/>
      <c r="BN76" s="48" t="str">
        <f t="shared" si="27"/>
        <v/>
      </c>
      <c r="BO76" s="50"/>
      <c r="BP76" s="50"/>
      <c r="BQ76" s="50"/>
      <c r="BR76" s="50"/>
      <c r="BS76" s="50"/>
      <c r="BT76" s="50"/>
      <c r="BU76" s="50"/>
      <c r="BV76" s="48" t="str">
        <f t="shared" si="28"/>
        <v/>
      </c>
      <c r="BW76" s="44"/>
      <c r="BX76" s="44"/>
      <c r="BY76" s="44"/>
      <c r="BZ76" s="44"/>
      <c r="CA76" s="44"/>
      <c r="CB76" s="44"/>
      <c r="CC76" s="55"/>
      <c r="CD76" s="48" t="str">
        <f t="shared" si="29"/>
        <v/>
      </c>
    </row>
    <row r="77" spans="1:82" ht="40" customHeight="1" x14ac:dyDescent="0.15">
      <c r="A77" s="68" t="s">
        <v>197</v>
      </c>
      <c r="B77" s="69"/>
      <c r="C77" s="70"/>
      <c r="D77" s="44"/>
      <c r="E77" s="44"/>
      <c r="F77" s="44"/>
      <c r="G77" s="44"/>
      <c r="H77" s="44"/>
      <c r="I77" s="44"/>
      <c r="J77" s="48" t="str">
        <f t="shared" si="20"/>
        <v/>
      </c>
      <c r="K77" s="44"/>
      <c r="L77" s="44"/>
      <c r="M77" s="44"/>
      <c r="N77" s="44"/>
      <c r="O77" s="44"/>
      <c r="P77" s="44"/>
      <c r="Q77" s="44"/>
      <c r="R77" s="48" t="str">
        <f t="shared" si="21"/>
        <v/>
      </c>
      <c r="S77" s="47"/>
      <c r="T77" s="47"/>
      <c r="U77" s="47"/>
      <c r="V77" s="47"/>
      <c r="W77" s="47"/>
      <c r="X77" s="47"/>
      <c r="Y77" s="47"/>
      <c r="Z77" s="48" t="str">
        <f t="shared" si="22"/>
        <v/>
      </c>
      <c r="AA77" s="44"/>
      <c r="AB77" s="44"/>
      <c r="AC77" s="44"/>
      <c r="AD77" s="44"/>
      <c r="AE77" s="44"/>
      <c r="AF77" s="44"/>
      <c r="AG77" s="44"/>
      <c r="AH77" s="48" t="str">
        <f t="shared" si="23"/>
        <v/>
      </c>
      <c r="AI77" s="44"/>
      <c r="AJ77" s="44"/>
      <c r="AK77" s="44"/>
      <c r="AL77" s="44"/>
      <c r="AM77" s="44"/>
      <c r="AN77" s="44"/>
      <c r="AO77" s="44"/>
      <c r="AP77" s="48" t="str">
        <f t="shared" si="24"/>
        <v/>
      </c>
      <c r="AQ77" s="44"/>
      <c r="AR77" s="44"/>
      <c r="AS77" s="44"/>
      <c r="AT77" s="44"/>
      <c r="AU77" s="44"/>
      <c r="AV77" s="44"/>
      <c r="AW77" s="44"/>
      <c r="AX77" s="48" t="str">
        <f t="shared" si="25"/>
        <v/>
      </c>
      <c r="AY77" s="50"/>
      <c r="AZ77" s="50"/>
      <c r="BA77" s="50"/>
      <c r="BB77" s="50"/>
      <c r="BC77" s="50"/>
      <c r="BD77" s="50"/>
      <c r="BE77" s="50"/>
      <c r="BF77" s="48" t="str">
        <f t="shared" si="26"/>
        <v/>
      </c>
      <c r="BG77" s="44"/>
      <c r="BH77" s="44"/>
      <c r="BI77" s="44"/>
      <c r="BJ77" s="44"/>
      <c r="BK77" s="44"/>
      <c r="BL77" s="44"/>
      <c r="BM77" s="44"/>
      <c r="BN77" s="48" t="str">
        <f t="shared" si="27"/>
        <v/>
      </c>
      <c r="BO77" s="50"/>
      <c r="BP77" s="50"/>
      <c r="BQ77" s="50"/>
      <c r="BR77" s="50"/>
      <c r="BS77" s="50"/>
      <c r="BT77" s="50"/>
      <c r="BU77" s="50"/>
      <c r="BV77" s="48" t="str">
        <f t="shared" si="28"/>
        <v/>
      </c>
      <c r="BW77" s="44"/>
      <c r="BX77" s="44"/>
      <c r="BY77" s="44"/>
      <c r="BZ77" s="44"/>
      <c r="CA77" s="44"/>
      <c r="CB77" s="44"/>
      <c r="CC77" s="55"/>
      <c r="CD77" s="48" t="str">
        <f t="shared" si="29"/>
        <v/>
      </c>
    </row>
    <row r="78" spans="1:82" ht="40" customHeight="1" x14ac:dyDescent="0.15">
      <c r="A78" s="73" t="s">
        <v>198</v>
      </c>
      <c r="B78" s="74" t="s">
        <v>199</v>
      </c>
      <c r="C78" s="70"/>
      <c r="D78" s="44"/>
      <c r="E78" s="44"/>
      <c r="F78" s="44"/>
      <c r="G78" s="44"/>
      <c r="H78" s="44"/>
      <c r="I78" s="44"/>
      <c r="J78" s="48" t="str">
        <f t="shared" si="20"/>
        <v/>
      </c>
      <c r="K78" s="44"/>
      <c r="L78" s="44"/>
      <c r="M78" s="44"/>
      <c r="N78" s="44"/>
      <c r="O78" s="44"/>
      <c r="P78" s="44"/>
      <c r="Q78" s="44"/>
      <c r="R78" s="48" t="str">
        <f t="shared" si="21"/>
        <v/>
      </c>
      <c r="S78" s="47"/>
      <c r="T78" s="47"/>
      <c r="U78" s="47"/>
      <c r="V78" s="47"/>
      <c r="W78" s="47"/>
      <c r="X78" s="47"/>
      <c r="Y78" s="47"/>
      <c r="Z78" s="48" t="str">
        <f t="shared" si="22"/>
        <v/>
      </c>
      <c r="AA78" s="44"/>
      <c r="AB78" s="44"/>
      <c r="AC78" s="44"/>
      <c r="AD78" s="44"/>
      <c r="AE78" s="44"/>
      <c r="AF78" s="44"/>
      <c r="AG78" s="44"/>
      <c r="AH78" s="48" t="str">
        <f t="shared" si="23"/>
        <v/>
      </c>
      <c r="AI78" s="44"/>
      <c r="AJ78" s="44"/>
      <c r="AK78" s="44"/>
      <c r="AL78" s="44"/>
      <c r="AM78" s="44"/>
      <c r="AN78" s="44"/>
      <c r="AO78" s="44"/>
      <c r="AP78" s="48" t="str">
        <f t="shared" si="24"/>
        <v/>
      </c>
      <c r="AQ78" s="44"/>
      <c r="AR78" s="44"/>
      <c r="AS78" s="44"/>
      <c r="AT78" s="44"/>
      <c r="AU78" s="44"/>
      <c r="AV78" s="44"/>
      <c r="AW78" s="44"/>
      <c r="AX78" s="48" t="str">
        <f t="shared" si="25"/>
        <v/>
      </c>
      <c r="AY78" s="50"/>
      <c r="AZ78" s="50"/>
      <c r="BA78" s="50"/>
      <c r="BB78" s="50"/>
      <c r="BC78" s="50"/>
      <c r="BD78" s="50"/>
      <c r="BE78" s="50"/>
      <c r="BF78" s="48" t="str">
        <f t="shared" si="26"/>
        <v/>
      </c>
      <c r="BG78" s="44"/>
      <c r="BH78" s="44"/>
      <c r="BI78" s="44"/>
      <c r="BJ78" s="44"/>
      <c r="BK78" s="44"/>
      <c r="BL78" s="44"/>
      <c r="BM78" s="44"/>
      <c r="BN78" s="48" t="str">
        <f t="shared" si="27"/>
        <v/>
      </c>
      <c r="BO78" s="50"/>
      <c r="BP78" s="50"/>
      <c r="BQ78" s="50"/>
      <c r="BR78" s="50"/>
      <c r="BS78" s="50"/>
      <c r="BT78" s="50"/>
      <c r="BU78" s="50"/>
      <c r="BV78" s="48" t="str">
        <f t="shared" si="28"/>
        <v/>
      </c>
      <c r="BW78" s="44"/>
      <c r="BX78" s="44"/>
      <c r="BY78" s="44"/>
      <c r="BZ78" s="44"/>
      <c r="CA78" s="44"/>
      <c r="CB78" s="44"/>
      <c r="CC78" s="55"/>
      <c r="CD78" s="48" t="str">
        <f t="shared" si="29"/>
        <v/>
      </c>
    </row>
    <row r="79" spans="1:82" ht="40" customHeight="1" x14ac:dyDescent="0.15">
      <c r="A79" s="71" t="s">
        <v>200</v>
      </c>
      <c r="B79" s="72" t="s">
        <v>201</v>
      </c>
      <c r="C79" s="70"/>
      <c r="D79" s="44"/>
      <c r="E79" s="44"/>
      <c r="F79" s="44"/>
      <c r="G79" s="44"/>
      <c r="H79" s="44"/>
      <c r="I79" s="44"/>
      <c r="J79" s="48" t="str">
        <f t="shared" si="20"/>
        <v/>
      </c>
      <c r="K79" s="44"/>
      <c r="L79" s="44"/>
      <c r="M79" s="44"/>
      <c r="N79" s="44"/>
      <c r="O79" s="44"/>
      <c r="P79" s="44"/>
      <c r="Q79" s="44"/>
      <c r="R79" s="48" t="str">
        <f t="shared" si="21"/>
        <v/>
      </c>
      <c r="S79" s="47"/>
      <c r="T79" s="47"/>
      <c r="U79" s="47"/>
      <c r="V79" s="47"/>
      <c r="W79" s="47"/>
      <c r="X79" s="47"/>
      <c r="Y79" s="47"/>
      <c r="Z79" s="48" t="str">
        <f t="shared" si="22"/>
        <v/>
      </c>
      <c r="AA79" s="44"/>
      <c r="AB79" s="44"/>
      <c r="AC79" s="44"/>
      <c r="AD79" s="44"/>
      <c r="AE79" s="44"/>
      <c r="AF79" s="44"/>
      <c r="AG79" s="44"/>
      <c r="AH79" s="48" t="str">
        <f t="shared" si="23"/>
        <v/>
      </c>
      <c r="AI79" s="44"/>
      <c r="AJ79" s="44"/>
      <c r="AK79" s="44"/>
      <c r="AL79" s="44"/>
      <c r="AM79" s="44"/>
      <c r="AN79" s="44"/>
      <c r="AO79" s="44"/>
      <c r="AP79" s="48" t="str">
        <f t="shared" si="24"/>
        <v/>
      </c>
      <c r="AQ79" s="44"/>
      <c r="AR79" s="44"/>
      <c r="AS79" s="44"/>
      <c r="AT79" s="44"/>
      <c r="AU79" s="44"/>
      <c r="AV79" s="44"/>
      <c r="AW79" s="44"/>
      <c r="AX79" s="48" t="str">
        <f t="shared" si="25"/>
        <v/>
      </c>
      <c r="AY79" s="50"/>
      <c r="AZ79" s="50"/>
      <c r="BA79" s="50"/>
      <c r="BB79" s="50"/>
      <c r="BC79" s="50"/>
      <c r="BD79" s="50"/>
      <c r="BE79" s="50"/>
      <c r="BF79" s="48" t="str">
        <f t="shared" si="26"/>
        <v/>
      </c>
      <c r="BG79" s="44"/>
      <c r="BH79" s="44"/>
      <c r="BI79" s="44"/>
      <c r="BJ79" s="44"/>
      <c r="BK79" s="44"/>
      <c r="BL79" s="44"/>
      <c r="BM79" s="44"/>
      <c r="BN79" s="48" t="str">
        <f t="shared" si="27"/>
        <v/>
      </c>
      <c r="BO79" s="50"/>
      <c r="BP79" s="50"/>
      <c r="BQ79" s="50"/>
      <c r="BR79" s="50"/>
      <c r="BS79" s="50"/>
      <c r="BT79" s="50"/>
      <c r="BU79" s="50"/>
      <c r="BV79" s="48" t="str">
        <f t="shared" si="28"/>
        <v/>
      </c>
      <c r="BW79" s="44"/>
      <c r="BX79" s="44"/>
      <c r="BY79" s="44"/>
      <c r="BZ79" s="44"/>
      <c r="CA79" s="44"/>
      <c r="CB79" s="44"/>
      <c r="CC79" s="55"/>
      <c r="CD79" s="48" t="str">
        <f t="shared" si="29"/>
        <v/>
      </c>
    </row>
    <row r="80" spans="1:82" ht="40" customHeight="1" x14ac:dyDescent="0.15">
      <c r="A80" s="73" t="s">
        <v>202</v>
      </c>
      <c r="B80" s="74" t="s">
        <v>203</v>
      </c>
      <c r="C80" s="70"/>
      <c r="D80" s="44"/>
      <c r="E80" s="44"/>
      <c r="F80" s="44"/>
      <c r="G80" s="44"/>
      <c r="H80" s="44"/>
      <c r="I80" s="44"/>
      <c r="J80" s="48" t="str">
        <f t="shared" si="20"/>
        <v/>
      </c>
      <c r="K80" s="44"/>
      <c r="L80" s="44"/>
      <c r="M80" s="44"/>
      <c r="N80" s="44"/>
      <c r="O80" s="44"/>
      <c r="P80" s="44"/>
      <c r="Q80" s="44"/>
      <c r="R80" s="48" t="str">
        <f t="shared" si="21"/>
        <v/>
      </c>
      <c r="S80" s="47"/>
      <c r="T80" s="47"/>
      <c r="U80" s="47"/>
      <c r="V80" s="47"/>
      <c r="W80" s="47"/>
      <c r="X80" s="47"/>
      <c r="Y80" s="47"/>
      <c r="Z80" s="48" t="str">
        <f t="shared" si="22"/>
        <v/>
      </c>
      <c r="AA80" s="44"/>
      <c r="AB80" s="44"/>
      <c r="AC80" s="44"/>
      <c r="AD80" s="44"/>
      <c r="AE80" s="44"/>
      <c r="AF80" s="44"/>
      <c r="AG80" s="44"/>
      <c r="AH80" s="48" t="str">
        <f t="shared" si="23"/>
        <v/>
      </c>
      <c r="AI80" s="44"/>
      <c r="AJ80" s="44"/>
      <c r="AK80" s="44"/>
      <c r="AL80" s="44"/>
      <c r="AM80" s="44"/>
      <c r="AN80" s="44"/>
      <c r="AO80" s="44"/>
      <c r="AP80" s="48" t="str">
        <f t="shared" si="24"/>
        <v/>
      </c>
      <c r="AQ80" s="44"/>
      <c r="AR80" s="44"/>
      <c r="AS80" s="44"/>
      <c r="AT80" s="44"/>
      <c r="AU80" s="44"/>
      <c r="AV80" s="44"/>
      <c r="AW80" s="44"/>
      <c r="AX80" s="48" t="str">
        <f t="shared" si="25"/>
        <v/>
      </c>
      <c r="AY80" s="50"/>
      <c r="AZ80" s="50"/>
      <c r="BA80" s="50"/>
      <c r="BB80" s="50"/>
      <c r="BC80" s="50"/>
      <c r="BD80" s="50"/>
      <c r="BE80" s="50"/>
      <c r="BF80" s="48" t="str">
        <f t="shared" si="26"/>
        <v/>
      </c>
      <c r="BG80" s="44"/>
      <c r="BH80" s="44"/>
      <c r="BI80" s="44"/>
      <c r="BJ80" s="44"/>
      <c r="BK80" s="44"/>
      <c r="BL80" s="44"/>
      <c r="BM80" s="44"/>
      <c r="BN80" s="48" t="str">
        <f t="shared" si="27"/>
        <v/>
      </c>
      <c r="BO80" s="50"/>
      <c r="BP80" s="50"/>
      <c r="BQ80" s="50"/>
      <c r="BR80" s="50"/>
      <c r="BS80" s="50"/>
      <c r="BT80" s="50"/>
      <c r="BU80" s="50"/>
      <c r="BV80" s="48" t="str">
        <f t="shared" si="28"/>
        <v/>
      </c>
      <c r="BW80" s="44"/>
      <c r="BX80" s="44"/>
      <c r="BY80" s="44"/>
      <c r="BZ80" s="44"/>
      <c r="CA80" s="44"/>
      <c r="CB80" s="44"/>
      <c r="CC80" s="55"/>
      <c r="CD80" s="48" t="str">
        <f t="shared" si="29"/>
        <v/>
      </c>
    </row>
    <row r="81" spans="1:82" ht="40" customHeight="1" x14ac:dyDescent="0.15">
      <c r="A81" s="71" t="s">
        <v>204</v>
      </c>
      <c r="B81" s="72" t="s">
        <v>205</v>
      </c>
      <c r="C81" s="70"/>
      <c r="D81" s="44"/>
      <c r="E81" s="44"/>
      <c r="F81" s="44"/>
      <c r="G81" s="44"/>
      <c r="H81" s="44"/>
      <c r="I81" s="44"/>
      <c r="J81" s="48" t="str">
        <f t="shared" si="20"/>
        <v/>
      </c>
      <c r="K81" s="44"/>
      <c r="L81" s="44"/>
      <c r="M81" s="44"/>
      <c r="N81" s="44"/>
      <c r="O81" s="44"/>
      <c r="P81" s="44"/>
      <c r="Q81" s="44"/>
      <c r="R81" s="48" t="str">
        <f t="shared" si="21"/>
        <v/>
      </c>
      <c r="S81" s="47"/>
      <c r="T81" s="47"/>
      <c r="U81" s="47"/>
      <c r="V81" s="47"/>
      <c r="W81" s="47"/>
      <c r="X81" s="47"/>
      <c r="Y81" s="47"/>
      <c r="Z81" s="48" t="str">
        <f t="shared" si="22"/>
        <v/>
      </c>
      <c r="AA81" s="44"/>
      <c r="AB81" s="44"/>
      <c r="AC81" s="44"/>
      <c r="AD81" s="44"/>
      <c r="AE81" s="44"/>
      <c r="AF81" s="44"/>
      <c r="AG81" s="44"/>
      <c r="AH81" s="48" t="str">
        <f t="shared" si="23"/>
        <v/>
      </c>
      <c r="AI81" s="44"/>
      <c r="AJ81" s="44"/>
      <c r="AK81" s="44"/>
      <c r="AL81" s="44"/>
      <c r="AM81" s="44"/>
      <c r="AN81" s="44"/>
      <c r="AO81" s="44"/>
      <c r="AP81" s="48" t="str">
        <f t="shared" si="24"/>
        <v/>
      </c>
      <c r="AQ81" s="44"/>
      <c r="AR81" s="44"/>
      <c r="AS81" s="44"/>
      <c r="AT81" s="44"/>
      <c r="AU81" s="44"/>
      <c r="AV81" s="44"/>
      <c r="AW81" s="44"/>
      <c r="AX81" s="48" t="str">
        <f t="shared" si="25"/>
        <v/>
      </c>
      <c r="AY81" s="50"/>
      <c r="AZ81" s="50"/>
      <c r="BA81" s="50"/>
      <c r="BB81" s="50"/>
      <c r="BC81" s="50"/>
      <c r="BD81" s="50"/>
      <c r="BE81" s="50"/>
      <c r="BF81" s="48" t="str">
        <f t="shared" si="26"/>
        <v/>
      </c>
      <c r="BG81" s="44"/>
      <c r="BH81" s="44"/>
      <c r="BI81" s="44"/>
      <c r="BJ81" s="44"/>
      <c r="BK81" s="44"/>
      <c r="BL81" s="44"/>
      <c r="BM81" s="44"/>
      <c r="BN81" s="48" t="str">
        <f t="shared" si="27"/>
        <v/>
      </c>
      <c r="BO81" s="50"/>
      <c r="BP81" s="50"/>
      <c r="BQ81" s="50"/>
      <c r="BR81" s="50"/>
      <c r="BS81" s="50"/>
      <c r="BT81" s="50"/>
      <c r="BU81" s="50"/>
      <c r="BV81" s="48" t="str">
        <f t="shared" si="28"/>
        <v/>
      </c>
      <c r="BW81" s="44"/>
      <c r="BX81" s="44"/>
      <c r="BY81" s="44"/>
      <c r="BZ81" s="44"/>
      <c r="CA81" s="44"/>
      <c r="CB81" s="44"/>
      <c r="CC81" s="55"/>
      <c r="CD81" s="48" t="str">
        <f t="shared" si="29"/>
        <v/>
      </c>
    </row>
    <row r="82" spans="1:82" ht="40" customHeight="1" x14ac:dyDescent="0.15">
      <c r="A82" s="73" t="s">
        <v>206</v>
      </c>
      <c r="B82" s="74" t="s">
        <v>207</v>
      </c>
      <c r="C82" s="70"/>
      <c r="D82" s="44"/>
      <c r="E82" s="44"/>
      <c r="F82" s="44"/>
      <c r="G82" s="44"/>
      <c r="H82" s="44"/>
      <c r="I82" s="44"/>
      <c r="J82" s="48" t="str">
        <f t="shared" si="20"/>
        <v/>
      </c>
      <c r="K82" s="44"/>
      <c r="L82" s="44"/>
      <c r="M82" s="44"/>
      <c r="N82" s="44"/>
      <c r="O82" s="44"/>
      <c r="P82" s="44"/>
      <c r="Q82" s="44"/>
      <c r="R82" s="48" t="str">
        <f t="shared" si="21"/>
        <v/>
      </c>
      <c r="S82" s="47"/>
      <c r="T82" s="47"/>
      <c r="U82" s="47"/>
      <c r="V82" s="47"/>
      <c r="W82" s="47"/>
      <c r="X82" s="47"/>
      <c r="Y82" s="47"/>
      <c r="Z82" s="48" t="str">
        <f t="shared" si="22"/>
        <v/>
      </c>
      <c r="AA82" s="44"/>
      <c r="AB82" s="44"/>
      <c r="AC82" s="44"/>
      <c r="AD82" s="44"/>
      <c r="AE82" s="44"/>
      <c r="AF82" s="44"/>
      <c r="AG82" s="44"/>
      <c r="AH82" s="48" t="str">
        <f t="shared" si="23"/>
        <v/>
      </c>
      <c r="AI82" s="44"/>
      <c r="AJ82" s="44"/>
      <c r="AK82" s="44"/>
      <c r="AL82" s="44"/>
      <c r="AM82" s="44"/>
      <c r="AN82" s="44"/>
      <c r="AO82" s="44"/>
      <c r="AP82" s="48" t="str">
        <f t="shared" si="24"/>
        <v/>
      </c>
      <c r="AQ82" s="44"/>
      <c r="AR82" s="44"/>
      <c r="AS82" s="44"/>
      <c r="AT82" s="44"/>
      <c r="AU82" s="44"/>
      <c r="AV82" s="44"/>
      <c r="AW82" s="44"/>
      <c r="AX82" s="48" t="str">
        <f t="shared" si="25"/>
        <v/>
      </c>
      <c r="AY82" s="50"/>
      <c r="AZ82" s="50"/>
      <c r="BA82" s="50"/>
      <c r="BB82" s="50"/>
      <c r="BC82" s="50"/>
      <c r="BD82" s="50"/>
      <c r="BE82" s="50"/>
      <c r="BF82" s="48" t="str">
        <f t="shared" si="26"/>
        <v/>
      </c>
      <c r="BG82" s="44"/>
      <c r="BH82" s="44"/>
      <c r="BI82" s="44"/>
      <c r="BJ82" s="44"/>
      <c r="BK82" s="44"/>
      <c r="BL82" s="44"/>
      <c r="BM82" s="44"/>
      <c r="BN82" s="48" t="str">
        <f t="shared" si="27"/>
        <v/>
      </c>
      <c r="BO82" s="50"/>
      <c r="BP82" s="50"/>
      <c r="BQ82" s="50"/>
      <c r="BR82" s="50"/>
      <c r="BS82" s="50"/>
      <c r="BT82" s="50"/>
      <c r="BU82" s="50"/>
      <c r="BV82" s="48" t="str">
        <f t="shared" si="28"/>
        <v/>
      </c>
      <c r="BW82" s="44"/>
      <c r="BX82" s="44"/>
      <c r="BY82" s="44"/>
      <c r="BZ82" s="44"/>
      <c r="CA82" s="44"/>
      <c r="CB82" s="44"/>
      <c r="CC82" s="55"/>
      <c r="CD82" s="48" t="str">
        <f t="shared" si="29"/>
        <v/>
      </c>
    </row>
    <row r="83" spans="1:82" ht="40" customHeight="1" x14ac:dyDescent="0.15">
      <c r="A83" s="71" t="s">
        <v>208</v>
      </c>
      <c r="B83" s="72" t="s">
        <v>209</v>
      </c>
      <c r="C83" s="70"/>
      <c r="D83" s="44"/>
      <c r="E83" s="44"/>
      <c r="F83" s="44"/>
      <c r="G83" s="44"/>
      <c r="H83" s="44"/>
      <c r="I83" s="44"/>
      <c r="J83" s="48" t="str">
        <f t="shared" si="20"/>
        <v/>
      </c>
      <c r="K83" s="44"/>
      <c r="L83" s="44"/>
      <c r="M83" s="44"/>
      <c r="N83" s="44"/>
      <c r="O83" s="44"/>
      <c r="P83" s="44"/>
      <c r="Q83" s="44"/>
      <c r="R83" s="48" t="str">
        <f t="shared" si="21"/>
        <v/>
      </c>
      <c r="S83" s="47"/>
      <c r="T83" s="47"/>
      <c r="U83" s="47"/>
      <c r="V83" s="47"/>
      <c r="W83" s="47"/>
      <c r="X83" s="47"/>
      <c r="Y83" s="47"/>
      <c r="Z83" s="48" t="str">
        <f t="shared" si="22"/>
        <v/>
      </c>
      <c r="AA83" s="44"/>
      <c r="AB83" s="44"/>
      <c r="AC83" s="44"/>
      <c r="AD83" s="44"/>
      <c r="AE83" s="44"/>
      <c r="AF83" s="44"/>
      <c r="AG83" s="44"/>
      <c r="AH83" s="48" t="str">
        <f t="shared" si="23"/>
        <v/>
      </c>
      <c r="AI83" s="44"/>
      <c r="AJ83" s="44"/>
      <c r="AK83" s="44"/>
      <c r="AL83" s="44"/>
      <c r="AM83" s="44"/>
      <c r="AN83" s="44"/>
      <c r="AO83" s="44"/>
      <c r="AP83" s="48" t="str">
        <f t="shared" si="24"/>
        <v/>
      </c>
      <c r="AQ83" s="44"/>
      <c r="AR83" s="44"/>
      <c r="AS83" s="44"/>
      <c r="AT83" s="44"/>
      <c r="AU83" s="44"/>
      <c r="AV83" s="44"/>
      <c r="AW83" s="44"/>
      <c r="AX83" s="48" t="str">
        <f t="shared" si="25"/>
        <v/>
      </c>
      <c r="AY83" s="50"/>
      <c r="AZ83" s="50"/>
      <c r="BA83" s="50"/>
      <c r="BB83" s="50"/>
      <c r="BC83" s="50"/>
      <c r="BD83" s="50"/>
      <c r="BE83" s="50"/>
      <c r="BF83" s="48" t="str">
        <f t="shared" si="26"/>
        <v/>
      </c>
      <c r="BG83" s="44"/>
      <c r="BH83" s="44"/>
      <c r="BI83" s="44"/>
      <c r="BJ83" s="44"/>
      <c r="BK83" s="44"/>
      <c r="BL83" s="44"/>
      <c r="BM83" s="44"/>
      <c r="BN83" s="48" t="str">
        <f t="shared" si="27"/>
        <v/>
      </c>
      <c r="BO83" s="50"/>
      <c r="BP83" s="50"/>
      <c r="BQ83" s="50"/>
      <c r="BR83" s="50"/>
      <c r="BS83" s="50"/>
      <c r="BT83" s="50"/>
      <c r="BU83" s="50"/>
      <c r="BV83" s="48" t="str">
        <f t="shared" si="28"/>
        <v/>
      </c>
      <c r="BW83" s="44"/>
      <c r="BX83" s="44"/>
      <c r="BY83" s="44"/>
      <c r="BZ83" s="44"/>
      <c r="CA83" s="44"/>
      <c r="CB83" s="44"/>
      <c r="CC83" s="55"/>
      <c r="CD83" s="48" t="str">
        <f t="shared" si="29"/>
        <v/>
      </c>
    </row>
    <row r="84" spans="1:82" ht="40" customHeight="1" x14ac:dyDescent="0.15">
      <c r="A84" s="73" t="s">
        <v>210</v>
      </c>
      <c r="B84" s="74" t="s">
        <v>211</v>
      </c>
      <c r="C84" s="70"/>
      <c r="D84" s="44"/>
      <c r="E84" s="44"/>
      <c r="F84" s="44"/>
      <c r="G84" s="44"/>
      <c r="H84" s="44"/>
      <c r="I84" s="44"/>
      <c r="J84" s="48" t="str">
        <f t="shared" si="20"/>
        <v/>
      </c>
      <c r="K84" s="44"/>
      <c r="L84" s="44"/>
      <c r="M84" s="44"/>
      <c r="N84" s="44"/>
      <c r="O84" s="44"/>
      <c r="P84" s="44"/>
      <c r="Q84" s="44"/>
      <c r="R84" s="48" t="str">
        <f t="shared" si="21"/>
        <v/>
      </c>
      <c r="S84" s="47"/>
      <c r="T84" s="47"/>
      <c r="U84" s="47"/>
      <c r="V84" s="47"/>
      <c r="W84" s="47"/>
      <c r="X84" s="47"/>
      <c r="Y84" s="47"/>
      <c r="Z84" s="48" t="str">
        <f t="shared" si="22"/>
        <v/>
      </c>
      <c r="AA84" s="44"/>
      <c r="AB84" s="44"/>
      <c r="AC84" s="44"/>
      <c r="AD84" s="44"/>
      <c r="AE84" s="44"/>
      <c r="AF84" s="44"/>
      <c r="AG84" s="44"/>
      <c r="AH84" s="48" t="str">
        <f t="shared" si="23"/>
        <v/>
      </c>
      <c r="AI84" s="44"/>
      <c r="AJ84" s="44"/>
      <c r="AK84" s="44"/>
      <c r="AL84" s="44"/>
      <c r="AM84" s="44"/>
      <c r="AN84" s="44"/>
      <c r="AO84" s="44"/>
      <c r="AP84" s="48" t="str">
        <f t="shared" si="24"/>
        <v/>
      </c>
      <c r="AQ84" s="44"/>
      <c r="AR84" s="44"/>
      <c r="AS84" s="44"/>
      <c r="AT84" s="44"/>
      <c r="AU84" s="44"/>
      <c r="AV84" s="44"/>
      <c r="AW84" s="44"/>
      <c r="AX84" s="48" t="str">
        <f t="shared" si="25"/>
        <v/>
      </c>
      <c r="AY84" s="50"/>
      <c r="AZ84" s="50"/>
      <c r="BA84" s="50"/>
      <c r="BB84" s="50"/>
      <c r="BC84" s="50"/>
      <c r="BD84" s="50"/>
      <c r="BE84" s="50"/>
      <c r="BF84" s="48" t="str">
        <f t="shared" si="26"/>
        <v/>
      </c>
      <c r="BG84" s="44"/>
      <c r="BH84" s="44"/>
      <c r="BI84" s="44"/>
      <c r="BJ84" s="44"/>
      <c r="BK84" s="44"/>
      <c r="BL84" s="44"/>
      <c r="BM84" s="44"/>
      <c r="BN84" s="48" t="str">
        <f t="shared" si="27"/>
        <v/>
      </c>
      <c r="BO84" s="50"/>
      <c r="BP84" s="50"/>
      <c r="BQ84" s="50"/>
      <c r="BR84" s="50"/>
      <c r="BS84" s="50"/>
      <c r="BT84" s="50"/>
      <c r="BU84" s="50"/>
      <c r="BV84" s="48" t="str">
        <f t="shared" si="28"/>
        <v/>
      </c>
      <c r="BW84" s="44"/>
      <c r="BX84" s="44"/>
      <c r="BY84" s="44"/>
      <c r="BZ84" s="44"/>
      <c r="CA84" s="44"/>
      <c r="CB84" s="44"/>
      <c r="CC84" s="55"/>
      <c r="CD84" s="48" t="str">
        <f t="shared" si="29"/>
        <v/>
      </c>
    </row>
    <row r="85" spans="1:82" ht="40" customHeight="1" x14ac:dyDescent="0.15">
      <c r="A85" s="71" t="s">
        <v>212</v>
      </c>
      <c r="B85" s="72" t="s">
        <v>213</v>
      </c>
      <c r="C85" s="70"/>
      <c r="D85" s="44"/>
      <c r="E85" s="44"/>
      <c r="F85" s="44"/>
      <c r="G85" s="44"/>
      <c r="H85" s="44"/>
      <c r="I85" s="44"/>
      <c r="J85" s="48" t="str">
        <f t="shared" si="20"/>
        <v/>
      </c>
      <c r="K85" s="44"/>
      <c r="L85" s="44"/>
      <c r="M85" s="44"/>
      <c r="N85" s="44"/>
      <c r="O85" s="44"/>
      <c r="P85" s="44"/>
      <c r="Q85" s="44"/>
      <c r="R85" s="48" t="str">
        <f t="shared" si="21"/>
        <v/>
      </c>
      <c r="S85" s="47"/>
      <c r="T85" s="47"/>
      <c r="U85" s="47"/>
      <c r="V85" s="47"/>
      <c r="W85" s="47"/>
      <c r="X85" s="47"/>
      <c r="Y85" s="47"/>
      <c r="Z85" s="48" t="str">
        <f t="shared" si="22"/>
        <v/>
      </c>
      <c r="AA85" s="44"/>
      <c r="AB85" s="44"/>
      <c r="AC85" s="44"/>
      <c r="AD85" s="44"/>
      <c r="AE85" s="44"/>
      <c r="AF85" s="44"/>
      <c r="AG85" s="44"/>
      <c r="AH85" s="48" t="str">
        <f t="shared" si="23"/>
        <v/>
      </c>
      <c r="AI85" s="44"/>
      <c r="AJ85" s="44"/>
      <c r="AK85" s="44"/>
      <c r="AL85" s="44"/>
      <c r="AM85" s="44"/>
      <c r="AN85" s="44"/>
      <c r="AO85" s="44"/>
      <c r="AP85" s="48" t="str">
        <f t="shared" si="24"/>
        <v/>
      </c>
      <c r="AQ85" s="44"/>
      <c r="AR85" s="44"/>
      <c r="AS85" s="44"/>
      <c r="AT85" s="44"/>
      <c r="AU85" s="44"/>
      <c r="AV85" s="44"/>
      <c r="AW85" s="44"/>
      <c r="AX85" s="48" t="str">
        <f t="shared" si="25"/>
        <v/>
      </c>
      <c r="AY85" s="50"/>
      <c r="AZ85" s="50"/>
      <c r="BA85" s="50"/>
      <c r="BB85" s="50"/>
      <c r="BC85" s="50"/>
      <c r="BD85" s="50"/>
      <c r="BE85" s="50"/>
      <c r="BF85" s="48" t="str">
        <f t="shared" si="26"/>
        <v/>
      </c>
      <c r="BG85" s="44"/>
      <c r="BH85" s="44"/>
      <c r="BI85" s="44"/>
      <c r="BJ85" s="44"/>
      <c r="BK85" s="44"/>
      <c r="BL85" s="44"/>
      <c r="BM85" s="44"/>
      <c r="BN85" s="48" t="str">
        <f t="shared" si="27"/>
        <v/>
      </c>
      <c r="BO85" s="50"/>
      <c r="BP85" s="50"/>
      <c r="BQ85" s="50"/>
      <c r="BR85" s="50"/>
      <c r="BS85" s="50"/>
      <c r="BT85" s="50"/>
      <c r="BU85" s="50"/>
      <c r="BV85" s="48" t="str">
        <f t="shared" si="28"/>
        <v/>
      </c>
      <c r="BW85" s="44"/>
      <c r="BX85" s="44"/>
      <c r="BY85" s="44"/>
      <c r="BZ85" s="44"/>
      <c r="CA85" s="44"/>
      <c r="CB85" s="44"/>
      <c r="CC85" s="55"/>
      <c r="CD85" s="48" t="str">
        <f t="shared" si="29"/>
        <v/>
      </c>
    </row>
    <row r="86" spans="1:82" ht="40" customHeight="1" x14ac:dyDescent="0.15">
      <c r="A86" s="71" t="s">
        <v>214</v>
      </c>
      <c r="B86" s="72" t="s">
        <v>215</v>
      </c>
      <c r="C86" s="70"/>
      <c r="D86" s="44"/>
      <c r="E86" s="44"/>
      <c r="F86" s="44"/>
      <c r="G86" s="44"/>
      <c r="H86" s="44"/>
      <c r="I86" s="44"/>
      <c r="J86" s="48" t="str">
        <f t="shared" si="20"/>
        <v/>
      </c>
      <c r="K86" s="44"/>
      <c r="L86" s="44"/>
      <c r="M86" s="44"/>
      <c r="N86" s="44"/>
      <c r="O86" s="44"/>
      <c r="P86" s="44"/>
      <c r="Q86" s="44"/>
      <c r="R86" s="48" t="str">
        <f t="shared" si="21"/>
        <v/>
      </c>
      <c r="S86" s="47"/>
      <c r="T86" s="47"/>
      <c r="U86" s="47"/>
      <c r="V86" s="47"/>
      <c r="W86" s="47"/>
      <c r="X86" s="47"/>
      <c r="Y86" s="47"/>
      <c r="Z86" s="48" t="str">
        <f t="shared" si="22"/>
        <v/>
      </c>
      <c r="AA86" s="44"/>
      <c r="AB86" s="44"/>
      <c r="AC86" s="44"/>
      <c r="AD86" s="44"/>
      <c r="AE86" s="44"/>
      <c r="AF86" s="44"/>
      <c r="AG86" s="44"/>
      <c r="AH86" s="48" t="str">
        <f t="shared" si="23"/>
        <v/>
      </c>
      <c r="AI86" s="44"/>
      <c r="AJ86" s="44"/>
      <c r="AK86" s="44"/>
      <c r="AL86" s="44"/>
      <c r="AM86" s="44"/>
      <c r="AN86" s="44"/>
      <c r="AO86" s="44"/>
      <c r="AP86" s="48" t="str">
        <f t="shared" si="24"/>
        <v/>
      </c>
      <c r="AQ86" s="44"/>
      <c r="AR86" s="44"/>
      <c r="AS86" s="44"/>
      <c r="AT86" s="44"/>
      <c r="AU86" s="44"/>
      <c r="AV86" s="44"/>
      <c r="AW86" s="44"/>
      <c r="AX86" s="48" t="str">
        <f t="shared" si="25"/>
        <v/>
      </c>
      <c r="AY86" s="50"/>
      <c r="AZ86" s="50"/>
      <c r="BA86" s="50"/>
      <c r="BB86" s="50"/>
      <c r="BC86" s="50"/>
      <c r="BD86" s="50"/>
      <c r="BE86" s="50"/>
      <c r="BF86" s="48" t="str">
        <f t="shared" si="26"/>
        <v/>
      </c>
      <c r="BG86" s="44"/>
      <c r="BH86" s="44"/>
      <c r="BI86" s="44"/>
      <c r="BJ86" s="44"/>
      <c r="BK86" s="44"/>
      <c r="BL86" s="44"/>
      <c r="BM86" s="44"/>
      <c r="BN86" s="48" t="str">
        <f t="shared" si="27"/>
        <v/>
      </c>
      <c r="BO86" s="50"/>
      <c r="BP86" s="50"/>
      <c r="BQ86" s="50"/>
      <c r="BR86" s="50"/>
      <c r="BS86" s="50"/>
      <c r="BT86" s="50"/>
      <c r="BU86" s="50"/>
      <c r="BV86" s="48" t="str">
        <f t="shared" si="28"/>
        <v/>
      </c>
      <c r="BW86" s="44"/>
      <c r="BX86" s="44"/>
      <c r="BY86" s="44"/>
      <c r="BZ86" s="44"/>
      <c r="CA86" s="44"/>
      <c r="CB86" s="44"/>
      <c r="CC86" s="55"/>
      <c r="CD86" s="48" t="str">
        <f t="shared" si="29"/>
        <v/>
      </c>
    </row>
    <row r="87" spans="1:82" ht="40" customHeight="1" x14ac:dyDescent="0.15">
      <c r="A87" s="68" t="s">
        <v>216</v>
      </c>
      <c r="B87" s="69"/>
      <c r="C87" s="70"/>
      <c r="D87" s="44"/>
      <c r="E87" s="44"/>
      <c r="F87" s="44"/>
      <c r="G87" s="44"/>
      <c r="H87" s="44"/>
      <c r="I87" s="44"/>
      <c r="J87" s="48" t="str">
        <f t="shared" si="20"/>
        <v/>
      </c>
      <c r="K87" s="44"/>
      <c r="L87" s="44"/>
      <c r="M87" s="44"/>
      <c r="N87" s="44"/>
      <c r="O87" s="44"/>
      <c r="P87" s="44"/>
      <c r="Q87" s="44"/>
      <c r="R87" s="48" t="str">
        <f t="shared" si="21"/>
        <v/>
      </c>
      <c r="S87" s="47"/>
      <c r="T87" s="47"/>
      <c r="U87" s="47"/>
      <c r="V87" s="47"/>
      <c r="W87" s="47"/>
      <c r="X87" s="47"/>
      <c r="Y87" s="47"/>
      <c r="Z87" s="48" t="str">
        <f t="shared" si="22"/>
        <v/>
      </c>
      <c r="AA87" s="44"/>
      <c r="AB87" s="44"/>
      <c r="AC87" s="44"/>
      <c r="AD87" s="44"/>
      <c r="AE87" s="44"/>
      <c r="AF87" s="44"/>
      <c r="AG87" s="44"/>
      <c r="AH87" s="48" t="str">
        <f t="shared" si="23"/>
        <v/>
      </c>
      <c r="AI87" s="44"/>
      <c r="AJ87" s="44"/>
      <c r="AK87" s="44"/>
      <c r="AL87" s="44"/>
      <c r="AM87" s="44"/>
      <c r="AN87" s="44"/>
      <c r="AO87" s="44"/>
      <c r="AP87" s="48" t="str">
        <f t="shared" si="24"/>
        <v/>
      </c>
      <c r="AQ87" s="44"/>
      <c r="AR87" s="44"/>
      <c r="AS87" s="44"/>
      <c r="AT87" s="44"/>
      <c r="AU87" s="44"/>
      <c r="AV87" s="44"/>
      <c r="AW87" s="44"/>
      <c r="AX87" s="48" t="str">
        <f t="shared" si="25"/>
        <v/>
      </c>
      <c r="AY87" s="50"/>
      <c r="AZ87" s="50"/>
      <c r="BA87" s="50"/>
      <c r="BB87" s="50"/>
      <c r="BC87" s="50"/>
      <c r="BD87" s="50"/>
      <c r="BE87" s="50"/>
      <c r="BF87" s="48" t="str">
        <f t="shared" si="26"/>
        <v/>
      </c>
      <c r="BG87" s="44"/>
      <c r="BH87" s="44"/>
      <c r="BI87" s="44"/>
      <c r="BJ87" s="44"/>
      <c r="BK87" s="44"/>
      <c r="BL87" s="44"/>
      <c r="BM87" s="44"/>
      <c r="BN87" s="48" t="str">
        <f t="shared" si="27"/>
        <v/>
      </c>
      <c r="BO87" s="50"/>
      <c r="BP87" s="50"/>
      <c r="BQ87" s="50"/>
      <c r="BR87" s="50"/>
      <c r="BS87" s="50"/>
      <c r="BT87" s="50"/>
      <c r="BU87" s="50"/>
      <c r="BV87" s="48" t="str">
        <f t="shared" si="28"/>
        <v/>
      </c>
      <c r="BW87" s="44"/>
      <c r="BX87" s="44"/>
      <c r="BY87" s="44"/>
      <c r="BZ87" s="44"/>
      <c r="CA87" s="44"/>
      <c r="CB87" s="44"/>
      <c r="CC87" s="55"/>
      <c r="CD87" s="48" t="str">
        <f t="shared" si="29"/>
        <v/>
      </c>
    </row>
    <row r="88" spans="1:82" ht="40" customHeight="1" x14ac:dyDescent="0.15">
      <c r="A88" s="71" t="s">
        <v>217</v>
      </c>
      <c r="B88" s="72" t="s">
        <v>218</v>
      </c>
      <c r="C88" s="70"/>
      <c r="D88" s="44"/>
      <c r="E88" s="44"/>
      <c r="F88" s="44"/>
      <c r="G88" s="44"/>
      <c r="H88" s="44"/>
      <c r="I88" s="44"/>
      <c r="J88" s="48" t="str">
        <f t="shared" si="20"/>
        <v/>
      </c>
      <c r="K88" s="44"/>
      <c r="L88" s="44"/>
      <c r="M88" s="44"/>
      <c r="N88" s="44"/>
      <c r="O88" s="44"/>
      <c r="P88" s="44"/>
      <c r="Q88" s="44"/>
      <c r="R88" s="48" t="str">
        <f t="shared" si="21"/>
        <v/>
      </c>
      <c r="S88" s="47"/>
      <c r="T88" s="47"/>
      <c r="U88" s="47"/>
      <c r="V88" s="47"/>
      <c r="W88" s="47"/>
      <c r="X88" s="47"/>
      <c r="Y88" s="47"/>
      <c r="Z88" s="48" t="str">
        <f t="shared" si="22"/>
        <v/>
      </c>
      <c r="AA88" s="44"/>
      <c r="AB88" s="44"/>
      <c r="AC88" s="44"/>
      <c r="AD88" s="44"/>
      <c r="AE88" s="44"/>
      <c r="AF88" s="44"/>
      <c r="AG88" s="44"/>
      <c r="AH88" s="48" t="str">
        <f t="shared" si="23"/>
        <v/>
      </c>
      <c r="AI88" s="44"/>
      <c r="AJ88" s="44"/>
      <c r="AK88" s="44"/>
      <c r="AL88" s="44"/>
      <c r="AM88" s="44"/>
      <c r="AN88" s="44"/>
      <c r="AO88" s="44"/>
      <c r="AP88" s="48" t="str">
        <f t="shared" si="24"/>
        <v/>
      </c>
      <c r="AQ88" s="44"/>
      <c r="AR88" s="44"/>
      <c r="AS88" s="44"/>
      <c r="AT88" s="44"/>
      <c r="AU88" s="44"/>
      <c r="AV88" s="44"/>
      <c r="AW88" s="44"/>
      <c r="AX88" s="48" t="str">
        <f t="shared" si="25"/>
        <v/>
      </c>
      <c r="AY88" s="50"/>
      <c r="AZ88" s="50"/>
      <c r="BA88" s="50"/>
      <c r="BB88" s="50"/>
      <c r="BC88" s="50"/>
      <c r="BD88" s="50"/>
      <c r="BE88" s="50"/>
      <c r="BF88" s="48" t="str">
        <f t="shared" si="26"/>
        <v/>
      </c>
      <c r="BG88" s="44"/>
      <c r="BH88" s="44"/>
      <c r="BI88" s="44"/>
      <c r="BJ88" s="44"/>
      <c r="BK88" s="44"/>
      <c r="BL88" s="44"/>
      <c r="BM88" s="44"/>
      <c r="BN88" s="48" t="str">
        <f t="shared" si="27"/>
        <v/>
      </c>
      <c r="BO88" s="50"/>
      <c r="BP88" s="50"/>
      <c r="BQ88" s="50"/>
      <c r="BR88" s="50"/>
      <c r="BS88" s="50"/>
      <c r="BT88" s="50"/>
      <c r="BU88" s="50"/>
      <c r="BV88" s="48" t="str">
        <f t="shared" si="28"/>
        <v/>
      </c>
      <c r="BW88" s="44"/>
      <c r="BX88" s="44"/>
      <c r="BY88" s="44"/>
      <c r="BZ88" s="44"/>
      <c r="CA88" s="44"/>
      <c r="CB88" s="44"/>
      <c r="CC88" s="55"/>
      <c r="CD88" s="48" t="str">
        <f t="shared" si="29"/>
        <v/>
      </c>
    </row>
    <row r="89" spans="1:82" ht="40" customHeight="1" x14ac:dyDescent="0.15">
      <c r="A89" s="73" t="s">
        <v>219</v>
      </c>
      <c r="B89" s="74" t="s">
        <v>220</v>
      </c>
      <c r="C89" s="70"/>
      <c r="D89" s="44"/>
      <c r="E89" s="44"/>
      <c r="F89" s="44"/>
      <c r="G89" s="44"/>
      <c r="H89" s="44"/>
      <c r="I89" s="44"/>
      <c r="J89" s="48" t="str">
        <f t="shared" si="20"/>
        <v/>
      </c>
      <c r="K89" s="44"/>
      <c r="L89" s="44"/>
      <c r="M89" s="44"/>
      <c r="N89" s="44"/>
      <c r="O89" s="44"/>
      <c r="P89" s="44"/>
      <c r="Q89" s="44"/>
      <c r="R89" s="48" t="str">
        <f t="shared" si="21"/>
        <v/>
      </c>
      <c r="S89" s="47"/>
      <c r="T89" s="47"/>
      <c r="U89" s="47"/>
      <c r="V89" s="47"/>
      <c r="W89" s="47"/>
      <c r="X89" s="47"/>
      <c r="Y89" s="47"/>
      <c r="Z89" s="48" t="str">
        <f t="shared" si="22"/>
        <v/>
      </c>
      <c r="AA89" s="44"/>
      <c r="AB89" s="44"/>
      <c r="AC89" s="44"/>
      <c r="AD89" s="44"/>
      <c r="AE89" s="44"/>
      <c r="AF89" s="44"/>
      <c r="AG89" s="44"/>
      <c r="AH89" s="48" t="str">
        <f t="shared" si="23"/>
        <v/>
      </c>
      <c r="AI89" s="44"/>
      <c r="AJ89" s="44"/>
      <c r="AK89" s="44"/>
      <c r="AL89" s="44"/>
      <c r="AM89" s="44"/>
      <c r="AN89" s="44"/>
      <c r="AO89" s="44"/>
      <c r="AP89" s="48" t="str">
        <f t="shared" si="24"/>
        <v/>
      </c>
      <c r="AQ89" s="44"/>
      <c r="AR89" s="44"/>
      <c r="AS89" s="44"/>
      <c r="AT89" s="44"/>
      <c r="AU89" s="44"/>
      <c r="AV89" s="44"/>
      <c r="AW89" s="44"/>
      <c r="AX89" s="48" t="str">
        <f t="shared" si="25"/>
        <v/>
      </c>
      <c r="AY89" s="50"/>
      <c r="AZ89" s="50"/>
      <c r="BA89" s="50"/>
      <c r="BB89" s="50"/>
      <c r="BC89" s="50"/>
      <c r="BD89" s="50"/>
      <c r="BE89" s="50"/>
      <c r="BF89" s="48" t="str">
        <f t="shared" si="26"/>
        <v/>
      </c>
      <c r="BG89" s="44"/>
      <c r="BH89" s="44"/>
      <c r="BI89" s="44"/>
      <c r="BJ89" s="44"/>
      <c r="BK89" s="44"/>
      <c r="BL89" s="44"/>
      <c r="BM89" s="44"/>
      <c r="BN89" s="48" t="str">
        <f t="shared" si="27"/>
        <v/>
      </c>
      <c r="BO89" s="50"/>
      <c r="BP89" s="50"/>
      <c r="BQ89" s="50"/>
      <c r="BR89" s="50"/>
      <c r="BS89" s="50"/>
      <c r="BT89" s="50"/>
      <c r="BU89" s="50"/>
      <c r="BV89" s="48" t="str">
        <f t="shared" si="28"/>
        <v/>
      </c>
      <c r="BW89" s="44"/>
      <c r="BX89" s="44"/>
      <c r="BY89" s="44"/>
      <c r="BZ89" s="44"/>
      <c r="CA89" s="44"/>
      <c r="CB89" s="44"/>
      <c r="CC89" s="55"/>
      <c r="CD89" s="48" t="str">
        <f t="shared" si="29"/>
        <v/>
      </c>
    </row>
    <row r="90" spans="1:82" ht="40" customHeight="1" x14ac:dyDescent="0.15">
      <c r="A90" s="71" t="s">
        <v>221</v>
      </c>
      <c r="B90" s="72" t="s">
        <v>222</v>
      </c>
      <c r="C90" s="70"/>
      <c r="D90" s="44"/>
      <c r="E90" s="44"/>
      <c r="F90" s="44"/>
      <c r="G90" s="44"/>
      <c r="H90" s="44"/>
      <c r="I90" s="44"/>
      <c r="J90" s="48" t="str">
        <f t="shared" si="20"/>
        <v/>
      </c>
      <c r="K90" s="44"/>
      <c r="L90" s="44"/>
      <c r="M90" s="44"/>
      <c r="N90" s="44"/>
      <c r="O90" s="44"/>
      <c r="P90" s="44"/>
      <c r="Q90" s="44"/>
      <c r="R90" s="48" t="str">
        <f t="shared" si="21"/>
        <v/>
      </c>
      <c r="S90" s="47"/>
      <c r="T90" s="47"/>
      <c r="U90" s="47"/>
      <c r="V90" s="47"/>
      <c r="W90" s="47"/>
      <c r="X90" s="47"/>
      <c r="Y90" s="47"/>
      <c r="Z90" s="48" t="str">
        <f t="shared" si="22"/>
        <v/>
      </c>
      <c r="AA90" s="44"/>
      <c r="AB90" s="44"/>
      <c r="AC90" s="44"/>
      <c r="AD90" s="44"/>
      <c r="AE90" s="44"/>
      <c r="AF90" s="44"/>
      <c r="AG90" s="44"/>
      <c r="AH90" s="48" t="str">
        <f t="shared" si="23"/>
        <v/>
      </c>
      <c r="AI90" s="44"/>
      <c r="AJ90" s="44"/>
      <c r="AK90" s="44"/>
      <c r="AL90" s="44"/>
      <c r="AM90" s="44"/>
      <c r="AN90" s="44"/>
      <c r="AO90" s="44"/>
      <c r="AP90" s="48" t="str">
        <f t="shared" si="24"/>
        <v/>
      </c>
      <c r="AQ90" s="44"/>
      <c r="AR90" s="44"/>
      <c r="AS90" s="44"/>
      <c r="AT90" s="44"/>
      <c r="AU90" s="44"/>
      <c r="AV90" s="44"/>
      <c r="AW90" s="44"/>
      <c r="AX90" s="48" t="str">
        <f t="shared" si="25"/>
        <v/>
      </c>
      <c r="AY90" s="50"/>
      <c r="AZ90" s="50"/>
      <c r="BA90" s="50"/>
      <c r="BB90" s="50"/>
      <c r="BC90" s="50"/>
      <c r="BD90" s="50"/>
      <c r="BE90" s="50"/>
      <c r="BF90" s="48" t="str">
        <f t="shared" si="26"/>
        <v/>
      </c>
      <c r="BG90" s="44"/>
      <c r="BH90" s="44"/>
      <c r="BI90" s="44"/>
      <c r="BJ90" s="44"/>
      <c r="BK90" s="44"/>
      <c r="BL90" s="44"/>
      <c r="BM90" s="44"/>
      <c r="BN90" s="48" t="str">
        <f t="shared" si="27"/>
        <v/>
      </c>
      <c r="BO90" s="50"/>
      <c r="BP90" s="50"/>
      <c r="BQ90" s="50"/>
      <c r="BR90" s="50"/>
      <c r="BS90" s="50"/>
      <c r="BT90" s="50"/>
      <c r="BU90" s="50"/>
      <c r="BV90" s="48" t="str">
        <f t="shared" si="28"/>
        <v/>
      </c>
      <c r="BW90" s="44"/>
      <c r="BX90" s="44"/>
      <c r="BY90" s="44"/>
      <c r="BZ90" s="44"/>
      <c r="CA90" s="44"/>
      <c r="CB90" s="44"/>
      <c r="CC90" s="55"/>
      <c r="CD90" s="48" t="str">
        <f t="shared" si="29"/>
        <v/>
      </c>
    </row>
    <row r="91" spans="1:82" ht="40" customHeight="1" x14ac:dyDescent="0.15">
      <c r="A91" s="73" t="s">
        <v>223</v>
      </c>
      <c r="B91" s="74" t="s">
        <v>224</v>
      </c>
      <c r="C91" s="70"/>
      <c r="D91" s="44"/>
      <c r="E91" s="44"/>
      <c r="F91" s="44"/>
      <c r="G91" s="44"/>
      <c r="H91" s="44"/>
      <c r="I91" s="44"/>
      <c r="J91" s="48" t="str">
        <f t="shared" si="20"/>
        <v/>
      </c>
      <c r="K91" s="44"/>
      <c r="L91" s="44"/>
      <c r="M91" s="44"/>
      <c r="N91" s="44"/>
      <c r="O91" s="44"/>
      <c r="P91" s="44"/>
      <c r="Q91" s="44"/>
      <c r="R91" s="48" t="str">
        <f t="shared" si="21"/>
        <v/>
      </c>
      <c r="S91" s="47"/>
      <c r="T91" s="47"/>
      <c r="U91" s="47"/>
      <c r="V91" s="47"/>
      <c r="W91" s="47"/>
      <c r="X91" s="47"/>
      <c r="Y91" s="47"/>
      <c r="Z91" s="48" t="str">
        <f t="shared" si="22"/>
        <v/>
      </c>
      <c r="AA91" s="44"/>
      <c r="AB91" s="44"/>
      <c r="AC91" s="44"/>
      <c r="AD91" s="44"/>
      <c r="AE91" s="44"/>
      <c r="AF91" s="44"/>
      <c r="AG91" s="44"/>
      <c r="AH91" s="48" t="str">
        <f t="shared" si="23"/>
        <v/>
      </c>
      <c r="AI91" s="44"/>
      <c r="AJ91" s="44"/>
      <c r="AK91" s="44"/>
      <c r="AL91" s="44"/>
      <c r="AM91" s="44"/>
      <c r="AN91" s="44"/>
      <c r="AO91" s="44"/>
      <c r="AP91" s="48" t="str">
        <f t="shared" si="24"/>
        <v/>
      </c>
      <c r="AQ91" s="44"/>
      <c r="AR91" s="44"/>
      <c r="AS91" s="44"/>
      <c r="AT91" s="44"/>
      <c r="AU91" s="44"/>
      <c r="AV91" s="44"/>
      <c r="AW91" s="44"/>
      <c r="AX91" s="48" t="str">
        <f t="shared" si="25"/>
        <v/>
      </c>
      <c r="AY91" s="50"/>
      <c r="AZ91" s="50"/>
      <c r="BA91" s="50"/>
      <c r="BB91" s="50"/>
      <c r="BC91" s="50"/>
      <c r="BD91" s="50"/>
      <c r="BE91" s="50"/>
      <c r="BF91" s="48" t="str">
        <f t="shared" si="26"/>
        <v/>
      </c>
      <c r="BG91" s="44"/>
      <c r="BH91" s="44"/>
      <c r="BI91" s="44"/>
      <c r="BJ91" s="44"/>
      <c r="BK91" s="44"/>
      <c r="BL91" s="44"/>
      <c r="BM91" s="44"/>
      <c r="BN91" s="48" t="str">
        <f t="shared" si="27"/>
        <v/>
      </c>
      <c r="BO91" s="50"/>
      <c r="BP91" s="50"/>
      <c r="BQ91" s="50"/>
      <c r="BR91" s="50"/>
      <c r="BS91" s="50"/>
      <c r="BT91" s="50"/>
      <c r="BU91" s="50"/>
      <c r="BV91" s="48" t="str">
        <f t="shared" si="28"/>
        <v/>
      </c>
      <c r="BW91" s="44"/>
      <c r="BX91" s="44"/>
      <c r="BY91" s="44"/>
      <c r="BZ91" s="44"/>
      <c r="CA91" s="44"/>
      <c r="CB91" s="44"/>
      <c r="CC91" s="55"/>
      <c r="CD91" s="48" t="str">
        <f t="shared" si="29"/>
        <v/>
      </c>
    </row>
    <row r="92" spans="1:82" ht="40" customHeight="1" x14ac:dyDescent="0.15">
      <c r="A92" s="71" t="s">
        <v>225</v>
      </c>
      <c r="B92" s="72" t="s">
        <v>226</v>
      </c>
      <c r="C92" s="70"/>
      <c r="D92" s="44"/>
      <c r="E92" s="44"/>
      <c r="F92" s="44"/>
      <c r="G92" s="44"/>
      <c r="H92" s="44"/>
      <c r="I92" s="44"/>
      <c r="J92" s="48" t="str">
        <f t="shared" si="20"/>
        <v/>
      </c>
      <c r="K92" s="44"/>
      <c r="L92" s="44"/>
      <c r="M92" s="44"/>
      <c r="N92" s="44"/>
      <c r="O92" s="44"/>
      <c r="P92" s="44"/>
      <c r="Q92" s="44"/>
      <c r="R92" s="48" t="str">
        <f t="shared" si="21"/>
        <v/>
      </c>
      <c r="S92" s="47"/>
      <c r="T92" s="47"/>
      <c r="U92" s="47"/>
      <c r="V92" s="47"/>
      <c r="W92" s="47"/>
      <c r="X92" s="47"/>
      <c r="Y92" s="47"/>
      <c r="Z92" s="48" t="str">
        <f t="shared" si="22"/>
        <v/>
      </c>
      <c r="AA92" s="44"/>
      <c r="AB92" s="44"/>
      <c r="AC92" s="44"/>
      <c r="AD92" s="44"/>
      <c r="AE92" s="44"/>
      <c r="AF92" s="44"/>
      <c r="AG92" s="44"/>
      <c r="AH92" s="48" t="str">
        <f t="shared" si="23"/>
        <v/>
      </c>
      <c r="AI92" s="44"/>
      <c r="AJ92" s="44"/>
      <c r="AK92" s="44"/>
      <c r="AL92" s="44"/>
      <c r="AM92" s="44"/>
      <c r="AN92" s="44"/>
      <c r="AO92" s="44"/>
      <c r="AP92" s="48" t="str">
        <f t="shared" si="24"/>
        <v/>
      </c>
      <c r="AQ92" s="44"/>
      <c r="AR92" s="44"/>
      <c r="AS92" s="44"/>
      <c r="AT92" s="44"/>
      <c r="AU92" s="44"/>
      <c r="AV92" s="44"/>
      <c r="AW92" s="44"/>
      <c r="AX92" s="48" t="str">
        <f t="shared" si="25"/>
        <v/>
      </c>
      <c r="AY92" s="50"/>
      <c r="AZ92" s="50"/>
      <c r="BA92" s="50"/>
      <c r="BB92" s="50"/>
      <c r="BC92" s="50"/>
      <c r="BD92" s="50"/>
      <c r="BE92" s="50"/>
      <c r="BF92" s="48" t="str">
        <f t="shared" si="26"/>
        <v/>
      </c>
      <c r="BG92" s="44"/>
      <c r="BH92" s="44"/>
      <c r="BI92" s="44"/>
      <c r="BJ92" s="44"/>
      <c r="BK92" s="44"/>
      <c r="BL92" s="44"/>
      <c r="BM92" s="44"/>
      <c r="BN92" s="48" t="str">
        <f t="shared" si="27"/>
        <v/>
      </c>
      <c r="BO92" s="50"/>
      <c r="BP92" s="50"/>
      <c r="BQ92" s="50"/>
      <c r="BR92" s="50"/>
      <c r="BS92" s="50"/>
      <c r="BT92" s="50"/>
      <c r="BU92" s="50"/>
      <c r="BV92" s="48" t="str">
        <f t="shared" si="28"/>
        <v/>
      </c>
      <c r="BW92" s="44"/>
      <c r="BX92" s="44"/>
      <c r="BY92" s="44"/>
      <c r="BZ92" s="44"/>
      <c r="CA92" s="44"/>
      <c r="CB92" s="44"/>
      <c r="CC92" s="55"/>
      <c r="CD92" s="48" t="str">
        <f t="shared" si="29"/>
        <v/>
      </c>
    </row>
    <row r="93" spans="1:82" ht="40" customHeight="1" x14ac:dyDescent="0.15">
      <c r="A93" s="71" t="s">
        <v>227</v>
      </c>
      <c r="B93" s="72" t="s">
        <v>228</v>
      </c>
      <c r="C93" s="70"/>
      <c r="D93" s="44"/>
      <c r="E93" s="44"/>
      <c r="F93" s="44"/>
      <c r="G93" s="44"/>
      <c r="H93" s="44"/>
      <c r="I93" s="44"/>
      <c r="J93" s="48" t="str">
        <f t="shared" si="20"/>
        <v/>
      </c>
      <c r="K93" s="44"/>
      <c r="L93" s="44"/>
      <c r="M93" s="44"/>
      <c r="N93" s="44"/>
      <c r="O93" s="44"/>
      <c r="P93" s="44"/>
      <c r="Q93" s="44"/>
      <c r="R93" s="48" t="str">
        <f t="shared" si="21"/>
        <v/>
      </c>
      <c r="S93" s="47"/>
      <c r="T93" s="47"/>
      <c r="U93" s="47"/>
      <c r="V93" s="47"/>
      <c r="W93" s="47"/>
      <c r="X93" s="47"/>
      <c r="Y93" s="47"/>
      <c r="Z93" s="48" t="str">
        <f t="shared" si="22"/>
        <v/>
      </c>
      <c r="AA93" s="44"/>
      <c r="AB93" s="44"/>
      <c r="AC93" s="44"/>
      <c r="AD93" s="44"/>
      <c r="AE93" s="44"/>
      <c r="AF93" s="44"/>
      <c r="AG93" s="44"/>
      <c r="AH93" s="48" t="str">
        <f t="shared" si="23"/>
        <v/>
      </c>
      <c r="AI93" s="44"/>
      <c r="AJ93" s="44"/>
      <c r="AK93" s="44"/>
      <c r="AL93" s="44"/>
      <c r="AM93" s="44"/>
      <c r="AN93" s="44"/>
      <c r="AO93" s="44"/>
      <c r="AP93" s="48" t="str">
        <f t="shared" si="24"/>
        <v/>
      </c>
      <c r="AQ93" s="44"/>
      <c r="AR93" s="44"/>
      <c r="AS93" s="44"/>
      <c r="AT93" s="44"/>
      <c r="AU93" s="44"/>
      <c r="AV93" s="44"/>
      <c r="AW93" s="44"/>
      <c r="AX93" s="48" t="str">
        <f t="shared" si="25"/>
        <v/>
      </c>
      <c r="AY93" s="50"/>
      <c r="AZ93" s="50"/>
      <c r="BA93" s="50"/>
      <c r="BB93" s="50"/>
      <c r="BC93" s="50"/>
      <c r="BD93" s="50"/>
      <c r="BE93" s="50"/>
      <c r="BF93" s="48" t="str">
        <f t="shared" si="26"/>
        <v/>
      </c>
      <c r="BG93" s="44"/>
      <c r="BH93" s="44"/>
      <c r="BI93" s="44"/>
      <c r="BJ93" s="44"/>
      <c r="BK93" s="44"/>
      <c r="BL93" s="44"/>
      <c r="BM93" s="44"/>
      <c r="BN93" s="48" t="str">
        <f t="shared" si="27"/>
        <v/>
      </c>
      <c r="BO93" s="50"/>
      <c r="BP93" s="50"/>
      <c r="BQ93" s="50"/>
      <c r="BR93" s="50"/>
      <c r="BS93" s="50"/>
      <c r="BT93" s="50"/>
      <c r="BU93" s="50"/>
      <c r="BV93" s="48" t="str">
        <f t="shared" si="28"/>
        <v/>
      </c>
      <c r="BW93" s="44"/>
      <c r="BX93" s="44"/>
      <c r="BY93" s="44"/>
      <c r="BZ93" s="44"/>
      <c r="CA93" s="44"/>
      <c r="CB93" s="44"/>
      <c r="CC93" s="55"/>
      <c r="CD93" s="48" t="str">
        <f t="shared" si="29"/>
        <v/>
      </c>
    </row>
    <row r="94" spans="1:82" ht="40" customHeight="1" x14ac:dyDescent="0.15">
      <c r="A94" s="68" t="s">
        <v>229</v>
      </c>
      <c r="B94" s="69"/>
      <c r="C94" s="70"/>
      <c r="D94" s="44"/>
      <c r="E94" s="44"/>
      <c r="F94" s="44"/>
      <c r="G94" s="44"/>
      <c r="H94" s="44"/>
      <c r="I94" s="44"/>
      <c r="J94" s="48" t="str">
        <f t="shared" si="20"/>
        <v/>
      </c>
      <c r="K94" s="44"/>
      <c r="L94" s="44"/>
      <c r="M94" s="44"/>
      <c r="N94" s="44"/>
      <c r="O94" s="44"/>
      <c r="P94" s="44"/>
      <c r="Q94" s="44"/>
      <c r="R94" s="48" t="str">
        <f t="shared" si="21"/>
        <v/>
      </c>
      <c r="S94" s="47"/>
      <c r="T94" s="47"/>
      <c r="U94" s="47"/>
      <c r="V94" s="47"/>
      <c r="W94" s="47"/>
      <c r="X94" s="47"/>
      <c r="Y94" s="47"/>
      <c r="Z94" s="48" t="str">
        <f t="shared" si="22"/>
        <v/>
      </c>
      <c r="AA94" s="44"/>
      <c r="AB94" s="44"/>
      <c r="AC94" s="44"/>
      <c r="AD94" s="44"/>
      <c r="AE94" s="44"/>
      <c r="AF94" s="44"/>
      <c r="AG94" s="44"/>
      <c r="AH94" s="48" t="str">
        <f t="shared" si="23"/>
        <v/>
      </c>
      <c r="AI94" s="44"/>
      <c r="AJ94" s="44"/>
      <c r="AK94" s="44"/>
      <c r="AL94" s="44"/>
      <c r="AM94" s="44"/>
      <c r="AN94" s="44"/>
      <c r="AO94" s="44"/>
      <c r="AP94" s="48" t="str">
        <f t="shared" si="24"/>
        <v/>
      </c>
      <c r="AQ94" s="44"/>
      <c r="AR94" s="44"/>
      <c r="AS94" s="44"/>
      <c r="AT94" s="44"/>
      <c r="AU94" s="44"/>
      <c r="AV94" s="44"/>
      <c r="AW94" s="44"/>
      <c r="AX94" s="48" t="str">
        <f t="shared" si="25"/>
        <v/>
      </c>
      <c r="AY94" s="50"/>
      <c r="AZ94" s="50"/>
      <c r="BA94" s="50"/>
      <c r="BB94" s="50"/>
      <c r="BC94" s="50"/>
      <c r="BD94" s="50"/>
      <c r="BE94" s="50"/>
      <c r="BF94" s="48" t="str">
        <f t="shared" si="26"/>
        <v/>
      </c>
      <c r="BG94" s="44"/>
      <c r="BH94" s="44"/>
      <c r="BI94" s="44"/>
      <c r="BJ94" s="44"/>
      <c r="BK94" s="44"/>
      <c r="BL94" s="44"/>
      <c r="BM94" s="44"/>
      <c r="BN94" s="48" t="str">
        <f t="shared" si="27"/>
        <v/>
      </c>
      <c r="BO94" s="50"/>
      <c r="BP94" s="50"/>
      <c r="BQ94" s="50"/>
      <c r="BR94" s="50"/>
      <c r="BS94" s="50"/>
      <c r="BT94" s="50"/>
      <c r="BU94" s="50"/>
      <c r="BV94" s="48" t="str">
        <f t="shared" si="28"/>
        <v/>
      </c>
      <c r="BW94" s="44"/>
      <c r="BX94" s="44"/>
      <c r="BY94" s="44"/>
      <c r="BZ94" s="44"/>
      <c r="CA94" s="44"/>
      <c r="CB94" s="44"/>
      <c r="CC94" s="55"/>
      <c r="CD94" s="48" t="str">
        <f t="shared" si="29"/>
        <v/>
      </c>
    </row>
    <row r="95" spans="1:82" ht="40" customHeight="1" x14ac:dyDescent="0.15">
      <c r="A95" s="71" t="s">
        <v>230</v>
      </c>
      <c r="B95" s="72" t="s">
        <v>231</v>
      </c>
      <c r="C95" s="70"/>
      <c r="D95" s="44"/>
      <c r="E95" s="44"/>
      <c r="F95" s="44"/>
      <c r="G95" s="44"/>
      <c r="H95" s="44"/>
      <c r="I95" s="44"/>
      <c r="J95" s="48" t="str">
        <f t="shared" si="20"/>
        <v/>
      </c>
      <c r="K95" s="44"/>
      <c r="L95" s="44"/>
      <c r="M95" s="44"/>
      <c r="N95" s="44"/>
      <c r="O95" s="44"/>
      <c r="P95" s="44"/>
      <c r="Q95" s="44"/>
      <c r="R95" s="48" t="str">
        <f t="shared" si="21"/>
        <v/>
      </c>
      <c r="S95" s="47"/>
      <c r="T95" s="47"/>
      <c r="U95" s="47"/>
      <c r="V95" s="47"/>
      <c r="W95" s="47"/>
      <c r="X95" s="47"/>
      <c r="Y95" s="47"/>
      <c r="Z95" s="48" t="str">
        <f t="shared" si="22"/>
        <v/>
      </c>
      <c r="AA95" s="44"/>
      <c r="AB95" s="44"/>
      <c r="AC95" s="44"/>
      <c r="AD95" s="44"/>
      <c r="AE95" s="44"/>
      <c r="AF95" s="44"/>
      <c r="AG95" s="44"/>
      <c r="AH95" s="48" t="str">
        <f t="shared" si="23"/>
        <v/>
      </c>
      <c r="AI95" s="44"/>
      <c r="AJ95" s="44"/>
      <c r="AK95" s="44"/>
      <c r="AL95" s="44"/>
      <c r="AM95" s="44"/>
      <c r="AN95" s="44"/>
      <c r="AO95" s="44"/>
      <c r="AP95" s="48" t="str">
        <f t="shared" si="24"/>
        <v/>
      </c>
      <c r="AQ95" s="44"/>
      <c r="AR95" s="44"/>
      <c r="AS95" s="44"/>
      <c r="AT95" s="44"/>
      <c r="AU95" s="44"/>
      <c r="AV95" s="44"/>
      <c r="AW95" s="44"/>
      <c r="AX95" s="48" t="str">
        <f t="shared" si="25"/>
        <v/>
      </c>
      <c r="AY95" s="50"/>
      <c r="AZ95" s="50"/>
      <c r="BA95" s="50"/>
      <c r="BB95" s="50"/>
      <c r="BC95" s="50"/>
      <c r="BD95" s="50"/>
      <c r="BE95" s="50"/>
      <c r="BF95" s="48" t="str">
        <f t="shared" si="26"/>
        <v/>
      </c>
      <c r="BG95" s="44"/>
      <c r="BH95" s="44"/>
      <c r="BI95" s="44"/>
      <c r="BJ95" s="44"/>
      <c r="BK95" s="44"/>
      <c r="BL95" s="44"/>
      <c r="BM95" s="44"/>
      <c r="BN95" s="48" t="str">
        <f t="shared" si="27"/>
        <v/>
      </c>
      <c r="BO95" s="50"/>
      <c r="BP95" s="50"/>
      <c r="BQ95" s="50"/>
      <c r="BR95" s="50"/>
      <c r="BS95" s="50"/>
      <c r="BT95" s="50"/>
      <c r="BU95" s="50"/>
      <c r="BV95" s="48" t="str">
        <f t="shared" si="28"/>
        <v/>
      </c>
      <c r="BW95" s="44"/>
      <c r="BX95" s="44"/>
      <c r="BY95" s="44"/>
      <c r="BZ95" s="44"/>
      <c r="CA95" s="44"/>
      <c r="CB95" s="44"/>
      <c r="CC95" s="55"/>
      <c r="CD95" s="48" t="str">
        <f t="shared" si="29"/>
        <v/>
      </c>
    </row>
    <row r="96" spans="1:82" ht="40" customHeight="1" x14ac:dyDescent="0.15">
      <c r="A96" s="73" t="s">
        <v>232</v>
      </c>
      <c r="B96" s="74" t="s">
        <v>233</v>
      </c>
      <c r="C96" s="70"/>
      <c r="D96" s="44"/>
      <c r="E96" s="44"/>
      <c r="F96" s="44"/>
      <c r="G96" s="44"/>
      <c r="H96" s="44"/>
      <c r="I96" s="44"/>
      <c r="J96" s="48" t="str">
        <f t="shared" si="20"/>
        <v/>
      </c>
      <c r="K96" s="44"/>
      <c r="L96" s="44"/>
      <c r="M96" s="44"/>
      <c r="N96" s="44"/>
      <c r="O96" s="44"/>
      <c r="P96" s="44"/>
      <c r="Q96" s="44"/>
      <c r="R96" s="48" t="str">
        <f t="shared" si="21"/>
        <v/>
      </c>
      <c r="S96" s="47"/>
      <c r="T96" s="47"/>
      <c r="U96" s="47"/>
      <c r="V96" s="47"/>
      <c r="W96" s="47"/>
      <c r="X96" s="47"/>
      <c r="Y96" s="47"/>
      <c r="Z96" s="48" t="str">
        <f t="shared" si="22"/>
        <v/>
      </c>
      <c r="AA96" s="44"/>
      <c r="AB96" s="44"/>
      <c r="AC96" s="44"/>
      <c r="AD96" s="44"/>
      <c r="AE96" s="44"/>
      <c r="AF96" s="44"/>
      <c r="AG96" s="44"/>
      <c r="AH96" s="48" t="str">
        <f t="shared" si="23"/>
        <v/>
      </c>
      <c r="AI96" s="44"/>
      <c r="AJ96" s="44"/>
      <c r="AK96" s="44"/>
      <c r="AL96" s="44"/>
      <c r="AM96" s="44"/>
      <c r="AN96" s="44"/>
      <c r="AO96" s="44"/>
      <c r="AP96" s="48" t="str">
        <f t="shared" si="24"/>
        <v/>
      </c>
      <c r="AQ96" s="44"/>
      <c r="AR96" s="44"/>
      <c r="AS96" s="44"/>
      <c r="AT96" s="44"/>
      <c r="AU96" s="44"/>
      <c r="AV96" s="44"/>
      <c r="AW96" s="44"/>
      <c r="AX96" s="48" t="str">
        <f t="shared" si="25"/>
        <v/>
      </c>
      <c r="AY96" s="50"/>
      <c r="AZ96" s="50"/>
      <c r="BA96" s="50"/>
      <c r="BB96" s="50"/>
      <c r="BC96" s="50"/>
      <c r="BD96" s="50"/>
      <c r="BE96" s="50"/>
      <c r="BF96" s="48" t="str">
        <f t="shared" si="26"/>
        <v/>
      </c>
      <c r="BG96" s="44"/>
      <c r="BH96" s="44"/>
      <c r="BI96" s="44"/>
      <c r="BJ96" s="44"/>
      <c r="BK96" s="44"/>
      <c r="BL96" s="44"/>
      <c r="BM96" s="44"/>
      <c r="BN96" s="48" t="str">
        <f t="shared" si="27"/>
        <v/>
      </c>
      <c r="BO96" s="50"/>
      <c r="BP96" s="50"/>
      <c r="BQ96" s="50"/>
      <c r="BR96" s="50"/>
      <c r="BS96" s="50"/>
      <c r="BT96" s="50"/>
      <c r="BU96" s="50"/>
      <c r="BV96" s="48" t="str">
        <f t="shared" si="28"/>
        <v/>
      </c>
      <c r="BW96" s="44"/>
      <c r="BX96" s="44"/>
      <c r="BY96" s="44"/>
      <c r="BZ96" s="44"/>
      <c r="CA96" s="44"/>
      <c r="CB96" s="44"/>
      <c r="CC96" s="55"/>
      <c r="CD96" s="48" t="str">
        <f t="shared" si="29"/>
        <v/>
      </c>
    </row>
    <row r="97" spans="1:82" ht="40" customHeight="1" x14ac:dyDescent="0.15">
      <c r="A97" s="71" t="s">
        <v>234</v>
      </c>
      <c r="B97" s="72" t="s">
        <v>235</v>
      </c>
      <c r="C97" s="70"/>
      <c r="D97" s="44"/>
      <c r="E97" s="44"/>
      <c r="F97" s="44"/>
      <c r="G97" s="44"/>
      <c r="H97" s="44"/>
      <c r="I97" s="44"/>
      <c r="J97" s="48" t="str">
        <f t="shared" si="20"/>
        <v/>
      </c>
      <c r="K97" s="44"/>
      <c r="L97" s="44"/>
      <c r="M97" s="44"/>
      <c r="N97" s="44"/>
      <c r="O97" s="44"/>
      <c r="P97" s="44"/>
      <c r="Q97" s="44"/>
      <c r="R97" s="48" t="str">
        <f t="shared" si="21"/>
        <v/>
      </c>
      <c r="S97" s="47"/>
      <c r="T97" s="47"/>
      <c r="U97" s="47"/>
      <c r="V97" s="47"/>
      <c r="W97" s="47"/>
      <c r="X97" s="47"/>
      <c r="Y97" s="47"/>
      <c r="Z97" s="48" t="str">
        <f t="shared" si="22"/>
        <v/>
      </c>
      <c r="AA97" s="44"/>
      <c r="AB97" s="44"/>
      <c r="AC97" s="44"/>
      <c r="AD97" s="44"/>
      <c r="AE97" s="44"/>
      <c r="AF97" s="44"/>
      <c r="AG97" s="44"/>
      <c r="AH97" s="48" t="str">
        <f t="shared" si="23"/>
        <v/>
      </c>
      <c r="AI97" s="44"/>
      <c r="AJ97" s="44"/>
      <c r="AK97" s="44"/>
      <c r="AL97" s="44"/>
      <c r="AM97" s="44"/>
      <c r="AN97" s="44"/>
      <c r="AO97" s="44"/>
      <c r="AP97" s="48" t="str">
        <f t="shared" si="24"/>
        <v/>
      </c>
      <c r="AQ97" s="44"/>
      <c r="AR97" s="44"/>
      <c r="AS97" s="44"/>
      <c r="AT97" s="44"/>
      <c r="AU97" s="44"/>
      <c r="AV97" s="44"/>
      <c r="AW97" s="44"/>
      <c r="AX97" s="48" t="str">
        <f t="shared" si="25"/>
        <v/>
      </c>
      <c r="AY97" s="50"/>
      <c r="AZ97" s="50"/>
      <c r="BA97" s="50"/>
      <c r="BB97" s="50"/>
      <c r="BC97" s="50"/>
      <c r="BD97" s="50"/>
      <c r="BE97" s="50"/>
      <c r="BF97" s="48" t="str">
        <f t="shared" si="26"/>
        <v/>
      </c>
      <c r="BG97" s="44"/>
      <c r="BH97" s="44"/>
      <c r="BI97" s="44"/>
      <c r="BJ97" s="44"/>
      <c r="BK97" s="44"/>
      <c r="BL97" s="44"/>
      <c r="BM97" s="44"/>
      <c r="BN97" s="48" t="str">
        <f t="shared" si="27"/>
        <v/>
      </c>
      <c r="BO97" s="50"/>
      <c r="BP97" s="50"/>
      <c r="BQ97" s="50"/>
      <c r="BR97" s="50"/>
      <c r="BS97" s="50"/>
      <c r="BT97" s="50"/>
      <c r="BU97" s="50"/>
      <c r="BV97" s="48" t="str">
        <f t="shared" si="28"/>
        <v/>
      </c>
      <c r="BW97" s="44"/>
      <c r="BX97" s="44"/>
      <c r="BY97" s="44"/>
      <c r="BZ97" s="44"/>
      <c r="CA97" s="44"/>
      <c r="CB97" s="44"/>
      <c r="CC97" s="55"/>
      <c r="CD97" s="48" t="str">
        <f t="shared" si="29"/>
        <v/>
      </c>
    </row>
    <row r="98" spans="1:82" ht="40" customHeight="1" x14ac:dyDescent="0.15">
      <c r="A98" s="71" t="s">
        <v>236</v>
      </c>
      <c r="B98" s="72" t="s">
        <v>237</v>
      </c>
      <c r="C98" s="70"/>
      <c r="D98" s="44"/>
      <c r="E98" s="44"/>
      <c r="F98" s="44"/>
      <c r="G98" s="44"/>
      <c r="H98" s="44"/>
      <c r="I98" s="44"/>
      <c r="J98" s="48" t="str">
        <f t="shared" si="20"/>
        <v/>
      </c>
      <c r="K98" s="44"/>
      <c r="L98" s="44"/>
      <c r="M98" s="44"/>
      <c r="N98" s="44"/>
      <c r="O98" s="44"/>
      <c r="P98" s="44"/>
      <c r="Q98" s="44"/>
      <c r="R98" s="48" t="str">
        <f t="shared" si="21"/>
        <v/>
      </c>
      <c r="S98" s="47"/>
      <c r="T98" s="47"/>
      <c r="U98" s="47"/>
      <c r="V98" s="47"/>
      <c r="W98" s="47"/>
      <c r="X98" s="47"/>
      <c r="Y98" s="47"/>
      <c r="Z98" s="48" t="str">
        <f t="shared" si="22"/>
        <v/>
      </c>
      <c r="AA98" s="44"/>
      <c r="AB98" s="44"/>
      <c r="AC98" s="44"/>
      <c r="AD98" s="44"/>
      <c r="AE98" s="44"/>
      <c r="AF98" s="44"/>
      <c r="AG98" s="44"/>
      <c r="AH98" s="48" t="str">
        <f t="shared" si="23"/>
        <v/>
      </c>
      <c r="AI98" s="44"/>
      <c r="AJ98" s="44"/>
      <c r="AK98" s="44"/>
      <c r="AL98" s="44"/>
      <c r="AM98" s="44"/>
      <c r="AN98" s="44"/>
      <c r="AO98" s="44"/>
      <c r="AP98" s="48" t="str">
        <f t="shared" si="24"/>
        <v/>
      </c>
      <c r="AQ98" s="44"/>
      <c r="AR98" s="44"/>
      <c r="AS98" s="44"/>
      <c r="AT98" s="44"/>
      <c r="AU98" s="44"/>
      <c r="AV98" s="44"/>
      <c r="AW98" s="44"/>
      <c r="AX98" s="48" t="str">
        <f t="shared" si="25"/>
        <v/>
      </c>
      <c r="AY98" s="50"/>
      <c r="AZ98" s="50"/>
      <c r="BA98" s="50"/>
      <c r="BB98" s="50"/>
      <c r="BC98" s="50"/>
      <c r="BD98" s="50"/>
      <c r="BE98" s="50"/>
      <c r="BF98" s="48" t="str">
        <f t="shared" si="26"/>
        <v/>
      </c>
      <c r="BG98" s="44"/>
      <c r="BH98" s="44"/>
      <c r="BI98" s="44"/>
      <c r="BJ98" s="44"/>
      <c r="BK98" s="44"/>
      <c r="BL98" s="44"/>
      <c r="BM98" s="44"/>
      <c r="BN98" s="48" t="str">
        <f t="shared" si="27"/>
        <v/>
      </c>
      <c r="BO98" s="50"/>
      <c r="BP98" s="50"/>
      <c r="BQ98" s="50"/>
      <c r="BR98" s="50"/>
      <c r="BS98" s="50"/>
      <c r="BT98" s="50"/>
      <c r="BU98" s="50"/>
      <c r="BV98" s="48" t="str">
        <f t="shared" si="28"/>
        <v/>
      </c>
      <c r="BW98" s="44"/>
      <c r="BX98" s="44"/>
      <c r="BY98" s="44"/>
      <c r="BZ98" s="44"/>
      <c r="CA98" s="44"/>
      <c r="CB98" s="44"/>
      <c r="CC98" s="55"/>
      <c r="CD98" s="48" t="str">
        <f t="shared" si="29"/>
        <v/>
      </c>
    </row>
    <row r="99" spans="1:82" ht="40" customHeight="1" x14ac:dyDescent="0.15">
      <c r="A99" s="68" t="s">
        <v>238</v>
      </c>
      <c r="B99" s="69"/>
      <c r="C99" s="70"/>
      <c r="D99" s="44"/>
      <c r="E99" s="44"/>
      <c r="F99" s="44"/>
      <c r="G99" s="44"/>
      <c r="H99" s="44"/>
      <c r="I99" s="44"/>
      <c r="J99" s="48" t="str">
        <f t="shared" si="20"/>
        <v/>
      </c>
      <c r="K99" s="44"/>
      <c r="L99" s="44"/>
      <c r="M99" s="44"/>
      <c r="N99" s="44"/>
      <c r="O99" s="44"/>
      <c r="P99" s="44"/>
      <c r="Q99" s="44"/>
      <c r="R99" s="48" t="str">
        <f t="shared" si="21"/>
        <v/>
      </c>
      <c r="S99" s="47"/>
      <c r="T99" s="47"/>
      <c r="U99" s="47"/>
      <c r="V99" s="47"/>
      <c r="W99" s="47"/>
      <c r="X99" s="47"/>
      <c r="Y99" s="47"/>
      <c r="Z99" s="48" t="str">
        <f t="shared" si="22"/>
        <v/>
      </c>
      <c r="AA99" s="44"/>
      <c r="AB99" s="44"/>
      <c r="AC99" s="44"/>
      <c r="AD99" s="44"/>
      <c r="AE99" s="44"/>
      <c r="AF99" s="44"/>
      <c r="AG99" s="44"/>
      <c r="AH99" s="48" t="str">
        <f t="shared" si="23"/>
        <v/>
      </c>
      <c r="AI99" s="44"/>
      <c r="AJ99" s="44"/>
      <c r="AK99" s="44"/>
      <c r="AL99" s="44"/>
      <c r="AM99" s="44"/>
      <c r="AN99" s="44"/>
      <c r="AO99" s="44"/>
      <c r="AP99" s="48" t="str">
        <f t="shared" si="24"/>
        <v/>
      </c>
      <c r="AQ99" s="44"/>
      <c r="AR99" s="44"/>
      <c r="AS99" s="44"/>
      <c r="AT99" s="44"/>
      <c r="AU99" s="44"/>
      <c r="AV99" s="44"/>
      <c r="AW99" s="44"/>
      <c r="AX99" s="48" t="str">
        <f t="shared" si="25"/>
        <v/>
      </c>
      <c r="AY99" s="50"/>
      <c r="AZ99" s="50"/>
      <c r="BA99" s="50"/>
      <c r="BB99" s="50"/>
      <c r="BC99" s="50"/>
      <c r="BD99" s="50"/>
      <c r="BE99" s="50"/>
      <c r="BF99" s="48" t="str">
        <f t="shared" si="26"/>
        <v/>
      </c>
      <c r="BG99" s="44"/>
      <c r="BH99" s="44"/>
      <c r="BI99" s="44"/>
      <c r="BJ99" s="44"/>
      <c r="BK99" s="44"/>
      <c r="BL99" s="44"/>
      <c r="BM99" s="44"/>
      <c r="BN99" s="48" t="str">
        <f t="shared" si="27"/>
        <v/>
      </c>
      <c r="BO99" s="50"/>
      <c r="BP99" s="50"/>
      <c r="BQ99" s="50"/>
      <c r="BR99" s="50"/>
      <c r="BS99" s="50"/>
      <c r="BT99" s="50"/>
      <c r="BU99" s="50"/>
      <c r="BV99" s="48" t="str">
        <f t="shared" si="28"/>
        <v/>
      </c>
      <c r="BW99" s="44"/>
      <c r="BX99" s="44"/>
      <c r="BY99" s="44"/>
      <c r="BZ99" s="44"/>
      <c r="CA99" s="44"/>
      <c r="CB99" s="44"/>
      <c r="CC99" s="55"/>
      <c r="CD99" s="48" t="str">
        <f t="shared" si="29"/>
        <v/>
      </c>
    </row>
    <row r="100" spans="1:82" ht="40" customHeight="1" x14ac:dyDescent="0.15">
      <c r="A100" s="71" t="s">
        <v>239</v>
      </c>
      <c r="B100" s="72" t="s">
        <v>240</v>
      </c>
      <c r="C100" s="186"/>
      <c r="D100" s="50"/>
      <c r="E100" s="50"/>
      <c r="F100" s="50"/>
      <c r="G100" s="50"/>
      <c r="H100" s="50"/>
      <c r="I100" s="50"/>
      <c r="J100" s="48" t="str">
        <f t="shared" si="20"/>
        <v/>
      </c>
      <c r="K100" s="50"/>
      <c r="L100" s="50"/>
      <c r="M100" s="50"/>
      <c r="N100" s="50"/>
      <c r="O100" s="50"/>
      <c r="P100" s="50"/>
      <c r="Q100" s="50"/>
      <c r="R100" s="48" t="str">
        <f t="shared" si="21"/>
        <v/>
      </c>
      <c r="S100" s="47"/>
      <c r="T100" s="47"/>
      <c r="U100" s="47"/>
      <c r="V100" s="47"/>
      <c r="W100" s="47"/>
      <c r="X100" s="47"/>
      <c r="Y100" s="47"/>
      <c r="Z100" s="48" t="str">
        <f t="shared" si="22"/>
        <v/>
      </c>
      <c r="AA100" s="50"/>
      <c r="AB100" s="50"/>
      <c r="AC100" s="50"/>
      <c r="AD100" s="50"/>
      <c r="AE100" s="50"/>
      <c r="AF100" s="50"/>
      <c r="AG100" s="50"/>
      <c r="AH100" s="48" t="str">
        <f t="shared" si="23"/>
        <v/>
      </c>
      <c r="AI100" s="50"/>
      <c r="AJ100" s="50"/>
      <c r="AK100" s="50"/>
      <c r="AL100" s="50"/>
      <c r="AM100" s="50"/>
      <c r="AN100" s="50"/>
      <c r="AO100" s="50"/>
      <c r="AP100" s="48" t="str">
        <f t="shared" si="24"/>
        <v/>
      </c>
      <c r="AQ100" s="50"/>
      <c r="AR100" s="50"/>
      <c r="AS100" s="50"/>
      <c r="AT100" s="50"/>
      <c r="AU100" s="50"/>
      <c r="AV100" s="50"/>
      <c r="AW100" s="50"/>
      <c r="AX100" s="48" t="str">
        <f t="shared" si="25"/>
        <v/>
      </c>
      <c r="AY100" s="50"/>
      <c r="AZ100" s="50"/>
      <c r="BA100" s="50"/>
      <c r="BB100" s="50"/>
      <c r="BC100" s="50"/>
      <c r="BD100" s="50"/>
      <c r="BE100" s="50"/>
      <c r="BF100" s="48" t="str">
        <f t="shared" si="26"/>
        <v/>
      </c>
      <c r="BG100" s="50"/>
      <c r="BH100" s="50"/>
      <c r="BI100" s="50"/>
      <c r="BJ100" s="50"/>
      <c r="BK100" s="50"/>
      <c r="BL100" s="50"/>
      <c r="BM100" s="50"/>
      <c r="BN100" s="48" t="str">
        <f t="shared" si="27"/>
        <v/>
      </c>
      <c r="BO100" s="50"/>
      <c r="BP100" s="50"/>
      <c r="BQ100" s="50"/>
      <c r="BR100" s="50"/>
      <c r="BS100" s="50"/>
      <c r="BT100" s="50"/>
      <c r="BU100" s="50"/>
      <c r="BV100" s="48" t="str">
        <f t="shared" si="28"/>
        <v/>
      </c>
      <c r="BW100" s="50"/>
      <c r="BX100" s="50"/>
      <c r="BY100" s="50"/>
      <c r="BZ100" s="50"/>
      <c r="CA100" s="50"/>
      <c r="CB100" s="50"/>
      <c r="CC100" s="75"/>
      <c r="CD100" s="48" t="str">
        <f t="shared" si="29"/>
        <v/>
      </c>
    </row>
    <row r="101" spans="1:82" ht="40" customHeight="1" x14ac:dyDescent="0.15">
      <c r="A101" s="73" t="s">
        <v>241</v>
      </c>
      <c r="B101" s="74" t="s">
        <v>242</v>
      </c>
      <c r="C101" s="186"/>
      <c r="D101" s="50"/>
      <c r="E101" s="50"/>
      <c r="F101" s="50"/>
      <c r="G101" s="50"/>
      <c r="H101" s="50"/>
      <c r="I101" s="50"/>
      <c r="J101" s="48" t="str">
        <f t="shared" si="20"/>
        <v/>
      </c>
      <c r="K101" s="50"/>
      <c r="L101" s="50"/>
      <c r="M101" s="50"/>
      <c r="N101" s="50"/>
      <c r="O101" s="50"/>
      <c r="P101" s="50"/>
      <c r="Q101" s="50"/>
      <c r="R101" s="48" t="str">
        <f t="shared" si="21"/>
        <v/>
      </c>
      <c r="S101" s="47"/>
      <c r="T101" s="47"/>
      <c r="U101" s="47"/>
      <c r="V101" s="47"/>
      <c r="W101" s="47"/>
      <c r="X101" s="47"/>
      <c r="Y101" s="47"/>
      <c r="Z101" s="48" t="str">
        <f t="shared" si="22"/>
        <v/>
      </c>
      <c r="AA101" s="50"/>
      <c r="AB101" s="50"/>
      <c r="AC101" s="50"/>
      <c r="AD101" s="50"/>
      <c r="AE101" s="50"/>
      <c r="AF101" s="50"/>
      <c r="AG101" s="50"/>
      <c r="AH101" s="48" t="str">
        <f t="shared" si="23"/>
        <v/>
      </c>
      <c r="AI101" s="50"/>
      <c r="AJ101" s="50"/>
      <c r="AK101" s="50"/>
      <c r="AL101" s="50"/>
      <c r="AM101" s="50"/>
      <c r="AN101" s="50"/>
      <c r="AO101" s="50"/>
      <c r="AP101" s="48" t="str">
        <f t="shared" si="24"/>
        <v/>
      </c>
      <c r="AQ101" s="50"/>
      <c r="AR101" s="50"/>
      <c r="AS101" s="50"/>
      <c r="AT101" s="50"/>
      <c r="AU101" s="50"/>
      <c r="AV101" s="50"/>
      <c r="AW101" s="50"/>
      <c r="AX101" s="48" t="str">
        <f t="shared" si="25"/>
        <v/>
      </c>
      <c r="AY101" s="50"/>
      <c r="AZ101" s="50"/>
      <c r="BA101" s="50"/>
      <c r="BB101" s="50"/>
      <c r="BC101" s="50"/>
      <c r="BD101" s="50"/>
      <c r="BE101" s="50"/>
      <c r="BF101" s="48" t="str">
        <f t="shared" si="26"/>
        <v/>
      </c>
      <c r="BG101" s="50"/>
      <c r="BH101" s="50"/>
      <c r="BI101" s="50"/>
      <c r="BJ101" s="50"/>
      <c r="BK101" s="50"/>
      <c r="BL101" s="50"/>
      <c r="BM101" s="50"/>
      <c r="BN101" s="48" t="str">
        <f t="shared" si="27"/>
        <v/>
      </c>
      <c r="BO101" s="50"/>
      <c r="BP101" s="50"/>
      <c r="BQ101" s="50"/>
      <c r="BR101" s="50"/>
      <c r="BS101" s="50"/>
      <c r="BT101" s="50"/>
      <c r="BU101" s="50"/>
      <c r="BV101" s="48" t="str">
        <f t="shared" si="28"/>
        <v/>
      </c>
      <c r="BW101" s="50"/>
      <c r="BX101" s="50"/>
      <c r="BY101" s="50"/>
      <c r="BZ101" s="50"/>
      <c r="CA101" s="50"/>
      <c r="CB101" s="50"/>
      <c r="CC101" s="75"/>
      <c r="CD101" s="48" t="str">
        <f t="shared" si="29"/>
        <v/>
      </c>
    </row>
    <row r="102" spans="1:82" ht="40" customHeight="1" x14ac:dyDescent="0.15">
      <c r="A102" s="71" t="s">
        <v>243</v>
      </c>
      <c r="B102" s="72" t="s">
        <v>244</v>
      </c>
      <c r="C102" s="186"/>
      <c r="D102" s="50"/>
      <c r="E102" s="50"/>
      <c r="F102" s="50"/>
      <c r="G102" s="50"/>
      <c r="H102" s="50"/>
      <c r="I102" s="50"/>
      <c r="J102" s="48" t="str">
        <f t="shared" si="20"/>
        <v/>
      </c>
      <c r="K102" s="50"/>
      <c r="L102" s="50"/>
      <c r="M102" s="50"/>
      <c r="N102" s="50"/>
      <c r="O102" s="50"/>
      <c r="P102" s="50"/>
      <c r="Q102" s="50"/>
      <c r="R102" s="48" t="str">
        <f t="shared" si="21"/>
        <v/>
      </c>
      <c r="S102" s="47"/>
      <c r="T102" s="47"/>
      <c r="U102" s="47"/>
      <c r="V102" s="47"/>
      <c r="W102" s="47"/>
      <c r="X102" s="47"/>
      <c r="Y102" s="47"/>
      <c r="Z102" s="48" t="str">
        <f t="shared" si="22"/>
        <v/>
      </c>
      <c r="AA102" s="50"/>
      <c r="AB102" s="50"/>
      <c r="AC102" s="50"/>
      <c r="AD102" s="50"/>
      <c r="AE102" s="50"/>
      <c r="AF102" s="50"/>
      <c r="AG102" s="50"/>
      <c r="AH102" s="48" t="str">
        <f t="shared" si="23"/>
        <v/>
      </c>
      <c r="AI102" s="50"/>
      <c r="AJ102" s="50"/>
      <c r="AK102" s="50"/>
      <c r="AL102" s="50"/>
      <c r="AM102" s="50"/>
      <c r="AN102" s="50"/>
      <c r="AO102" s="50"/>
      <c r="AP102" s="48" t="str">
        <f t="shared" si="24"/>
        <v/>
      </c>
      <c r="AQ102" s="50"/>
      <c r="AR102" s="50"/>
      <c r="AS102" s="50"/>
      <c r="AT102" s="50"/>
      <c r="AU102" s="50"/>
      <c r="AV102" s="50"/>
      <c r="AW102" s="50"/>
      <c r="AX102" s="48" t="str">
        <f t="shared" si="25"/>
        <v/>
      </c>
      <c r="AY102" s="50"/>
      <c r="AZ102" s="50"/>
      <c r="BA102" s="50"/>
      <c r="BB102" s="50"/>
      <c r="BC102" s="50"/>
      <c r="BD102" s="50"/>
      <c r="BE102" s="50"/>
      <c r="BF102" s="48" t="str">
        <f t="shared" si="26"/>
        <v/>
      </c>
      <c r="BG102" s="50"/>
      <c r="BH102" s="50"/>
      <c r="BI102" s="50"/>
      <c r="BJ102" s="50"/>
      <c r="BK102" s="50"/>
      <c r="BL102" s="50"/>
      <c r="BM102" s="50"/>
      <c r="BN102" s="48" t="str">
        <f t="shared" si="27"/>
        <v/>
      </c>
      <c r="BO102" s="50"/>
      <c r="BP102" s="50"/>
      <c r="BQ102" s="50"/>
      <c r="BR102" s="50"/>
      <c r="BS102" s="50"/>
      <c r="BT102" s="50"/>
      <c r="BU102" s="50"/>
      <c r="BV102" s="48" t="str">
        <f t="shared" si="28"/>
        <v/>
      </c>
      <c r="BW102" s="50"/>
      <c r="BX102" s="50"/>
      <c r="BY102" s="50"/>
      <c r="BZ102" s="50"/>
      <c r="CA102" s="50"/>
      <c r="CB102" s="50"/>
      <c r="CC102" s="75"/>
      <c r="CD102" s="48" t="str">
        <f t="shared" si="29"/>
        <v/>
      </c>
    </row>
    <row r="103" spans="1:82" ht="40" customHeight="1" x14ac:dyDescent="0.15">
      <c r="A103" s="73" t="s">
        <v>245</v>
      </c>
      <c r="B103" s="74" t="s">
        <v>246</v>
      </c>
      <c r="C103" s="186"/>
      <c r="D103" s="50"/>
      <c r="E103" s="50"/>
      <c r="F103" s="50"/>
      <c r="G103" s="50"/>
      <c r="H103" s="50"/>
      <c r="I103" s="50"/>
      <c r="J103" s="48" t="str">
        <f t="shared" si="20"/>
        <v/>
      </c>
      <c r="K103" s="50"/>
      <c r="L103" s="50"/>
      <c r="M103" s="50"/>
      <c r="N103" s="50"/>
      <c r="O103" s="50"/>
      <c r="P103" s="50"/>
      <c r="Q103" s="50"/>
      <c r="R103" s="48" t="str">
        <f t="shared" si="21"/>
        <v/>
      </c>
      <c r="S103" s="47"/>
      <c r="T103" s="47"/>
      <c r="U103" s="47"/>
      <c r="V103" s="47"/>
      <c r="W103" s="47"/>
      <c r="X103" s="47"/>
      <c r="Y103" s="47"/>
      <c r="Z103" s="48" t="str">
        <f t="shared" si="22"/>
        <v/>
      </c>
      <c r="AA103" s="50"/>
      <c r="AB103" s="50"/>
      <c r="AC103" s="50"/>
      <c r="AD103" s="50"/>
      <c r="AE103" s="50"/>
      <c r="AF103" s="50"/>
      <c r="AG103" s="50"/>
      <c r="AH103" s="48" t="str">
        <f t="shared" si="23"/>
        <v/>
      </c>
      <c r="AI103" s="50"/>
      <c r="AJ103" s="50"/>
      <c r="AK103" s="50"/>
      <c r="AL103" s="50"/>
      <c r="AM103" s="50"/>
      <c r="AN103" s="50"/>
      <c r="AO103" s="50"/>
      <c r="AP103" s="48" t="str">
        <f t="shared" si="24"/>
        <v/>
      </c>
      <c r="AQ103" s="50"/>
      <c r="AR103" s="50"/>
      <c r="AS103" s="50"/>
      <c r="AT103" s="50"/>
      <c r="AU103" s="50"/>
      <c r="AV103" s="50"/>
      <c r="AW103" s="50"/>
      <c r="AX103" s="48" t="str">
        <f t="shared" si="25"/>
        <v/>
      </c>
      <c r="AY103" s="50"/>
      <c r="AZ103" s="50"/>
      <c r="BA103" s="50"/>
      <c r="BB103" s="50"/>
      <c r="BC103" s="50"/>
      <c r="BD103" s="50"/>
      <c r="BE103" s="50"/>
      <c r="BF103" s="48" t="str">
        <f t="shared" si="26"/>
        <v/>
      </c>
      <c r="BG103" s="50"/>
      <c r="BH103" s="50"/>
      <c r="BI103" s="50"/>
      <c r="BJ103" s="50"/>
      <c r="BK103" s="50"/>
      <c r="BL103" s="50"/>
      <c r="BM103" s="50"/>
      <c r="BN103" s="48" t="str">
        <f t="shared" si="27"/>
        <v/>
      </c>
      <c r="BO103" s="50"/>
      <c r="BP103" s="50"/>
      <c r="BQ103" s="50"/>
      <c r="BR103" s="50"/>
      <c r="BS103" s="50"/>
      <c r="BT103" s="50"/>
      <c r="BU103" s="50"/>
      <c r="BV103" s="48" t="str">
        <f t="shared" si="28"/>
        <v/>
      </c>
      <c r="BW103" s="50"/>
      <c r="BX103" s="50"/>
      <c r="BY103" s="50"/>
      <c r="BZ103" s="50"/>
      <c r="CA103" s="50"/>
      <c r="CB103" s="50"/>
      <c r="CC103" s="75"/>
      <c r="CD103" s="48" t="str">
        <f t="shared" si="29"/>
        <v/>
      </c>
    </row>
    <row r="104" spans="1:82" ht="40" customHeight="1" x14ac:dyDescent="0.15">
      <c r="A104" s="73" t="s">
        <v>247</v>
      </c>
      <c r="B104" s="74" t="s">
        <v>248</v>
      </c>
      <c r="C104" s="186"/>
      <c r="D104" s="50"/>
      <c r="E104" s="50"/>
      <c r="F104" s="50"/>
      <c r="G104" s="50"/>
      <c r="H104" s="50"/>
      <c r="I104" s="50"/>
      <c r="J104" s="48" t="str">
        <f t="shared" ref="J104:J135" si="30">IFERROR((SUM(C104:I104)/SUM($C$6:$I$6))*100,"")</f>
        <v/>
      </c>
      <c r="K104" s="50"/>
      <c r="L104" s="50"/>
      <c r="M104" s="50"/>
      <c r="N104" s="50"/>
      <c r="O104" s="50"/>
      <c r="P104" s="50"/>
      <c r="Q104" s="50"/>
      <c r="R104" s="48" t="str">
        <f t="shared" ref="R104:R135" si="31">IFERROR((SUM(K104:Q104)/SUM($K$6:$Q$6))*100,"")</f>
        <v/>
      </c>
      <c r="S104" s="47"/>
      <c r="T104" s="47"/>
      <c r="U104" s="47"/>
      <c r="V104" s="47"/>
      <c r="W104" s="47"/>
      <c r="X104" s="47"/>
      <c r="Y104" s="47"/>
      <c r="Z104" s="48" t="str">
        <f t="shared" ref="Z104:Z135" si="32">IFERROR((SUM(S104:Y104)/SUM($S$6:$Y$6))*100,"")</f>
        <v/>
      </c>
      <c r="AA104" s="50"/>
      <c r="AB104" s="50"/>
      <c r="AC104" s="50"/>
      <c r="AD104" s="50"/>
      <c r="AE104" s="50"/>
      <c r="AF104" s="50"/>
      <c r="AG104" s="50"/>
      <c r="AH104" s="48" t="str">
        <f t="shared" ref="AH104:AH135" si="33">IFERROR((SUM(AA104:AG104)/SUM($AA$6:$AG$6))*100,"")</f>
        <v/>
      </c>
      <c r="AI104" s="50"/>
      <c r="AJ104" s="50"/>
      <c r="AK104" s="50"/>
      <c r="AL104" s="50"/>
      <c r="AM104" s="50"/>
      <c r="AN104" s="50"/>
      <c r="AO104" s="50"/>
      <c r="AP104" s="48" t="str">
        <f t="shared" ref="AP104:AP135" si="34">IFERROR((SUM(AI104:AO104)/SUM($AI$6:$AO$6))*100,"")</f>
        <v/>
      </c>
      <c r="AQ104" s="50"/>
      <c r="AR104" s="50"/>
      <c r="AS104" s="50"/>
      <c r="AT104" s="50"/>
      <c r="AU104" s="50"/>
      <c r="AV104" s="50"/>
      <c r="AW104" s="50"/>
      <c r="AX104" s="48" t="str">
        <f t="shared" ref="AX104:AX135" si="35">IFERROR((SUM(AQ104:AW104)/SUM($AQ$6:$AW$6))*100,"")</f>
        <v/>
      </c>
      <c r="AY104" s="50"/>
      <c r="AZ104" s="50"/>
      <c r="BA104" s="50"/>
      <c r="BB104" s="50"/>
      <c r="BC104" s="50"/>
      <c r="BD104" s="50"/>
      <c r="BE104" s="50"/>
      <c r="BF104" s="48" t="str">
        <f t="shared" ref="BF104:BF135" si="36">IFERROR((SUM(AY104:BE104)/SUM($AY$6:$BE$6))*100,"")</f>
        <v/>
      </c>
      <c r="BG104" s="50"/>
      <c r="BH104" s="50"/>
      <c r="BI104" s="50"/>
      <c r="BJ104" s="50"/>
      <c r="BK104" s="50"/>
      <c r="BL104" s="50"/>
      <c r="BM104" s="50"/>
      <c r="BN104" s="48" t="str">
        <f t="shared" ref="BN104:BN135" si="37">IFERROR((SUM(BG104:BM104)/SUM($BG$6:$BM$6))*100,"")</f>
        <v/>
      </c>
      <c r="BO104" s="50"/>
      <c r="BP104" s="50"/>
      <c r="BQ104" s="50"/>
      <c r="BR104" s="50"/>
      <c r="BS104" s="50"/>
      <c r="BT104" s="50"/>
      <c r="BU104" s="50"/>
      <c r="BV104" s="48" t="str">
        <f t="shared" ref="BV104:BV135" si="38">IFERROR((SUM(BO104:BU104)/SUM($BP$6:$BU$6))*100,"")</f>
        <v/>
      </c>
      <c r="BW104" s="50"/>
      <c r="BX104" s="50"/>
      <c r="BY104" s="50"/>
      <c r="BZ104" s="50"/>
      <c r="CA104" s="50"/>
      <c r="CB104" s="50"/>
      <c r="CC104" s="75"/>
      <c r="CD104" s="48" t="str">
        <f t="shared" ref="CD104:CD135" si="39">IFERROR((SUM(BW104:CC104)/SUM($BW$6:$CC$6))*100,"")</f>
        <v/>
      </c>
    </row>
    <row r="105" spans="1:82" ht="40" customHeight="1" x14ac:dyDescent="0.15">
      <c r="A105" s="68" t="s">
        <v>249</v>
      </c>
      <c r="B105" s="69" t="s">
        <v>250</v>
      </c>
      <c r="C105" s="186"/>
      <c r="D105" s="50"/>
      <c r="E105" s="50"/>
      <c r="F105" s="50"/>
      <c r="G105" s="50"/>
      <c r="H105" s="50"/>
      <c r="I105" s="50"/>
      <c r="J105" s="48" t="str">
        <f t="shared" si="30"/>
        <v/>
      </c>
      <c r="K105" s="50"/>
      <c r="L105" s="50"/>
      <c r="M105" s="50"/>
      <c r="N105" s="50"/>
      <c r="O105" s="50"/>
      <c r="P105" s="50"/>
      <c r="Q105" s="50"/>
      <c r="R105" s="48" t="str">
        <f t="shared" si="31"/>
        <v/>
      </c>
      <c r="S105" s="47"/>
      <c r="T105" s="47"/>
      <c r="U105" s="47"/>
      <c r="V105" s="47"/>
      <c r="W105" s="47"/>
      <c r="X105" s="47"/>
      <c r="Y105" s="47"/>
      <c r="Z105" s="48" t="str">
        <f t="shared" si="32"/>
        <v/>
      </c>
      <c r="AA105" s="50"/>
      <c r="AB105" s="50"/>
      <c r="AC105" s="50"/>
      <c r="AD105" s="50"/>
      <c r="AE105" s="50"/>
      <c r="AF105" s="50"/>
      <c r="AG105" s="50"/>
      <c r="AH105" s="48" t="str">
        <f t="shared" si="33"/>
        <v/>
      </c>
      <c r="AI105" s="50"/>
      <c r="AJ105" s="50"/>
      <c r="AK105" s="50"/>
      <c r="AL105" s="50"/>
      <c r="AM105" s="50"/>
      <c r="AN105" s="50"/>
      <c r="AO105" s="50"/>
      <c r="AP105" s="48" t="str">
        <f t="shared" si="34"/>
        <v/>
      </c>
      <c r="AQ105" s="50"/>
      <c r="AR105" s="50"/>
      <c r="AS105" s="50"/>
      <c r="AT105" s="50"/>
      <c r="AU105" s="50"/>
      <c r="AV105" s="50"/>
      <c r="AW105" s="50"/>
      <c r="AX105" s="48" t="str">
        <f t="shared" si="35"/>
        <v/>
      </c>
      <c r="AY105" s="50"/>
      <c r="AZ105" s="50"/>
      <c r="BA105" s="50"/>
      <c r="BB105" s="50"/>
      <c r="BC105" s="50"/>
      <c r="BD105" s="50"/>
      <c r="BE105" s="50"/>
      <c r="BF105" s="48" t="str">
        <f t="shared" si="36"/>
        <v/>
      </c>
      <c r="BG105" s="50"/>
      <c r="BH105" s="50"/>
      <c r="BI105" s="50"/>
      <c r="BJ105" s="50"/>
      <c r="BK105" s="50"/>
      <c r="BL105" s="50"/>
      <c r="BM105" s="50"/>
      <c r="BN105" s="48" t="str">
        <f t="shared" si="37"/>
        <v/>
      </c>
      <c r="BO105" s="50"/>
      <c r="BP105" s="50"/>
      <c r="BQ105" s="50"/>
      <c r="BR105" s="50"/>
      <c r="BS105" s="50"/>
      <c r="BT105" s="50"/>
      <c r="BU105" s="50"/>
      <c r="BV105" s="48" t="str">
        <f t="shared" si="38"/>
        <v/>
      </c>
      <c r="BW105" s="50"/>
      <c r="BX105" s="50"/>
      <c r="BY105" s="50"/>
      <c r="BZ105" s="50"/>
      <c r="CA105" s="50"/>
      <c r="CB105" s="50"/>
      <c r="CC105" s="75"/>
      <c r="CD105" s="48" t="str">
        <f t="shared" si="39"/>
        <v/>
      </c>
    </row>
    <row r="106" spans="1:82" ht="40" customHeight="1" x14ac:dyDescent="0.15">
      <c r="A106" s="71" t="s">
        <v>251</v>
      </c>
      <c r="B106" s="72" t="s">
        <v>252</v>
      </c>
      <c r="C106" s="186"/>
      <c r="D106" s="50"/>
      <c r="E106" s="50"/>
      <c r="F106" s="50"/>
      <c r="G106" s="50"/>
      <c r="H106" s="50"/>
      <c r="I106" s="50"/>
      <c r="J106" s="48" t="str">
        <f t="shared" si="30"/>
        <v/>
      </c>
      <c r="K106" s="50"/>
      <c r="L106" s="50"/>
      <c r="M106" s="50"/>
      <c r="N106" s="50"/>
      <c r="O106" s="50"/>
      <c r="P106" s="50"/>
      <c r="Q106" s="50"/>
      <c r="R106" s="48" t="str">
        <f t="shared" si="31"/>
        <v/>
      </c>
      <c r="S106" s="47"/>
      <c r="T106" s="47"/>
      <c r="U106" s="47"/>
      <c r="V106" s="47"/>
      <c r="W106" s="47"/>
      <c r="X106" s="47"/>
      <c r="Y106" s="47"/>
      <c r="Z106" s="48" t="str">
        <f t="shared" si="32"/>
        <v/>
      </c>
      <c r="AA106" s="50"/>
      <c r="AB106" s="50"/>
      <c r="AC106" s="50"/>
      <c r="AD106" s="50"/>
      <c r="AE106" s="50"/>
      <c r="AF106" s="50"/>
      <c r="AG106" s="50"/>
      <c r="AH106" s="48" t="str">
        <f t="shared" si="33"/>
        <v/>
      </c>
      <c r="AI106" s="50"/>
      <c r="AJ106" s="50"/>
      <c r="AK106" s="50"/>
      <c r="AL106" s="50"/>
      <c r="AM106" s="50"/>
      <c r="AN106" s="50"/>
      <c r="AO106" s="50"/>
      <c r="AP106" s="48" t="str">
        <f t="shared" si="34"/>
        <v/>
      </c>
      <c r="AQ106" s="50"/>
      <c r="AR106" s="50"/>
      <c r="AS106" s="50"/>
      <c r="AT106" s="50"/>
      <c r="AU106" s="50"/>
      <c r="AV106" s="50"/>
      <c r="AW106" s="50"/>
      <c r="AX106" s="48" t="str">
        <f t="shared" si="35"/>
        <v/>
      </c>
      <c r="AY106" s="50"/>
      <c r="AZ106" s="50"/>
      <c r="BA106" s="50"/>
      <c r="BB106" s="50"/>
      <c r="BC106" s="50"/>
      <c r="BD106" s="50"/>
      <c r="BE106" s="50"/>
      <c r="BF106" s="48" t="str">
        <f t="shared" si="36"/>
        <v/>
      </c>
      <c r="BG106" s="50"/>
      <c r="BH106" s="50"/>
      <c r="BI106" s="50"/>
      <c r="BJ106" s="50"/>
      <c r="BK106" s="50"/>
      <c r="BL106" s="50"/>
      <c r="BM106" s="50"/>
      <c r="BN106" s="48" t="str">
        <f t="shared" si="37"/>
        <v/>
      </c>
      <c r="BO106" s="50"/>
      <c r="BP106" s="50"/>
      <c r="BQ106" s="50"/>
      <c r="BR106" s="50"/>
      <c r="BS106" s="50"/>
      <c r="BT106" s="50"/>
      <c r="BU106" s="50"/>
      <c r="BV106" s="48" t="str">
        <f t="shared" si="38"/>
        <v/>
      </c>
      <c r="BW106" s="50"/>
      <c r="BX106" s="50"/>
      <c r="BY106" s="50"/>
      <c r="BZ106" s="50"/>
      <c r="CA106" s="50"/>
      <c r="CB106" s="50"/>
      <c r="CC106" s="75"/>
      <c r="CD106" s="48" t="str">
        <f t="shared" si="39"/>
        <v/>
      </c>
    </row>
    <row r="107" spans="1:82" ht="40" customHeight="1" x14ac:dyDescent="0.15">
      <c r="A107" s="68" t="s">
        <v>253</v>
      </c>
      <c r="B107" s="69"/>
      <c r="C107" s="186"/>
      <c r="D107" s="50"/>
      <c r="E107" s="50"/>
      <c r="F107" s="50"/>
      <c r="G107" s="50"/>
      <c r="H107" s="50"/>
      <c r="I107" s="50"/>
      <c r="J107" s="48" t="str">
        <f t="shared" si="30"/>
        <v/>
      </c>
      <c r="K107" s="50"/>
      <c r="L107" s="50"/>
      <c r="M107" s="50"/>
      <c r="N107" s="50"/>
      <c r="O107" s="50"/>
      <c r="P107" s="50"/>
      <c r="Q107" s="50"/>
      <c r="R107" s="48" t="str">
        <f t="shared" si="31"/>
        <v/>
      </c>
      <c r="S107" s="47"/>
      <c r="T107" s="47"/>
      <c r="U107" s="47"/>
      <c r="V107" s="47"/>
      <c r="W107" s="47"/>
      <c r="X107" s="47"/>
      <c r="Y107" s="47"/>
      <c r="Z107" s="48" t="str">
        <f t="shared" si="32"/>
        <v/>
      </c>
      <c r="AA107" s="50"/>
      <c r="AB107" s="50"/>
      <c r="AC107" s="50"/>
      <c r="AD107" s="50"/>
      <c r="AE107" s="50"/>
      <c r="AF107" s="50"/>
      <c r="AG107" s="50"/>
      <c r="AH107" s="48" t="str">
        <f t="shared" si="33"/>
        <v/>
      </c>
      <c r="AI107" s="50"/>
      <c r="AJ107" s="50"/>
      <c r="AK107" s="50"/>
      <c r="AL107" s="50"/>
      <c r="AM107" s="50"/>
      <c r="AN107" s="50"/>
      <c r="AO107" s="50"/>
      <c r="AP107" s="48" t="str">
        <f t="shared" si="34"/>
        <v/>
      </c>
      <c r="AQ107" s="50"/>
      <c r="AR107" s="50"/>
      <c r="AS107" s="50"/>
      <c r="AT107" s="50"/>
      <c r="AU107" s="50"/>
      <c r="AV107" s="50"/>
      <c r="AW107" s="50"/>
      <c r="AX107" s="48" t="str">
        <f t="shared" si="35"/>
        <v/>
      </c>
      <c r="AY107" s="50"/>
      <c r="AZ107" s="50"/>
      <c r="BA107" s="50"/>
      <c r="BB107" s="50"/>
      <c r="BC107" s="50"/>
      <c r="BD107" s="50"/>
      <c r="BE107" s="50"/>
      <c r="BF107" s="48" t="str">
        <f t="shared" si="36"/>
        <v/>
      </c>
      <c r="BG107" s="50"/>
      <c r="BH107" s="50"/>
      <c r="BI107" s="50"/>
      <c r="BJ107" s="50"/>
      <c r="BK107" s="50"/>
      <c r="BL107" s="50"/>
      <c r="BM107" s="50"/>
      <c r="BN107" s="48" t="str">
        <f t="shared" si="37"/>
        <v/>
      </c>
      <c r="BO107" s="50"/>
      <c r="BP107" s="50"/>
      <c r="BQ107" s="50"/>
      <c r="BR107" s="50"/>
      <c r="BS107" s="50"/>
      <c r="BT107" s="50"/>
      <c r="BU107" s="50"/>
      <c r="BV107" s="48" t="str">
        <f t="shared" si="38"/>
        <v/>
      </c>
      <c r="BW107" s="50"/>
      <c r="BX107" s="50"/>
      <c r="BY107" s="50"/>
      <c r="BZ107" s="50"/>
      <c r="CA107" s="50"/>
      <c r="CB107" s="50"/>
      <c r="CC107" s="75"/>
      <c r="CD107" s="48" t="str">
        <f t="shared" si="39"/>
        <v/>
      </c>
    </row>
    <row r="108" spans="1:82" ht="40" customHeight="1" x14ac:dyDescent="0.15">
      <c r="A108" s="71" t="s">
        <v>254</v>
      </c>
      <c r="B108" s="72" t="s">
        <v>255</v>
      </c>
      <c r="C108" s="186"/>
      <c r="D108" s="50"/>
      <c r="E108" s="50"/>
      <c r="F108" s="50"/>
      <c r="G108" s="50"/>
      <c r="H108" s="50"/>
      <c r="I108" s="50"/>
      <c r="J108" s="48" t="str">
        <f t="shared" si="30"/>
        <v/>
      </c>
      <c r="K108" s="50"/>
      <c r="L108" s="50"/>
      <c r="M108" s="50"/>
      <c r="N108" s="50"/>
      <c r="O108" s="50"/>
      <c r="P108" s="50"/>
      <c r="Q108" s="50"/>
      <c r="R108" s="48" t="str">
        <f t="shared" si="31"/>
        <v/>
      </c>
      <c r="S108" s="47"/>
      <c r="T108" s="47"/>
      <c r="U108" s="47"/>
      <c r="V108" s="47"/>
      <c r="W108" s="47"/>
      <c r="X108" s="47"/>
      <c r="Y108" s="47"/>
      <c r="Z108" s="48" t="str">
        <f t="shared" si="32"/>
        <v/>
      </c>
      <c r="AA108" s="50"/>
      <c r="AB108" s="50"/>
      <c r="AC108" s="50"/>
      <c r="AD108" s="50"/>
      <c r="AE108" s="50"/>
      <c r="AF108" s="50"/>
      <c r="AG108" s="50"/>
      <c r="AH108" s="48" t="str">
        <f t="shared" si="33"/>
        <v/>
      </c>
      <c r="AI108" s="50"/>
      <c r="AJ108" s="50"/>
      <c r="AK108" s="50"/>
      <c r="AL108" s="50"/>
      <c r="AM108" s="50"/>
      <c r="AN108" s="50"/>
      <c r="AO108" s="50"/>
      <c r="AP108" s="48" t="str">
        <f t="shared" si="34"/>
        <v/>
      </c>
      <c r="AQ108" s="50"/>
      <c r="AR108" s="50"/>
      <c r="AS108" s="50"/>
      <c r="AT108" s="50"/>
      <c r="AU108" s="50"/>
      <c r="AV108" s="50"/>
      <c r="AW108" s="50"/>
      <c r="AX108" s="48" t="str">
        <f t="shared" si="35"/>
        <v/>
      </c>
      <c r="AY108" s="50"/>
      <c r="AZ108" s="50"/>
      <c r="BA108" s="50"/>
      <c r="BB108" s="50"/>
      <c r="BC108" s="50"/>
      <c r="BD108" s="50"/>
      <c r="BE108" s="50"/>
      <c r="BF108" s="48" t="str">
        <f t="shared" si="36"/>
        <v/>
      </c>
      <c r="BG108" s="50"/>
      <c r="BH108" s="50"/>
      <c r="BI108" s="50"/>
      <c r="BJ108" s="50"/>
      <c r="BK108" s="50"/>
      <c r="BL108" s="50"/>
      <c r="BM108" s="50"/>
      <c r="BN108" s="48" t="str">
        <f t="shared" si="37"/>
        <v/>
      </c>
      <c r="BO108" s="50"/>
      <c r="BP108" s="50"/>
      <c r="BQ108" s="50"/>
      <c r="BR108" s="50"/>
      <c r="BS108" s="50"/>
      <c r="BT108" s="50"/>
      <c r="BU108" s="50"/>
      <c r="BV108" s="48" t="str">
        <f t="shared" si="38"/>
        <v/>
      </c>
      <c r="BW108" s="50"/>
      <c r="BX108" s="50"/>
      <c r="BY108" s="50"/>
      <c r="BZ108" s="50"/>
      <c r="CA108" s="50"/>
      <c r="CB108" s="50"/>
      <c r="CC108" s="75"/>
      <c r="CD108" s="48" t="str">
        <f t="shared" si="39"/>
        <v/>
      </c>
    </row>
    <row r="109" spans="1:82" ht="40" customHeight="1" x14ac:dyDescent="0.15">
      <c r="A109" s="73"/>
      <c r="B109" s="74"/>
      <c r="C109" s="186"/>
      <c r="D109" s="50"/>
      <c r="E109" s="50"/>
      <c r="F109" s="50"/>
      <c r="G109" s="50"/>
      <c r="H109" s="50"/>
      <c r="I109" s="50"/>
      <c r="J109" s="48" t="str">
        <f t="shared" si="30"/>
        <v/>
      </c>
      <c r="K109" s="50"/>
      <c r="L109" s="50"/>
      <c r="M109" s="50"/>
      <c r="N109" s="50"/>
      <c r="O109" s="50"/>
      <c r="P109" s="50"/>
      <c r="Q109" s="50"/>
      <c r="R109" s="48" t="str">
        <f t="shared" si="31"/>
        <v/>
      </c>
      <c r="S109" s="47"/>
      <c r="T109" s="47"/>
      <c r="U109" s="47"/>
      <c r="V109" s="47"/>
      <c r="W109" s="47"/>
      <c r="X109" s="47"/>
      <c r="Y109" s="47"/>
      <c r="Z109" s="48" t="str">
        <f t="shared" si="32"/>
        <v/>
      </c>
      <c r="AA109" s="50"/>
      <c r="AB109" s="50"/>
      <c r="AC109" s="50"/>
      <c r="AD109" s="50"/>
      <c r="AE109" s="50"/>
      <c r="AF109" s="50"/>
      <c r="AG109" s="50"/>
      <c r="AH109" s="48" t="str">
        <f t="shared" si="33"/>
        <v/>
      </c>
      <c r="AI109" s="50"/>
      <c r="AJ109" s="50"/>
      <c r="AK109" s="50"/>
      <c r="AL109" s="50"/>
      <c r="AM109" s="50"/>
      <c r="AN109" s="50"/>
      <c r="AO109" s="50"/>
      <c r="AP109" s="48" t="str">
        <f t="shared" si="34"/>
        <v/>
      </c>
      <c r="AQ109" s="50"/>
      <c r="AR109" s="50"/>
      <c r="AS109" s="50"/>
      <c r="AT109" s="50"/>
      <c r="AU109" s="50"/>
      <c r="AV109" s="50"/>
      <c r="AW109" s="50"/>
      <c r="AX109" s="48" t="str">
        <f t="shared" si="35"/>
        <v/>
      </c>
      <c r="AY109" s="50"/>
      <c r="AZ109" s="50"/>
      <c r="BA109" s="50"/>
      <c r="BB109" s="50"/>
      <c r="BC109" s="50"/>
      <c r="BD109" s="50"/>
      <c r="BE109" s="50"/>
      <c r="BF109" s="48" t="str">
        <f t="shared" si="36"/>
        <v/>
      </c>
      <c r="BG109" s="50"/>
      <c r="BH109" s="50"/>
      <c r="BI109" s="50"/>
      <c r="BJ109" s="50"/>
      <c r="BK109" s="50"/>
      <c r="BL109" s="50"/>
      <c r="BM109" s="50"/>
      <c r="BN109" s="48" t="str">
        <f t="shared" si="37"/>
        <v/>
      </c>
      <c r="BO109" s="50"/>
      <c r="BP109" s="50"/>
      <c r="BQ109" s="50"/>
      <c r="BR109" s="50"/>
      <c r="BS109" s="50"/>
      <c r="BT109" s="50"/>
      <c r="BU109" s="50"/>
      <c r="BV109" s="48" t="str">
        <f t="shared" si="38"/>
        <v/>
      </c>
      <c r="BW109" s="50"/>
      <c r="BX109" s="50"/>
      <c r="BY109" s="50"/>
      <c r="BZ109" s="50"/>
      <c r="CA109" s="50"/>
      <c r="CB109" s="50"/>
      <c r="CC109" s="75"/>
      <c r="CD109" s="48" t="str">
        <f t="shared" si="39"/>
        <v/>
      </c>
    </row>
    <row r="110" spans="1:82" ht="40" customHeight="1" x14ac:dyDescent="0.15">
      <c r="A110" s="76"/>
      <c r="B110" s="77"/>
      <c r="C110" s="187"/>
      <c r="D110" s="78"/>
      <c r="E110" s="78"/>
      <c r="F110" s="78"/>
      <c r="G110" s="78"/>
      <c r="H110" s="78"/>
      <c r="I110" s="78"/>
      <c r="J110" s="48" t="str">
        <f t="shared" si="30"/>
        <v/>
      </c>
      <c r="K110" s="78"/>
      <c r="L110" s="78"/>
      <c r="M110" s="78"/>
      <c r="N110" s="78"/>
      <c r="O110" s="78"/>
      <c r="P110" s="78"/>
      <c r="Q110" s="78"/>
      <c r="R110" s="48" t="str">
        <f t="shared" si="31"/>
        <v/>
      </c>
      <c r="S110" s="47"/>
      <c r="T110" s="47"/>
      <c r="U110" s="47"/>
      <c r="V110" s="47"/>
      <c r="W110" s="47"/>
      <c r="X110" s="47"/>
      <c r="Y110" s="47"/>
      <c r="Z110" s="48" t="str">
        <f t="shared" si="32"/>
        <v/>
      </c>
      <c r="AA110" s="78"/>
      <c r="AB110" s="78"/>
      <c r="AC110" s="78"/>
      <c r="AD110" s="78"/>
      <c r="AE110" s="78"/>
      <c r="AF110" s="78"/>
      <c r="AG110" s="78"/>
      <c r="AH110" s="48" t="str">
        <f t="shared" si="33"/>
        <v/>
      </c>
      <c r="AI110" s="78"/>
      <c r="AJ110" s="78"/>
      <c r="AK110" s="78"/>
      <c r="AL110" s="78"/>
      <c r="AM110" s="78"/>
      <c r="AN110" s="78"/>
      <c r="AO110" s="78"/>
      <c r="AP110" s="48" t="str">
        <f t="shared" si="34"/>
        <v/>
      </c>
      <c r="AQ110" s="78"/>
      <c r="AR110" s="78"/>
      <c r="AS110" s="78"/>
      <c r="AT110" s="78"/>
      <c r="AU110" s="78"/>
      <c r="AV110" s="78"/>
      <c r="AW110" s="78"/>
      <c r="AX110" s="48" t="str">
        <f t="shared" si="35"/>
        <v/>
      </c>
      <c r="AY110" s="78"/>
      <c r="AZ110" s="78"/>
      <c r="BA110" s="78"/>
      <c r="BB110" s="78"/>
      <c r="BC110" s="78"/>
      <c r="BD110" s="78"/>
      <c r="BE110" s="78"/>
      <c r="BF110" s="48" t="str">
        <f t="shared" si="36"/>
        <v/>
      </c>
      <c r="BG110" s="78"/>
      <c r="BH110" s="78"/>
      <c r="BI110" s="78"/>
      <c r="BJ110" s="78"/>
      <c r="BK110" s="78"/>
      <c r="BL110" s="78"/>
      <c r="BM110" s="78"/>
      <c r="BN110" s="48" t="str">
        <f t="shared" si="37"/>
        <v/>
      </c>
      <c r="BO110" s="78"/>
      <c r="BP110" s="78"/>
      <c r="BQ110" s="78"/>
      <c r="BR110" s="78"/>
      <c r="BS110" s="78"/>
      <c r="BT110" s="78"/>
      <c r="BU110" s="78"/>
      <c r="BV110" s="48" t="str">
        <f t="shared" si="38"/>
        <v/>
      </c>
      <c r="BW110" s="78"/>
      <c r="BX110" s="78"/>
      <c r="BY110" s="78"/>
      <c r="BZ110" s="78"/>
      <c r="CA110" s="78"/>
      <c r="CB110" s="78"/>
      <c r="CC110" s="47"/>
      <c r="CD110" s="48" t="str">
        <f t="shared" si="39"/>
        <v/>
      </c>
    </row>
    <row r="111" spans="1:82" ht="40" customHeight="1" x14ac:dyDescent="0.15">
      <c r="A111" s="79"/>
      <c r="B111" s="56" t="s">
        <v>292</v>
      </c>
      <c r="C111" s="57" t="str">
        <f t="shared" ref="C111:I111" si="40">IFERROR((SUM(C8:C110)/C6)*100,"")</f>
        <v/>
      </c>
      <c r="D111" s="57" t="str">
        <f t="shared" si="40"/>
        <v/>
      </c>
      <c r="E111" s="57" t="str">
        <f t="shared" si="40"/>
        <v/>
      </c>
      <c r="F111" s="57" t="str">
        <f t="shared" si="40"/>
        <v/>
      </c>
      <c r="G111" s="57" t="str">
        <f t="shared" si="40"/>
        <v/>
      </c>
      <c r="H111" s="57" t="str">
        <f t="shared" si="40"/>
        <v/>
      </c>
      <c r="I111" s="57" t="str">
        <f t="shared" si="40"/>
        <v/>
      </c>
      <c r="J111" s="48" t="s">
        <v>293</v>
      </c>
      <c r="K111" s="57" t="str">
        <f t="shared" ref="K111:Q111" si="41">IFERROR((SUM(K8:K110)/K6)*100,"")</f>
        <v/>
      </c>
      <c r="L111" s="57" t="str">
        <f t="shared" si="41"/>
        <v/>
      </c>
      <c r="M111" s="57" t="str">
        <f t="shared" si="41"/>
        <v/>
      </c>
      <c r="N111" s="57" t="str">
        <f t="shared" si="41"/>
        <v/>
      </c>
      <c r="O111" s="57" t="str">
        <f t="shared" si="41"/>
        <v/>
      </c>
      <c r="P111" s="57" t="str">
        <f t="shared" si="41"/>
        <v/>
      </c>
      <c r="Q111" s="57" t="str">
        <f t="shared" si="41"/>
        <v/>
      </c>
      <c r="R111" s="48" t="s">
        <v>293</v>
      </c>
      <c r="S111" s="57" t="str">
        <f t="shared" ref="S111:Y111" si="42">IFERROR((SUM(S8:S110)/S6)*100,"")</f>
        <v/>
      </c>
      <c r="T111" s="57" t="str">
        <f t="shared" si="42"/>
        <v/>
      </c>
      <c r="U111" s="57" t="str">
        <f t="shared" si="42"/>
        <v/>
      </c>
      <c r="V111" s="57" t="str">
        <f t="shared" si="42"/>
        <v/>
      </c>
      <c r="W111" s="57" t="str">
        <f t="shared" si="42"/>
        <v/>
      </c>
      <c r="X111" s="57" t="str">
        <f t="shared" si="42"/>
        <v/>
      </c>
      <c r="Y111" s="57" t="str">
        <f t="shared" si="42"/>
        <v/>
      </c>
      <c r="Z111" s="48" t="s">
        <v>293</v>
      </c>
      <c r="AA111" s="57" t="str">
        <f t="shared" ref="AA111:AG111" si="43">IFERROR((SUM(AA8:AA110)/AA6)*100,"")</f>
        <v/>
      </c>
      <c r="AB111" s="57" t="str">
        <f t="shared" si="43"/>
        <v/>
      </c>
      <c r="AC111" s="57" t="str">
        <f t="shared" si="43"/>
        <v/>
      </c>
      <c r="AD111" s="57" t="str">
        <f t="shared" si="43"/>
        <v/>
      </c>
      <c r="AE111" s="57" t="str">
        <f t="shared" si="43"/>
        <v/>
      </c>
      <c r="AF111" s="57" t="str">
        <f t="shared" si="43"/>
        <v/>
      </c>
      <c r="AG111" s="57" t="str">
        <f t="shared" si="43"/>
        <v/>
      </c>
      <c r="AH111" s="48" t="s">
        <v>293</v>
      </c>
      <c r="AI111" s="57" t="str">
        <f t="shared" ref="AI111:AO111" si="44">IFERROR((SUM(AI8:AI110)/AI6)*100,"")</f>
        <v/>
      </c>
      <c r="AJ111" s="57" t="str">
        <f t="shared" si="44"/>
        <v/>
      </c>
      <c r="AK111" s="57" t="str">
        <f t="shared" si="44"/>
        <v/>
      </c>
      <c r="AL111" s="57" t="str">
        <f t="shared" si="44"/>
        <v/>
      </c>
      <c r="AM111" s="57" t="str">
        <f t="shared" si="44"/>
        <v/>
      </c>
      <c r="AN111" s="57" t="str">
        <f t="shared" si="44"/>
        <v/>
      </c>
      <c r="AO111" s="57" t="str">
        <f t="shared" si="44"/>
        <v/>
      </c>
      <c r="AP111" s="48" t="s">
        <v>293</v>
      </c>
      <c r="AQ111" s="57" t="str">
        <f t="shared" ref="AQ111:AW111" si="45">IFERROR((SUM(AQ8:AQ110)/AQ6)*100,"")</f>
        <v/>
      </c>
      <c r="AR111" s="57" t="str">
        <f t="shared" si="45"/>
        <v/>
      </c>
      <c r="AS111" s="57" t="str">
        <f t="shared" si="45"/>
        <v/>
      </c>
      <c r="AT111" s="57" t="str">
        <f t="shared" si="45"/>
        <v/>
      </c>
      <c r="AU111" s="57" t="str">
        <f t="shared" si="45"/>
        <v/>
      </c>
      <c r="AV111" s="57" t="str">
        <f t="shared" si="45"/>
        <v/>
      </c>
      <c r="AW111" s="57" t="str">
        <f t="shared" si="45"/>
        <v/>
      </c>
      <c r="AX111" s="48" t="s">
        <v>293</v>
      </c>
      <c r="AY111" s="57" t="str">
        <f t="shared" ref="AY111:BE111" si="46">IFERROR((SUM(AY8:AY110)/AY6)*100,"")</f>
        <v/>
      </c>
      <c r="AZ111" s="57" t="str">
        <f t="shared" si="46"/>
        <v/>
      </c>
      <c r="BA111" s="57" t="str">
        <f t="shared" si="46"/>
        <v/>
      </c>
      <c r="BB111" s="57" t="str">
        <f t="shared" si="46"/>
        <v/>
      </c>
      <c r="BC111" s="57" t="str">
        <f t="shared" si="46"/>
        <v/>
      </c>
      <c r="BD111" s="57" t="str">
        <f t="shared" si="46"/>
        <v/>
      </c>
      <c r="BE111" s="57" t="str">
        <f t="shared" si="46"/>
        <v/>
      </c>
      <c r="BF111" s="48" t="s">
        <v>293</v>
      </c>
      <c r="BG111" s="57" t="str">
        <f t="shared" ref="BG111:BM111" si="47">IFERROR((SUM(BG8:BG110)/BG6)*100,"")</f>
        <v/>
      </c>
      <c r="BH111" s="57" t="str">
        <f t="shared" si="47"/>
        <v/>
      </c>
      <c r="BI111" s="57" t="str">
        <f t="shared" si="47"/>
        <v/>
      </c>
      <c r="BJ111" s="57" t="str">
        <f t="shared" si="47"/>
        <v/>
      </c>
      <c r="BK111" s="57" t="str">
        <f t="shared" si="47"/>
        <v/>
      </c>
      <c r="BL111" s="57" t="str">
        <f t="shared" si="47"/>
        <v/>
      </c>
      <c r="BM111" s="57" t="str">
        <f t="shared" si="47"/>
        <v/>
      </c>
      <c r="BN111" s="48" t="s">
        <v>293</v>
      </c>
      <c r="BO111" s="57" t="str">
        <f t="shared" ref="BO111:BU111" si="48">IFERROR((SUM(BO8:BO110)/BO6)*100,"")</f>
        <v/>
      </c>
      <c r="BP111" s="57" t="str">
        <f t="shared" si="48"/>
        <v/>
      </c>
      <c r="BQ111" s="57" t="str">
        <f t="shared" si="48"/>
        <v/>
      </c>
      <c r="BR111" s="57" t="str">
        <f t="shared" si="48"/>
        <v/>
      </c>
      <c r="BS111" s="57" t="str">
        <f t="shared" si="48"/>
        <v/>
      </c>
      <c r="BT111" s="57" t="str">
        <f t="shared" si="48"/>
        <v/>
      </c>
      <c r="BU111" s="57" t="str">
        <f t="shared" si="48"/>
        <v/>
      </c>
      <c r="BV111" s="48" t="s">
        <v>293</v>
      </c>
      <c r="BW111" s="57" t="str">
        <f t="shared" ref="BW111:CC111" si="49">IFERROR((SUM(BW8:BW110)/BW6)*100,"")</f>
        <v/>
      </c>
      <c r="BX111" s="57" t="str">
        <f t="shared" si="49"/>
        <v/>
      </c>
      <c r="BY111" s="57" t="str">
        <f t="shared" si="49"/>
        <v/>
      </c>
      <c r="BZ111" s="57" t="str">
        <f t="shared" si="49"/>
        <v/>
      </c>
      <c r="CA111" s="57" t="str">
        <f t="shared" si="49"/>
        <v/>
      </c>
      <c r="CB111" s="57" t="str">
        <f t="shared" si="49"/>
        <v/>
      </c>
      <c r="CC111" s="57" t="str">
        <f t="shared" si="49"/>
        <v/>
      </c>
      <c r="CD111" s="48" t="s">
        <v>293</v>
      </c>
    </row>
    <row r="112" spans="1:82" ht="40" customHeight="1" x14ac:dyDescent="0.15">
      <c r="B112" s="56" t="s">
        <v>294</v>
      </c>
      <c r="C112" s="80" t="str">
        <f>IFERROR(AVERAGE(C111:I111),"")</f>
        <v/>
      </c>
      <c r="D112" s="81"/>
      <c r="E112" s="81"/>
      <c r="F112" s="81"/>
      <c r="G112" s="81"/>
      <c r="H112" s="81"/>
      <c r="I112" s="82"/>
      <c r="J112" s="45" t="str">
        <f>IF(SUM(J8:J110)=0,"",SUM(J8:J110))</f>
        <v/>
      </c>
      <c r="K112" s="80" t="str">
        <f>IFERROR(AVERAGE(K111:Q111),"")</f>
        <v/>
      </c>
      <c r="L112" s="81"/>
      <c r="M112" s="81"/>
      <c r="N112" s="81"/>
      <c r="O112" s="81"/>
      <c r="P112" s="81"/>
      <c r="Q112" s="82"/>
      <c r="R112" s="45" t="str">
        <f>IF(SUM(R8:R110)=0,"",SUM(R8:R110))</f>
        <v/>
      </c>
      <c r="S112" s="80" t="str">
        <f>IFERROR(AVERAGE(S111:Y111),"")</f>
        <v/>
      </c>
      <c r="T112" s="81"/>
      <c r="U112" s="81"/>
      <c r="V112" s="81"/>
      <c r="W112" s="81"/>
      <c r="X112" s="81"/>
      <c r="Y112" s="82"/>
      <c r="Z112" s="45" t="str">
        <f>IF(SUM(Z8:Z110)=0,"",SUM(Z8:Z110))</f>
        <v/>
      </c>
      <c r="AA112" s="80" t="str">
        <f>IFERROR(AVERAGE(AA111:AG111),"")</f>
        <v/>
      </c>
      <c r="AB112" s="81"/>
      <c r="AC112" s="81"/>
      <c r="AD112" s="81"/>
      <c r="AE112" s="81"/>
      <c r="AF112" s="81"/>
      <c r="AG112" s="82"/>
      <c r="AH112" s="45" t="str">
        <f>IF(SUM(AH8:AH110)=0,"",SUM(AH8:AH110))</f>
        <v/>
      </c>
      <c r="AI112" s="80" t="str">
        <f>IFERROR(AVERAGE(AI111:AO111),"")</f>
        <v/>
      </c>
      <c r="AJ112" s="81"/>
      <c r="AK112" s="81"/>
      <c r="AL112" s="81"/>
      <c r="AM112" s="81"/>
      <c r="AN112" s="81"/>
      <c r="AO112" s="82"/>
      <c r="AP112" s="45" t="str">
        <f>IF(SUM(AP8:AP110)=0,"",SUM(AP8:AP110))</f>
        <v/>
      </c>
      <c r="AQ112" s="80" t="str">
        <f>IFERROR(AVERAGE(AQ111:AW111),"")</f>
        <v/>
      </c>
      <c r="AR112" s="81"/>
      <c r="AS112" s="81"/>
      <c r="AT112" s="81"/>
      <c r="AU112" s="81"/>
      <c r="AV112" s="81"/>
      <c r="AW112" s="82"/>
      <c r="AX112" s="45" t="str">
        <f>IF(SUM(AX8:AX110)=0,"",SUM(AX8:AX110))</f>
        <v/>
      </c>
      <c r="AY112" s="80" t="str">
        <f>IFERROR(AVERAGE(AY111:BE111),"")</f>
        <v/>
      </c>
      <c r="AZ112" s="81"/>
      <c r="BA112" s="81"/>
      <c r="BB112" s="81"/>
      <c r="BC112" s="81"/>
      <c r="BD112" s="81"/>
      <c r="BE112" s="82"/>
      <c r="BF112" s="45" t="str">
        <f>IF(SUM(BF8:BF110)=0,"",SUM(BF8:BF110))</f>
        <v/>
      </c>
      <c r="BG112" s="80" t="str">
        <f>IFERROR(AVERAGE(BG111:BM111),"")</f>
        <v/>
      </c>
      <c r="BH112" s="81"/>
      <c r="BI112" s="81"/>
      <c r="BJ112" s="81"/>
      <c r="BK112" s="81"/>
      <c r="BL112" s="81"/>
      <c r="BM112" s="82"/>
      <c r="BN112" s="45" t="str">
        <f>IF(SUM(BN8:BN110)=0,"",SUM(BN8:BN110))</f>
        <v/>
      </c>
      <c r="BO112" s="80" t="str">
        <f>IFERROR(AVERAGE(BO111:BU111),"")</f>
        <v/>
      </c>
      <c r="BP112" s="81"/>
      <c r="BQ112" s="81"/>
      <c r="BR112" s="81"/>
      <c r="BS112" s="81"/>
      <c r="BT112" s="81"/>
      <c r="BU112" s="82"/>
      <c r="BV112" s="45" t="str">
        <f>IF(SUM(BV8:BV110)=0,"",SUM(BV8:BV110))</f>
        <v/>
      </c>
      <c r="BW112" s="80" t="str">
        <f>IFERROR(AVERAGE(BW111:CC111),"")</f>
        <v/>
      </c>
      <c r="BX112" s="81"/>
      <c r="BY112" s="81"/>
      <c r="BZ112" s="81"/>
      <c r="CA112" s="81"/>
      <c r="CB112" s="81"/>
      <c r="CC112" s="82"/>
      <c r="CD112" s="45" t="str">
        <f>IF(SUM(CD8:CD110)=0,"",SUM(CD8:CD110))</f>
        <v/>
      </c>
    </row>
    <row r="113" spans="1:82" ht="40" customHeight="1" x14ac:dyDescent="0.15">
      <c r="B113" s="56" t="s">
        <v>295</v>
      </c>
      <c r="C113" s="59" t="str">
        <f>IF(100-(SUM(J8:J110))=100,"",100-(SUM(J8:J110)))</f>
        <v/>
      </c>
      <c r="D113" s="81"/>
      <c r="E113" s="81"/>
      <c r="F113" s="81"/>
      <c r="G113" s="81"/>
      <c r="H113" s="81"/>
      <c r="I113" s="82"/>
      <c r="J113" s="63"/>
      <c r="K113" s="59" t="str">
        <f>IF(100-(SUM(R8:R110))=100,"",100-(SUM(R8:R110)))</f>
        <v/>
      </c>
      <c r="L113" s="81"/>
      <c r="M113" s="81"/>
      <c r="N113" s="81"/>
      <c r="O113" s="81"/>
      <c r="P113" s="81"/>
      <c r="Q113" s="82"/>
      <c r="R113" s="63"/>
      <c r="S113" s="59" t="str">
        <f>IF(100-(SUM(Z8:Z110))=100,"",100-(SUM(Z8:Z110)))</f>
        <v/>
      </c>
      <c r="T113" s="81"/>
      <c r="U113" s="81"/>
      <c r="V113" s="81"/>
      <c r="W113" s="81"/>
      <c r="X113" s="81"/>
      <c r="Y113" s="82"/>
      <c r="Z113" s="83"/>
      <c r="AA113" s="59" t="str">
        <f>IF(100-(SUM(AH8:AH110))=100,"",100-(SUM(AH8:AH110)))</f>
        <v/>
      </c>
      <c r="AB113" s="81"/>
      <c r="AC113" s="81"/>
      <c r="AD113" s="81"/>
      <c r="AE113" s="81"/>
      <c r="AF113" s="81"/>
      <c r="AG113" s="82"/>
      <c r="AH113" s="63"/>
      <c r="AI113" s="59" t="str">
        <f>IF(100-(SUM(AP8:AP110))=100,"",100-(SUM(AP8:AP110)))</f>
        <v/>
      </c>
      <c r="AJ113" s="81"/>
      <c r="AK113" s="81"/>
      <c r="AL113" s="81"/>
      <c r="AM113" s="81"/>
      <c r="AN113" s="81"/>
      <c r="AO113" s="82"/>
      <c r="AP113" s="63"/>
      <c r="AQ113" s="59" t="str">
        <f>IF(100-(SUM(AX8:AX110))=100,"",100-(SUM(AX8:AX110)))</f>
        <v/>
      </c>
      <c r="AR113" s="81"/>
      <c r="AS113" s="81"/>
      <c r="AT113" s="81"/>
      <c r="AU113" s="81"/>
      <c r="AV113" s="81"/>
      <c r="AW113" s="82"/>
      <c r="AX113" s="63"/>
      <c r="AY113" s="80" t="str">
        <f>IF(100-(SUM(BF8:BF110))=100,"",100-(SUM(BF8:BF110)))</f>
        <v/>
      </c>
      <c r="AZ113" s="81"/>
      <c r="BA113" s="81"/>
      <c r="BB113" s="81"/>
      <c r="BC113" s="81"/>
      <c r="BD113" s="81"/>
      <c r="BE113" s="82"/>
      <c r="BF113" s="63"/>
      <c r="BG113" s="59" t="str">
        <f>IF(100-(SUM(BN8:BN110))=100,"",100-(SUM(BN8:BN110)))</f>
        <v/>
      </c>
      <c r="BH113" s="81"/>
      <c r="BI113" s="81"/>
      <c r="BJ113" s="81"/>
      <c r="BK113" s="81"/>
      <c r="BL113" s="81"/>
      <c r="BM113" s="82"/>
      <c r="BN113" s="63"/>
      <c r="BO113" s="59" t="str">
        <f>IF(100-(SUM(BV8:BV110))=100,"",100-(SUM(BV8:BV110)))</f>
        <v/>
      </c>
      <c r="BP113" s="81"/>
      <c r="BQ113" s="81"/>
      <c r="BR113" s="81"/>
      <c r="BS113" s="81"/>
      <c r="BT113" s="81"/>
      <c r="BU113" s="82"/>
      <c r="BV113" s="63"/>
      <c r="BW113" s="59" t="str">
        <f>IF(100-(SUM(CD8:CD110))=100,"",100-(SUM(CD8:CD110)))</f>
        <v/>
      </c>
      <c r="BX113" s="81"/>
      <c r="BY113" s="81"/>
      <c r="BZ113" s="81"/>
      <c r="CA113" s="81"/>
      <c r="CB113" s="81"/>
      <c r="CC113" s="82"/>
      <c r="CD113" s="63"/>
    </row>
    <row r="117" spans="1:82" ht="40" customHeight="1" x14ac:dyDescent="0.15">
      <c r="A117" s="158" t="s">
        <v>51</v>
      </c>
      <c r="B117" s="159" t="s">
        <v>52</v>
      </c>
      <c r="C117" s="159" t="s">
        <v>18</v>
      </c>
      <c r="D117" s="159" t="s">
        <v>19</v>
      </c>
      <c r="E117" s="159" t="s">
        <v>20</v>
      </c>
      <c r="F117" s="159" t="s">
        <v>314</v>
      </c>
      <c r="G117" s="159" t="s">
        <v>21</v>
      </c>
      <c r="H117" s="159" t="s">
        <v>22</v>
      </c>
      <c r="I117" s="159" t="s">
        <v>23</v>
      </c>
      <c r="J117" s="159" t="s">
        <v>315</v>
      </c>
      <c r="K117" s="159" t="s">
        <v>24</v>
      </c>
      <c r="L117" s="162" t="s">
        <v>316</v>
      </c>
      <c r="M117" s="162" t="s">
        <v>46</v>
      </c>
    </row>
    <row r="118" spans="1:82" ht="40" customHeight="1" x14ac:dyDescent="0.15">
      <c r="A118" s="163" t="s">
        <v>55</v>
      </c>
      <c r="B118" s="164"/>
      <c r="C118" s="63" t="str">
        <f t="shared" ref="C118:C149" si="50">J8</f>
        <v/>
      </c>
      <c r="D118" s="63" t="str">
        <f t="shared" ref="D118:D149" si="51">R8</f>
        <v/>
      </c>
      <c r="E118" s="63" t="str">
        <f t="shared" ref="E118:E149" si="52">Z8</f>
        <v/>
      </c>
      <c r="F118" s="63" t="str">
        <f t="shared" ref="F118:F149" si="53">AH8</f>
        <v/>
      </c>
      <c r="G118" s="63" t="str">
        <f t="shared" ref="G118:G149" si="54">AP8</f>
        <v/>
      </c>
      <c r="H118" s="63" t="str">
        <f t="shared" ref="H118:H149" si="55">AX8</f>
        <v/>
      </c>
      <c r="I118" s="63" t="str">
        <f t="shared" ref="I118:I149" si="56">BF8</f>
        <v/>
      </c>
      <c r="J118" s="63" t="str">
        <f t="shared" ref="J118:J149" si="57">BN8</f>
        <v/>
      </c>
      <c r="K118" s="63" t="str">
        <f t="shared" ref="K118:K149" si="58">BV8</f>
        <v/>
      </c>
      <c r="L118" s="165" t="str">
        <f t="shared" ref="L118:L149" si="59">CD8</f>
        <v/>
      </c>
      <c r="M118" s="166">
        <f>SUM(Table86[[#This Row],[M11-7]:[M17-124]])</f>
        <v>0</v>
      </c>
    </row>
    <row r="119" spans="1:82" ht="40" customHeight="1" x14ac:dyDescent="0.15">
      <c r="A119" s="174" t="s">
        <v>56</v>
      </c>
      <c r="B119" s="175" t="s">
        <v>57</v>
      </c>
      <c r="C119" s="63" t="str">
        <f t="shared" si="50"/>
        <v/>
      </c>
      <c r="D119" s="63" t="str">
        <f t="shared" si="51"/>
        <v/>
      </c>
      <c r="E119" s="63" t="str">
        <f t="shared" si="52"/>
        <v/>
      </c>
      <c r="F119" s="63" t="str">
        <f t="shared" si="53"/>
        <v/>
      </c>
      <c r="G119" s="63" t="str">
        <f t="shared" si="54"/>
        <v/>
      </c>
      <c r="H119" s="63" t="str">
        <f t="shared" si="55"/>
        <v/>
      </c>
      <c r="I119" s="63" t="str">
        <f t="shared" si="56"/>
        <v/>
      </c>
      <c r="J119" s="63" t="str">
        <f t="shared" si="57"/>
        <v/>
      </c>
      <c r="K119" s="63" t="str">
        <f t="shared" si="58"/>
        <v/>
      </c>
      <c r="L119" s="165" t="str">
        <f t="shared" si="59"/>
        <v/>
      </c>
      <c r="M119" s="165">
        <f>SUM(Table86[[#This Row],[M11-7]:[M17-124]])</f>
        <v>0</v>
      </c>
    </row>
    <row r="120" spans="1:82" ht="40" customHeight="1" x14ac:dyDescent="0.15">
      <c r="A120" s="176" t="s">
        <v>58</v>
      </c>
      <c r="B120" s="177" t="s">
        <v>59</v>
      </c>
      <c r="C120" s="63" t="str">
        <f t="shared" si="50"/>
        <v/>
      </c>
      <c r="D120" s="63" t="str">
        <f t="shared" si="51"/>
        <v/>
      </c>
      <c r="E120" s="63" t="str">
        <f t="shared" si="52"/>
        <v/>
      </c>
      <c r="F120" s="63" t="str">
        <f t="shared" si="53"/>
        <v/>
      </c>
      <c r="G120" s="63" t="str">
        <f t="shared" si="54"/>
        <v/>
      </c>
      <c r="H120" s="63" t="str">
        <f t="shared" si="55"/>
        <v/>
      </c>
      <c r="I120" s="63" t="str">
        <f t="shared" si="56"/>
        <v/>
      </c>
      <c r="J120" s="63" t="str">
        <f t="shared" si="57"/>
        <v/>
      </c>
      <c r="K120" s="63" t="str">
        <f t="shared" si="58"/>
        <v/>
      </c>
      <c r="L120" s="165" t="str">
        <f t="shared" si="59"/>
        <v/>
      </c>
      <c r="M120" s="165">
        <f>SUM(Table86[[#This Row],[M11-7]:[M17-124]])</f>
        <v>0</v>
      </c>
    </row>
    <row r="121" spans="1:82" ht="40" customHeight="1" x14ac:dyDescent="0.15">
      <c r="A121" s="174" t="s">
        <v>60</v>
      </c>
      <c r="B121" s="175" t="s">
        <v>61</v>
      </c>
      <c r="C121" s="63" t="str">
        <f t="shared" si="50"/>
        <v/>
      </c>
      <c r="D121" s="63" t="str">
        <f t="shared" si="51"/>
        <v/>
      </c>
      <c r="E121" s="63" t="str">
        <f t="shared" si="52"/>
        <v/>
      </c>
      <c r="F121" s="63" t="str">
        <f t="shared" si="53"/>
        <v/>
      </c>
      <c r="G121" s="63" t="str">
        <f t="shared" si="54"/>
        <v/>
      </c>
      <c r="H121" s="63" t="str">
        <f t="shared" si="55"/>
        <v/>
      </c>
      <c r="I121" s="63" t="str">
        <f t="shared" si="56"/>
        <v/>
      </c>
      <c r="J121" s="63" t="str">
        <f t="shared" si="57"/>
        <v/>
      </c>
      <c r="K121" s="63" t="str">
        <f t="shared" si="58"/>
        <v/>
      </c>
      <c r="L121" s="165" t="str">
        <f t="shared" si="59"/>
        <v/>
      </c>
      <c r="M121" s="165">
        <f>SUM(Table86[[#This Row],[M11-7]:[M17-124]])</f>
        <v>0</v>
      </c>
    </row>
    <row r="122" spans="1:82" ht="40" customHeight="1" x14ac:dyDescent="0.15">
      <c r="A122" s="176" t="s">
        <v>62</v>
      </c>
      <c r="B122" s="177" t="s">
        <v>63</v>
      </c>
      <c r="C122" s="63" t="str">
        <f t="shared" si="50"/>
        <v/>
      </c>
      <c r="D122" s="63" t="str">
        <f t="shared" si="51"/>
        <v/>
      </c>
      <c r="E122" s="63" t="str">
        <f t="shared" si="52"/>
        <v/>
      </c>
      <c r="F122" s="63" t="str">
        <f t="shared" si="53"/>
        <v/>
      </c>
      <c r="G122" s="63" t="str">
        <f t="shared" si="54"/>
        <v/>
      </c>
      <c r="H122" s="63" t="str">
        <f t="shared" si="55"/>
        <v/>
      </c>
      <c r="I122" s="63" t="str">
        <f t="shared" si="56"/>
        <v/>
      </c>
      <c r="J122" s="63" t="str">
        <f t="shared" si="57"/>
        <v/>
      </c>
      <c r="K122" s="63" t="str">
        <f t="shared" si="58"/>
        <v/>
      </c>
      <c r="L122" s="165" t="str">
        <f t="shared" si="59"/>
        <v/>
      </c>
      <c r="M122" s="165">
        <f>SUM(Table86[[#This Row],[M11-7]:[M17-124]])</f>
        <v>0</v>
      </c>
    </row>
    <row r="123" spans="1:82" ht="40" customHeight="1" x14ac:dyDescent="0.15">
      <c r="A123" s="174" t="s">
        <v>64</v>
      </c>
      <c r="B123" s="175" t="s">
        <v>65</v>
      </c>
      <c r="C123" s="63" t="str">
        <f t="shared" si="50"/>
        <v/>
      </c>
      <c r="D123" s="63" t="str">
        <f t="shared" si="51"/>
        <v/>
      </c>
      <c r="E123" s="63" t="str">
        <f t="shared" si="52"/>
        <v/>
      </c>
      <c r="F123" s="63" t="str">
        <f t="shared" si="53"/>
        <v/>
      </c>
      <c r="G123" s="63" t="str">
        <f t="shared" si="54"/>
        <v/>
      </c>
      <c r="H123" s="63" t="str">
        <f t="shared" si="55"/>
        <v/>
      </c>
      <c r="I123" s="63" t="str">
        <f t="shared" si="56"/>
        <v/>
      </c>
      <c r="J123" s="63" t="str">
        <f t="shared" si="57"/>
        <v/>
      </c>
      <c r="K123" s="63" t="str">
        <f t="shared" si="58"/>
        <v/>
      </c>
      <c r="L123" s="165" t="str">
        <f t="shared" si="59"/>
        <v/>
      </c>
      <c r="M123" s="165">
        <f>SUM(Table86[[#This Row],[M11-7]:[M17-124]])</f>
        <v>0</v>
      </c>
    </row>
    <row r="124" spans="1:82" ht="40" customHeight="1" x14ac:dyDescent="0.15">
      <c r="A124" s="163" t="s">
        <v>66</v>
      </c>
      <c r="B124" s="164"/>
      <c r="C124" s="63" t="str">
        <f t="shared" si="50"/>
        <v/>
      </c>
      <c r="D124" s="63" t="str">
        <f t="shared" si="51"/>
        <v/>
      </c>
      <c r="E124" s="63" t="str">
        <f t="shared" si="52"/>
        <v/>
      </c>
      <c r="F124" s="63" t="str">
        <f t="shared" si="53"/>
        <v/>
      </c>
      <c r="G124" s="63" t="str">
        <f t="shared" si="54"/>
        <v/>
      </c>
      <c r="H124" s="63" t="str">
        <f t="shared" si="55"/>
        <v/>
      </c>
      <c r="I124" s="63" t="str">
        <f t="shared" si="56"/>
        <v/>
      </c>
      <c r="J124" s="63" t="str">
        <f t="shared" si="57"/>
        <v/>
      </c>
      <c r="K124" s="63" t="str">
        <f t="shared" si="58"/>
        <v/>
      </c>
      <c r="L124" s="165" t="str">
        <f t="shared" si="59"/>
        <v/>
      </c>
      <c r="M124" s="165">
        <f>SUM(Table86[[#This Row],[M11-7]:[M17-124]])</f>
        <v>0</v>
      </c>
    </row>
    <row r="125" spans="1:82" ht="40" customHeight="1" x14ac:dyDescent="0.15">
      <c r="A125" s="176" t="s">
        <v>67</v>
      </c>
      <c r="B125" s="177" t="s">
        <v>66</v>
      </c>
      <c r="C125" s="63" t="str">
        <f t="shared" si="50"/>
        <v/>
      </c>
      <c r="D125" s="63" t="str">
        <f t="shared" si="51"/>
        <v/>
      </c>
      <c r="E125" s="63" t="str">
        <f t="shared" si="52"/>
        <v/>
      </c>
      <c r="F125" s="63" t="str">
        <f t="shared" si="53"/>
        <v/>
      </c>
      <c r="G125" s="63" t="str">
        <f t="shared" si="54"/>
        <v/>
      </c>
      <c r="H125" s="63" t="str">
        <f t="shared" si="55"/>
        <v/>
      </c>
      <c r="I125" s="63" t="str">
        <f t="shared" si="56"/>
        <v/>
      </c>
      <c r="J125" s="63" t="str">
        <f t="shared" si="57"/>
        <v/>
      </c>
      <c r="K125" s="63" t="str">
        <f t="shared" si="58"/>
        <v/>
      </c>
      <c r="L125" s="165" t="str">
        <f t="shared" si="59"/>
        <v/>
      </c>
      <c r="M125" s="165">
        <f>SUM(Table86[[#This Row],[M11-7]:[M17-124]])</f>
        <v>0</v>
      </c>
    </row>
    <row r="126" spans="1:82" ht="40" customHeight="1" x14ac:dyDescent="0.15">
      <c r="A126" s="163" t="s">
        <v>68</v>
      </c>
      <c r="B126" s="164"/>
      <c r="C126" s="63" t="str">
        <f t="shared" si="50"/>
        <v/>
      </c>
      <c r="D126" s="63" t="str">
        <f t="shared" si="51"/>
        <v/>
      </c>
      <c r="E126" s="63" t="str">
        <f t="shared" si="52"/>
        <v/>
      </c>
      <c r="F126" s="63" t="str">
        <f t="shared" si="53"/>
        <v/>
      </c>
      <c r="G126" s="63" t="str">
        <f t="shared" si="54"/>
        <v/>
      </c>
      <c r="H126" s="63" t="str">
        <f t="shared" si="55"/>
        <v/>
      </c>
      <c r="I126" s="63" t="str">
        <f t="shared" si="56"/>
        <v/>
      </c>
      <c r="J126" s="63" t="str">
        <f t="shared" si="57"/>
        <v/>
      </c>
      <c r="K126" s="63" t="str">
        <f t="shared" si="58"/>
        <v/>
      </c>
      <c r="L126" s="165" t="str">
        <f t="shared" si="59"/>
        <v/>
      </c>
      <c r="M126" s="165">
        <f>SUM(Table86[[#This Row],[M11-7]:[M17-124]])</f>
        <v>0</v>
      </c>
    </row>
    <row r="127" spans="1:82" ht="40" customHeight="1" x14ac:dyDescent="0.15">
      <c r="A127" s="176" t="s">
        <v>69</v>
      </c>
      <c r="B127" s="177" t="s">
        <v>70</v>
      </c>
      <c r="C127" s="63" t="str">
        <f t="shared" si="50"/>
        <v/>
      </c>
      <c r="D127" s="63" t="str">
        <f t="shared" si="51"/>
        <v/>
      </c>
      <c r="E127" s="63" t="str">
        <f t="shared" si="52"/>
        <v/>
      </c>
      <c r="F127" s="63" t="str">
        <f t="shared" si="53"/>
        <v/>
      </c>
      <c r="G127" s="63" t="str">
        <f t="shared" si="54"/>
        <v/>
      </c>
      <c r="H127" s="63" t="str">
        <f t="shared" si="55"/>
        <v/>
      </c>
      <c r="I127" s="63" t="str">
        <f t="shared" si="56"/>
        <v/>
      </c>
      <c r="J127" s="63" t="str">
        <f t="shared" si="57"/>
        <v/>
      </c>
      <c r="K127" s="63" t="str">
        <f t="shared" si="58"/>
        <v/>
      </c>
      <c r="L127" s="165" t="str">
        <f t="shared" si="59"/>
        <v/>
      </c>
      <c r="M127" s="165">
        <f>SUM(Table86[[#This Row],[M11-7]:[M17-124]])</f>
        <v>0</v>
      </c>
    </row>
    <row r="128" spans="1:82" ht="40" customHeight="1" x14ac:dyDescent="0.15">
      <c r="A128" s="174" t="s">
        <v>71</v>
      </c>
      <c r="B128" s="175" t="s">
        <v>72</v>
      </c>
      <c r="C128" s="63" t="str">
        <f t="shared" si="50"/>
        <v/>
      </c>
      <c r="D128" s="63" t="str">
        <f t="shared" si="51"/>
        <v/>
      </c>
      <c r="E128" s="63" t="str">
        <f t="shared" si="52"/>
        <v/>
      </c>
      <c r="F128" s="63" t="str">
        <f t="shared" si="53"/>
        <v/>
      </c>
      <c r="G128" s="63" t="str">
        <f t="shared" si="54"/>
        <v/>
      </c>
      <c r="H128" s="63" t="str">
        <f t="shared" si="55"/>
        <v/>
      </c>
      <c r="I128" s="63" t="str">
        <f t="shared" si="56"/>
        <v/>
      </c>
      <c r="J128" s="63" t="str">
        <f t="shared" si="57"/>
        <v/>
      </c>
      <c r="K128" s="63" t="str">
        <f t="shared" si="58"/>
        <v/>
      </c>
      <c r="L128" s="165" t="str">
        <f t="shared" si="59"/>
        <v/>
      </c>
      <c r="M128" s="165">
        <f>SUM(Table86[[#This Row],[M11-7]:[M17-124]])</f>
        <v>0</v>
      </c>
    </row>
    <row r="129" spans="1:13" ht="40" customHeight="1" x14ac:dyDescent="0.15">
      <c r="A129" s="176" t="s">
        <v>73</v>
      </c>
      <c r="B129" s="177" t="s">
        <v>74</v>
      </c>
      <c r="C129" s="63" t="str">
        <f t="shared" si="50"/>
        <v/>
      </c>
      <c r="D129" s="63" t="str">
        <f t="shared" si="51"/>
        <v/>
      </c>
      <c r="E129" s="63" t="str">
        <f t="shared" si="52"/>
        <v/>
      </c>
      <c r="F129" s="63" t="str">
        <f t="shared" si="53"/>
        <v/>
      </c>
      <c r="G129" s="63" t="str">
        <f t="shared" si="54"/>
        <v/>
      </c>
      <c r="H129" s="63" t="str">
        <f t="shared" si="55"/>
        <v/>
      </c>
      <c r="I129" s="63" t="str">
        <f t="shared" si="56"/>
        <v/>
      </c>
      <c r="J129" s="63" t="str">
        <f t="shared" si="57"/>
        <v/>
      </c>
      <c r="K129" s="63" t="str">
        <f t="shared" si="58"/>
        <v/>
      </c>
      <c r="L129" s="165" t="str">
        <f t="shared" si="59"/>
        <v/>
      </c>
      <c r="M129" s="165">
        <f>SUM(Table86[[#This Row],[M11-7]:[M17-124]])</f>
        <v>0</v>
      </c>
    </row>
    <row r="130" spans="1:13" ht="40" customHeight="1" x14ac:dyDescent="0.15">
      <c r="A130" s="174" t="s">
        <v>75</v>
      </c>
      <c r="B130" s="175" t="s">
        <v>76</v>
      </c>
      <c r="C130" s="63" t="str">
        <f t="shared" si="50"/>
        <v/>
      </c>
      <c r="D130" s="63" t="str">
        <f t="shared" si="51"/>
        <v/>
      </c>
      <c r="E130" s="63" t="str">
        <f t="shared" si="52"/>
        <v/>
      </c>
      <c r="F130" s="63" t="str">
        <f t="shared" si="53"/>
        <v/>
      </c>
      <c r="G130" s="63" t="str">
        <f t="shared" si="54"/>
        <v/>
      </c>
      <c r="H130" s="63" t="str">
        <f t="shared" si="55"/>
        <v/>
      </c>
      <c r="I130" s="63" t="str">
        <f t="shared" si="56"/>
        <v/>
      </c>
      <c r="J130" s="63" t="str">
        <f t="shared" si="57"/>
        <v/>
      </c>
      <c r="K130" s="63" t="str">
        <f t="shared" si="58"/>
        <v/>
      </c>
      <c r="L130" s="165" t="str">
        <f t="shared" si="59"/>
        <v/>
      </c>
      <c r="M130" s="165">
        <f>SUM(Table86[[#This Row],[M11-7]:[M17-124]])</f>
        <v>0</v>
      </c>
    </row>
    <row r="131" spans="1:13" ht="40" customHeight="1" x14ac:dyDescent="0.15">
      <c r="A131" s="174" t="s">
        <v>77</v>
      </c>
      <c r="B131" s="175" t="s">
        <v>78</v>
      </c>
      <c r="C131" s="63" t="str">
        <f t="shared" si="50"/>
        <v/>
      </c>
      <c r="D131" s="63" t="str">
        <f t="shared" si="51"/>
        <v/>
      </c>
      <c r="E131" s="63" t="str">
        <f t="shared" si="52"/>
        <v/>
      </c>
      <c r="F131" s="63" t="str">
        <f t="shared" si="53"/>
        <v/>
      </c>
      <c r="G131" s="63" t="str">
        <f t="shared" si="54"/>
        <v/>
      </c>
      <c r="H131" s="63" t="str">
        <f t="shared" si="55"/>
        <v/>
      </c>
      <c r="I131" s="63" t="str">
        <f t="shared" si="56"/>
        <v/>
      </c>
      <c r="J131" s="63" t="str">
        <f t="shared" si="57"/>
        <v/>
      </c>
      <c r="K131" s="63" t="str">
        <f t="shared" si="58"/>
        <v/>
      </c>
      <c r="L131" s="165" t="str">
        <f t="shared" si="59"/>
        <v/>
      </c>
      <c r="M131" s="165">
        <f>SUM(Table86[[#This Row],[M11-7]:[M17-124]])</f>
        <v>0</v>
      </c>
    </row>
    <row r="132" spans="1:13" ht="40" customHeight="1" x14ac:dyDescent="0.15">
      <c r="A132" s="176" t="s">
        <v>79</v>
      </c>
      <c r="B132" s="177" t="s">
        <v>80</v>
      </c>
      <c r="C132" s="63" t="str">
        <f t="shared" si="50"/>
        <v/>
      </c>
      <c r="D132" s="63" t="str">
        <f t="shared" si="51"/>
        <v/>
      </c>
      <c r="E132" s="63" t="str">
        <f t="shared" si="52"/>
        <v/>
      </c>
      <c r="F132" s="63" t="str">
        <f t="shared" si="53"/>
        <v/>
      </c>
      <c r="G132" s="63" t="str">
        <f t="shared" si="54"/>
        <v/>
      </c>
      <c r="H132" s="63" t="str">
        <f t="shared" si="55"/>
        <v/>
      </c>
      <c r="I132" s="63" t="str">
        <f t="shared" si="56"/>
        <v/>
      </c>
      <c r="J132" s="63" t="str">
        <f t="shared" si="57"/>
        <v/>
      </c>
      <c r="K132" s="63" t="str">
        <f t="shared" si="58"/>
        <v/>
      </c>
      <c r="L132" s="165" t="str">
        <f t="shared" si="59"/>
        <v/>
      </c>
      <c r="M132" s="165">
        <f>SUM(Table86[[#This Row],[M11-7]:[M17-124]])</f>
        <v>0</v>
      </c>
    </row>
    <row r="133" spans="1:13" ht="40" customHeight="1" x14ac:dyDescent="0.15">
      <c r="A133" s="163" t="s">
        <v>81</v>
      </c>
      <c r="B133" s="164"/>
      <c r="C133" s="63" t="str">
        <f t="shared" si="50"/>
        <v/>
      </c>
      <c r="D133" s="63" t="str">
        <f t="shared" si="51"/>
        <v/>
      </c>
      <c r="E133" s="63" t="str">
        <f t="shared" si="52"/>
        <v/>
      </c>
      <c r="F133" s="63" t="str">
        <f t="shared" si="53"/>
        <v/>
      </c>
      <c r="G133" s="63" t="str">
        <f t="shared" si="54"/>
        <v/>
      </c>
      <c r="H133" s="63" t="str">
        <f t="shared" si="55"/>
        <v/>
      </c>
      <c r="I133" s="63" t="str">
        <f t="shared" si="56"/>
        <v/>
      </c>
      <c r="J133" s="63" t="str">
        <f t="shared" si="57"/>
        <v/>
      </c>
      <c r="K133" s="63" t="str">
        <f t="shared" si="58"/>
        <v/>
      </c>
      <c r="L133" s="165" t="str">
        <f t="shared" si="59"/>
        <v/>
      </c>
      <c r="M133" s="165">
        <f>SUM(Table86[[#This Row],[M11-7]:[M17-124]])</f>
        <v>0</v>
      </c>
    </row>
    <row r="134" spans="1:13" ht="40" customHeight="1" x14ac:dyDescent="0.15">
      <c r="A134" s="174" t="s">
        <v>82</v>
      </c>
      <c r="B134" s="175" t="s">
        <v>83</v>
      </c>
      <c r="C134" s="63" t="str">
        <f t="shared" si="50"/>
        <v/>
      </c>
      <c r="D134" s="63" t="str">
        <f t="shared" si="51"/>
        <v/>
      </c>
      <c r="E134" s="63" t="str">
        <f t="shared" si="52"/>
        <v/>
      </c>
      <c r="F134" s="63" t="str">
        <f t="shared" si="53"/>
        <v/>
      </c>
      <c r="G134" s="63" t="str">
        <f t="shared" si="54"/>
        <v/>
      </c>
      <c r="H134" s="63" t="str">
        <f t="shared" si="55"/>
        <v/>
      </c>
      <c r="I134" s="63" t="str">
        <f t="shared" si="56"/>
        <v/>
      </c>
      <c r="J134" s="63" t="str">
        <f t="shared" si="57"/>
        <v/>
      </c>
      <c r="K134" s="63" t="str">
        <f t="shared" si="58"/>
        <v/>
      </c>
      <c r="L134" s="165" t="str">
        <f t="shared" si="59"/>
        <v/>
      </c>
      <c r="M134" s="165">
        <f>SUM(Table86[[#This Row],[M11-7]:[M17-124]])</f>
        <v>0</v>
      </c>
    </row>
    <row r="135" spans="1:13" ht="40" customHeight="1" x14ac:dyDescent="0.15">
      <c r="A135" s="163" t="s">
        <v>84</v>
      </c>
      <c r="B135" s="164"/>
      <c r="C135" s="63" t="str">
        <f t="shared" si="50"/>
        <v/>
      </c>
      <c r="D135" s="63" t="str">
        <f t="shared" si="51"/>
        <v/>
      </c>
      <c r="E135" s="63" t="str">
        <f t="shared" si="52"/>
        <v/>
      </c>
      <c r="F135" s="63" t="str">
        <f t="shared" si="53"/>
        <v/>
      </c>
      <c r="G135" s="63" t="str">
        <f t="shared" si="54"/>
        <v/>
      </c>
      <c r="H135" s="63" t="str">
        <f t="shared" si="55"/>
        <v/>
      </c>
      <c r="I135" s="63" t="str">
        <f t="shared" si="56"/>
        <v/>
      </c>
      <c r="J135" s="63" t="str">
        <f t="shared" si="57"/>
        <v/>
      </c>
      <c r="K135" s="63" t="str">
        <f t="shared" si="58"/>
        <v/>
      </c>
      <c r="L135" s="165" t="str">
        <f t="shared" si="59"/>
        <v/>
      </c>
      <c r="M135" s="165">
        <f>SUM(Table86[[#This Row],[M11-7]:[M17-124]])</f>
        <v>0</v>
      </c>
    </row>
    <row r="136" spans="1:13" ht="40" customHeight="1" x14ac:dyDescent="0.15">
      <c r="A136" s="174" t="s">
        <v>85</v>
      </c>
      <c r="B136" s="175" t="s">
        <v>86</v>
      </c>
      <c r="C136" s="63" t="str">
        <f t="shared" si="50"/>
        <v/>
      </c>
      <c r="D136" s="63" t="str">
        <f t="shared" si="51"/>
        <v/>
      </c>
      <c r="E136" s="63" t="str">
        <f t="shared" si="52"/>
        <v/>
      </c>
      <c r="F136" s="63" t="str">
        <f t="shared" si="53"/>
        <v/>
      </c>
      <c r="G136" s="63" t="str">
        <f t="shared" si="54"/>
        <v/>
      </c>
      <c r="H136" s="63" t="str">
        <f t="shared" si="55"/>
        <v/>
      </c>
      <c r="I136" s="63" t="str">
        <f t="shared" si="56"/>
        <v/>
      </c>
      <c r="J136" s="63" t="str">
        <f t="shared" si="57"/>
        <v/>
      </c>
      <c r="K136" s="63" t="str">
        <f t="shared" si="58"/>
        <v/>
      </c>
      <c r="L136" s="165" t="str">
        <f t="shared" si="59"/>
        <v/>
      </c>
      <c r="M136" s="165">
        <f>SUM(Table86[[#This Row],[M11-7]:[M17-124]])</f>
        <v>0</v>
      </c>
    </row>
    <row r="137" spans="1:13" ht="40" customHeight="1" x14ac:dyDescent="0.15">
      <c r="A137" s="176" t="s">
        <v>87</v>
      </c>
      <c r="B137" s="177" t="s">
        <v>88</v>
      </c>
      <c r="C137" s="63" t="str">
        <f t="shared" si="50"/>
        <v/>
      </c>
      <c r="D137" s="63" t="str">
        <f t="shared" si="51"/>
        <v/>
      </c>
      <c r="E137" s="63" t="str">
        <f t="shared" si="52"/>
        <v/>
      </c>
      <c r="F137" s="63" t="str">
        <f t="shared" si="53"/>
        <v/>
      </c>
      <c r="G137" s="63" t="str">
        <f t="shared" si="54"/>
        <v/>
      </c>
      <c r="H137" s="63" t="str">
        <f t="shared" si="55"/>
        <v/>
      </c>
      <c r="I137" s="63" t="str">
        <f t="shared" si="56"/>
        <v/>
      </c>
      <c r="J137" s="63" t="str">
        <f t="shared" si="57"/>
        <v/>
      </c>
      <c r="K137" s="63" t="str">
        <f t="shared" si="58"/>
        <v/>
      </c>
      <c r="L137" s="165" t="str">
        <f t="shared" si="59"/>
        <v/>
      </c>
      <c r="M137" s="165">
        <f>SUM(Table86[[#This Row],[M11-7]:[M17-124]])</f>
        <v>0</v>
      </c>
    </row>
    <row r="138" spans="1:13" ht="40" customHeight="1" x14ac:dyDescent="0.15">
      <c r="A138" s="174" t="s">
        <v>89</v>
      </c>
      <c r="B138" s="175" t="s">
        <v>90</v>
      </c>
      <c r="C138" s="63" t="str">
        <f t="shared" si="50"/>
        <v/>
      </c>
      <c r="D138" s="63" t="str">
        <f t="shared" si="51"/>
        <v/>
      </c>
      <c r="E138" s="63" t="str">
        <f t="shared" si="52"/>
        <v/>
      </c>
      <c r="F138" s="63" t="str">
        <f t="shared" si="53"/>
        <v/>
      </c>
      <c r="G138" s="63" t="str">
        <f t="shared" si="54"/>
        <v/>
      </c>
      <c r="H138" s="63" t="str">
        <f t="shared" si="55"/>
        <v/>
      </c>
      <c r="I138" s="63" t="str">
        <f t="shared" si="56"/>
        <v/>
      </c>
      <c r="J138" s="63" t="str">
        <f t="shared" si="57"/>
        <v/>
      </c>
      <c r="K138" s="63" t="str">
        <f t="shared" si="58"/>
        <v/>
      </c>
      <c r="L138" s="165" t="str">
        <f t="shared" si="59"/>
        <v/>
      </c>
      <c r="M138" s="165">
        <f>SUM(Table86[[#This Row],[M11-7]:[M17-124]])</f>
        <v>0</v>
      </c>
    </row>
    <row r="139" spans="1:13" ht="40" customHeight="1" x14ac:dyDescent="0.15">
      <c r="A139" s="176" t="s">
        <v>91</v>
      </c>
      <c r="B139" s="177" t="s">
        <v>92</v>
      </c>
      <c r="C139" s="63" t="str">
        <f t="shared" si="50"/>
        <v/>
      </c>
      <c r="D139" s="63" t="str">
        <f t="shared" si="51"/>
        <v/>
      </c>
      <c r="E139" s="63" t="str">
        <f t="shared" si="52"/>
        <v/>
      </c>
      <c r="F139" s="63" t="str">
        <f t="shared" si="53"/>
        <v/>
      </c>
      <c r="G139" s="63" t="str">
        <f t="shared" si="54"/>
        <v/>
      </c>
      <c r="H139" s="63" t="str">
        <f t="shared" si="55"/>
        <v/>
      </c>
      <c r="I139" s="63" t="str">
        <f t="shared" si="56"/>
        <v/>
      </c>
      <c r="J139" s="63" t="str">
        <f t="shared" si="57"/>
        <v/>
      </c>
      <c r="K139" s="63" t="str">
        <f t="shared" si="58"/>
        <v/>
      </c>
      <c r="L139" s="165" t="str">
        <f t="shared" si="59"/>
        <v/>
      </c>
      <c r="M139" s="165">
        <f>SUM(Table86[[#This Row],[M11-7]:[M17-124]])</f>
        <v>0</v>
      </c>
    </row>
    <row r="140" spans="1:13" ht="40" customHeight="1" x14ac:dyDescent="0.15">
      <c r="A140" s="174" t="s">
        <v>93</v>
      </c>
      <c r="B140" s="175" t="s">
        <v>94</v>
      </c>
      <c r="C140" s="63" t="str">
        <f t="shared" si="50"/>
        <v/>
      </c>
      <c r="D140" s="63" t="str">
        <f t="shared" si="51"/>
        <v/>
      </c>
      <c r="E140" s="63" t="str">
        <f t="shared" si="52"/>
        <v/>
      </c>
      <c r="F140" s="63" t="str">
        <f t="shared" si="53"/>
        <v/>
      </c>
      <c r="G140" s="63" t="str">
        <f t="shared" si="54"/>
        <v/>
      </c>
      <c r="H140" s="63" t="str">
        <f t="shared" si="55"/>
        <v/>
      </c>
      <c r="I140" s="63" t="str">
        <f t="shared" si="56"/>
        <v/>
      </c>
      <c r="J140" s="63" t="str">
        <f t="shared" si="57"/>
        <v/>
      </c>
      <c r="K140" s="63" t="str">
        <f t="shared" si="58"/>
        <v/>
      </c>
      <c r="L140" s="165" t="str">
        <f t="shared" si="59"/>
        <v/>
      </c>
      <c r="M140" s="165">
        <f>SUM(Table86[[#This Row],[M11-7]:[M17-124]])</f>
        <v>0</v>
      </c>
    </row>
    <row r="141" spans="1:13" ht="40" customHeight="1" x14ac:dyDescent="0.15">
      <c r="A141" s="176" t="s">
        <v>95</v>
      </c>
      <c r="B141" s="177" t="s">
        <v>96</v>
      </c>
      <c r="C141" s="63" t="str">
        <f t="shared" si="50"/>
        <v/>
      </c>
      <c r="D141" s="63" t="str">
        <f t="shared" si="51"/>
        <v/>
      </c>
      <c r="E141" s="63" t="str">
        <f t="shared" si="52"/>
        <v/>
      </c>
      <c r="F141" s="63" t="str">
        <f t="shared" si="53"/>
        <v/>
      </c>
      <c r="G141" s="63" t="str">
        <f t="shared" si="54"/>
        <v/>
      </c>
      <c r="H141" s="63" t="str">
        <f t="shared" si="55"/>
        <v/>
      </c>
      <c r="I141" s="63" t="str">
        <f t="shared" si="56"/>
        <v/>
      </c>
      <c r="J141" s="63" t="str">
        <f t="shared" si="57"/>
        <v/>
      </c>
      <c r="K141" s="63" t="str">
        <f t="shared" si="58"/>
        <v/>
      </c>
      <c r="L141" s="165" t="str">
        <f t="shared" si="59"/>
        <v/>
      </c>
      <c r="M141" s="165">
        <f>SUM(Table86[[#This Row],[M11-7]:[M17-124]])</f>
        <v>0</v>
      </c>
    </row>
    <row r="142" spans="1:13" ht="40" customHeight="1" x14ac:dyDescent="0.15">
      <c r="A142" s="174" t="s">
        <v>97</v>
      </c>
      <c r="B142" s="175" t="s">
        <v>98</v>
      </c>
      <c r="C142" s="63" t="str">
        <f t="shared" si="50"/>
        <v/>
      </c>
      <c r="D142" s="63" t="str">
        <f t="shared" si="51"/>
        <v/>
      </c>
      <c r="E142" s="63" t="str">
        <f t="shared" si="52"/>
        <v/>
      </c>
      <c r="F142" s="63" t="str">
        <f t="shared" si="53"/>
        <v/>
      </c>
      <c r="G142" s="63" t="str">
        <f t="shared" si="54"/>
        <v/>
      </c>
      <c r="H142" s="63" t="str">
        <f t="shared" si="55"/>
        <v/>
      </c>
      <c r="I142" s="63" t="str">
        <f t="shared" si="56"/>
        <v/>
      </c>
      <c r="J142" s="63" t="str">
        <f t="shared" si="57"/>
        <v/>
      </c>
      <c r="K142" s="63" t="str">
        <f t="shared" si="58"/>
        <v/>
      </c>
      <c r="L142" s="165" t="str">
        <f t="shared" si="59"/>
        <v/>
      </c>
      <c r="M142" s="165">
        <f>SUM(Table86[[#This Row],[M11-7]:[M17-124]])</f>
        <v>0</v>
      </c>
    </row>
    <row r="143" spans="1:13" ht="40" customHeight="1" x14ac:dyDescent="0.15">
      <c r="A143" s="174" t="s">
        <v>99</v>
      </c>
      <c r="B143" s="175" t="s">
        <v>100</v>
      </c>
      <c r="C143" s="63" t="str">
        <f t="shared" si="50"/>
        <v/>
      </c>
      <c r="D143" s="63" t="str">
        <f t="shared" si="51"/>
        <v/>
      </c>
      <c r="E143" s="63" t="str">
        <f t="shared" si="52"/>
        <v/>
      </c>
      <c r="F143" s="63" t="str">
        <f t="shared" si="53"/>
        <v/>
      </c>
      <c r="G143" s="63" t="str">
        <f t="shared" si="54"/>
        <v/>
      </c>
      <c r="H143" s="63" t="str">
        <f t="shared" si="55"/>
        <v/>
      </c>
      <c r="I143" s="63" t="str">
        <f t="shared" si="56"/>
        <v/>
      </c>
      <c r="J143" s="63" t="str">
        <f t="shared" si="57"/>
        <v/>
      </c>
      <c r="K143" s="63" t="str">
        <f t="shared" si="58"/>
        <v/>
      </c>
      <c r="L143" s="165" t="str">
        <f t="shared" si="59"/>
        <v/>
      </c>
      <c r="M143" s="165">
        <f>SUM(Table86[[#This Row],[M11-7]:[M17-124]])</f>
        <v>0</v>
      </c>
    </row>
    <row r="144" spans="1:13" ht="40" customHeight="1" x14ac:dyDescent="0.15">
      <c r="A144" s="176" t="s">
        <v>101</v>
      </c>
      <c r="B144" s="177" t="s">
        <v>102</v>
      </c>
      <c r="C144" s="63" t="str">
        <f t="shared" si="50"/>
        <v/>
      </c>
      <c r="D144" s="63" t="str">
        <f t="shared" si="51"/>
        <v/>
      </c>
      <c r="E144" s="63" t="str">
        <f t="shared" si="52"/>
        <v/>
      </c>
      <c r="F144" s="63" t="str">
        <f t="shared" si="53"/>
        <v/>
      </c>
      <c r="G144" s="63" t="str">
        <f t="shared" si="54"/>
        <v/>
      </c>
      <c r="H144" s="63" t="str">
        <f t="shared" si="55"/>
        <v/>
      </c>
      <c r="I144" s="63" t="str">
        <f t="shared" si="56"/>
        <v/>
      </c>
      <c r="J144" s="63" t="str">
        <f t="shared" si="57"/>
        <v/>
      </c>
      <c r="K144" s="63" t="str">
        <f t="shared" si="58"/>
        <v/>
      </c>
      <c r="L144" s="165" t="str">
        <f t="shared" si="59"/>
        <v/>
      </c>
      <c r="M144" s="165">
        <f>SUM(Table86[[#This Row],[M11-7]:[M17-124]])</f>
        <v>0</v>
      </c>
    </row>
    <row r="145" spans="1:13" ht="40" customHeight="1" x14ac:dyDescent="0.15">
      <c r="A145" s="163" t="s">
        <v>103</v>
      </c>
      <c r="B145" s="164"/>
      <c r="C145" s="63" t="str">
        <f t="shared" si="50"/>
        <v/>
      </c>
      <c r="D145" s="63" t="str">
        <f t="shared" si="51"/>
        <v/>
      </c>
      <c r="E145" s="63" t="str">
        <f t="shared" si="52"/>
        <v/>
      </c>
      <c r="F145" s="63" t="str">
        <f t="shared" si="53"/>
        <v/>
      </c>
      <c r="G145" s="63" t="str">
        <f t="shared" si="54"/>
        <v/>
      </c>
      <c r="H145" s="63" t="str">
        <f t="shared" si="55"/>
        <v/>
      </c>
      <c r="I145" s="63" t="str">
        <f t="shared" si="56"/>
        <v/>
      </c>
      <c r="J145" s="63" t="str">
        <f t="shared" si="57"/>
        <v/>
      </c>
      <c r="K145" s="63" t="str">
        <f t="shared" si="58"/>
        <v/>
      </c>
      <c r="L145" s="165" t="str">
        <f t="shared" si="59"/>
        <v/>
      </c>
      <c r="M145" s="165">
        <f>SUM(Table86[[#This Row],[M11-7]:[M17-124]])</f>
        <v>0</v>
      </c>
    </row>
    <row r="146" spans="1:13" ht="40" customHeight="1" x14ac:dyDescent="0.15">
      <c r="A146" s="174" t="s">
        <v>104</v>
      </c>
      <c r="B146" s="175" t="s">
        <v>105</v>
      </c>
      <c r="C146" s="63" t="str">
        <f t="shared" si="50"/>
        <v/>
      </c>
      <c r="D146" s="63" t="str">
        <f t="shared" si="51"/>
        <v/>
      </c>
      <c r="E146" s="63" t="str">
        <f t="shared" si="52"/>
        <v/>
      </c>
      <c r="F146" s="63" t="str">
        <f t="shared" si="53"/>
        <v/>
      </c>
      <c r="G146" s="63" t="str">
        <f t="shared" si="54"/>
        <v/>
      </c>
      <c r="H146" s="63" t="str">
        <f t="shared" si="55"/>
        <v/>
      </c>
      <c r="I146" s="63" t="str">
        <f t="shared" si="56"/>
        <v/>
      </c>
      <c r="J146" s="63" t="str">
        <f t="shared" si="57"/>
        <v/>
      </c>
      <c r="K146" s="63" t="str">
        <f t="shared" si="58"/>
        <v/>
      </c>
      <c r="L146" s="165" t="str">
        <f t="shared" si="59"/>
        <v/>
      </c>
      <c r="M146" s="165">
        <f>SUM(Table86[[#This Row],[M11-7]:[M17-124]])</f>
        <v>0</v>
      </c>
    </row>
    <row r="147" spans="1:13" ht="40" customHeight="1" x14ac:dyDescent="0.15">
      <c r="A147" s="174" t="s">
        <v>106</v>
      </c>
      <c r="B147" s="175" t="s">
        <v>107</v>
      </c>
      <c r="C147" s="63" t="str">
        <f t="shared" si="50"/>
        <v/>
      </c>
      <c r="D147" s="63" t="str">
        <f t="shared" si="51"/>
        <v/>
      </c>
      <c r="E147" s="63" t="str">
        <f t="shared" si="52"/>
        <v/>
      </c>
      <c r="F147" s="63" t="str">
        <f t="shared" si="53"/>
        <v/>
      </c>
      <c r="G147" s="63" t="str">
        <f t="shared" si="54"/>
        <v/>
      </c>
      <c r="H147" s="63" t="str">
        <f t="shared" si="55"/>
        <v/>
      </c>
      <c r="I147" s="63" t="str">
        <f t="shared" si="56"/>
        <v/>
      </c>
      <c r="J147" s="63" t="str">
        <f t="shared" si="57"/>
        <v/>
      </c>
      <c r="K147" s="63" t="str">
        <f t="shared" si="58"/>
        <v/>
      </c>
      <c r="L147" s="165" t="str">
        <f t="shared" si="59"/>
        <v/>
      </c>
      <c r="M147" s="165">
        <f>SUM(Table86[[#This Row],[M11-7]:[M17-124]])</f>
        <v>0</v>
      </c>
    </row>
    <row r="148" spans="1:13" ht="40" customHeight="1" x14ac:dyDescent="0.15">
      <c r="A148" s="174" t="s">
        <v>108</v>
      </c>
      <c r="B148" s="175" t="s">
        <v>109</v>
      </c>
      <c r="C148" s="63" t="str">
        <f t="shared" si="50"/>
        <v/>
      </c>
      <c r="D148" s="63" t="str">
        <f t="shared" si="51"/>
        <v/>
      </c>
      <c r="E148" s="63" t="str">
        <f t="shared" si="52"/>
        <v/>
      </c>
      <c r="F148" s="63" t="str">
        <f t="shared" si="53"/>
        <v/>
      </c>
      <c r="G148" s="63" t="str">
        <f t="shared" si="54"/>
        <v/>
      </c>
      <c r="H148" s="63" t="str">
        <f t="shared" si="55"/>
        <v/>
      </c>
      <c r="I148" s="63" t="str">
        <f t="shared" si="56"/>
        <v/>
      </c>
      <c r="J148" s="63" t="str">
        <f t="shared" si="57"/>
        <v/>
      </c>
      <c r="K148" s="63" t="str">
        <f t="shared" si="58"/>
        <v/>
      </c>
      <c r="L148" s="165" t="str">
        <f t="shared" si="59"/>
        <v/>
      </c>
      <c r="M148" s="165">
        <f>SUM(Table86[[#This Row],[M11-7]:[M17-124]])</f>
        <v>0</v>
      </c>
    </row>
    <row r="149" spans="1:13" ht="40" customHeight="1" x14ac:dyDescent="0.15">
      <c r="A149" s="176" t="s">
        <v>110</v>
      </c>
      <c r="B149" s="177" t="s">
        <v>111</v>
      </c>
      <c r="C149" s="63" t="str">
        <f t="shared" si="50"/>
        <v/>
      </c>
      <c r="D149" s="63" t="str">
        <f t="shared" si="51"/>
        <v/>
      </c>
      <c r="E149" s="63" t="str">
        <f t="shared" si="52"/>
        <v/>
      </c>
      <c r="F149" s="63" t="str">
        <f t="shared" si="53"/>
        <v/>
      </c>
      <c r="G149" s="63" t="str">
        <f t="shared" si="54"/>
        <v/>
      </c>
      <c r="H149" s="63" t="str">
        <f t="shared" si="55"/>
        <v/>
      </c>
      <c r="I149" s="63" t="str">
        <f t="shared" si="56"/>
        <v/>
      </c>
      <c r="J149" s="63" t="str">
        <f t="shared" si="57"/>
        <v/>
      </c>
      <c r="K149" s="63" t="str">
        <f t="shared" si="58"/>
        <v/>
      </c>
      <c r="L149" s="165" t="str">
        <f t="shared" si="59"/>
        <v/>
      </c>
      <c r="M149" s="165">
        <f>SUM(Table86[[#This Row],[M11-7]:[M17-124]])</f>
        <v>0</v>
      </c>
    </row>
    <row r="150" spans="1:13" ht="40" customHeight="1" x14ac:dyDescent="0.15">
      <c r="A150" s="174" t="s">
        <v>112</v>
      </c>
      <c r="B150" s="175" t="s">
        <v>113</v>
      </c>
      <c r="C150" s="63" t="str">
        <f t="shared" ref="C150:C181" si="60">J40</f>
        <v/>
      </c>
      <c r="D150" s="63" t="str">
        <f t="shared" ref="D150:D181" si="61">R40</f>
        <v/>
      </c>
      <c r="E150" s="63" t="str">
        <f t="shared" ref="E150:E181" si="62">Z40</f>
        <v/>
      </c>
      <c r="F150" s="63" t="str">
        <f t="shared" ref="F150:F181" si="63">AH40</f>
        <v/>
      </c>
      <c r="G150" s="63" t="str">
        <f t="shared" ref="G150:G181" si="64">AP40</f>
        <v/>
      </c>
      <c r="H150" s="63" t="str">
        <f t="shared" ref="H150:H181" si="65">AX40</f>
        <v/>
      </c>
      <c r="I150" s="63" t="str">
        <f t="shared" ref="I150:I181" si="66">BF40</f>
        <v/>
      </c>
      <c r="J150" s="63" t="str">
        <f t="shared" ref="J150:J181" si="67">BN40</f>
        <v/>
      </c>
      <c r="K150" s="63" t="str">
        <f t="shared" ref="K150:K181" si="68">BV40</f>
        <v/>
      </c>
      <c r="L150" s="165" t="str">
        <f t="shared" ref="L150:L181" si="69">CD40</f>
        <v/>
      </c>
      <c r="M150" s="165">
        <f>SUM(Table86[[#This Row],[M11-7]:[M17-124]])</f>
        <v>0</v>
      </c>
    </row>
    <row r="151" spans="1:13" ht="40" customHeight="1" x14ac:dyDescent="0.15">
      <c r="A151" s="176" t="s">
        <v>114</v>
      </c>
      <c r="B151" s="177" t="s">
        <v>115</v>
      </c>
      <c r="C151" s="63" t="str">
        <f t="shared" si="60"/>
        <v/>
      </c>
      <c r="D151" s="63" t="str">
        <f t="shared" si="61"/>
        <v/>
      </c>
      <c r="E151" s="63" t="str">
        <f t="shared" si="62"/>
        <v/>
      </c>
      <c r="F151" s="63" t="str">
        <f t="shared" si="63"/>
        <v/>
      </c>
      <c r="G151" s="63" t="str">
        <f t="shared" si="64"/>
        <v/>
      </c>
      <c r="H151" s="63" t="str">
        <f t="shared" si="65"/>
        <v/>
      </c>
      <c r="I151" s="63" t="str">
        <f t="shared" si="66"/>
        <v/>
      </c>
      <c r="J151" s="63" t="str">
        <f t="shared" si="67"/>
        <v/>
      </c>
      <c r="K151" s="63" t="str">
        <f t="shared" si="68"/>
        <v/>
      </c>
      <c r="L151" s="165" t="str">
        <f t="shared" si="69"/>
        <v/>
      </c>
      <c r="M151" s="165">
        <f>SUM(Table86[[#This Row],[M11-7]:[M17-124]])</f>
        <v>0</v>
      </c>
    </row>
    <row r="152" spans="1:13" ht="40" customHeight="1" x14ac:dyDescent="0.15">
      <c r="A152" s="174" t="s">
        <v>116</v>
      </c>
      <c r="B152" s="175" t="s">
        <v>117</v>
      </c>
      <c r="C152" s="63" t="str">
        <f t="shared" si="60"/>
        <v/>
      </c>
      <c r="D152" s="63" t="str">
        <f t="shared" si="61"/>
        <v/>
      </c>
      <c r="E152" s="63" t="str">
        <f t="shared" si="62"/>
        <v/>
      </c>
      <c r="F152" s="63" t="str">
        <f t="shared" si="63"/>
        <v/>
      </c>
      <c r="G152" s="63" t="str">
        <f t="shared" si="64"/>
        <v/>
      </c>
      <c r="H152" s="63" t="str">
        <f t="shared" si="65"/>
        <v/>
      </c>
      <c r="I152" s="63" t="str">
        <f t="shared" si="66"/>
        <v/>
      </c>
      <c r="J152" s="63" t="str">
        <f t="shared" si="67"/>
        <v/>
      </c>
      <c r="K152" s="63" t="str">
        <f t="shared" si="68"/>
        <v/>
      </c>
      <c r="L152" s="165" t="str">
        <f t="shared" si="69"/>
        <v/>
      </c>
      <c r="M152" s="165">
        <f>SUM(Table86[[#This Row],[M11-7]:[M17-124]])</f>
        <v>0</v>
      </c>
    </row>
    <row r="153" spans="1:13" ht="40" customHeight="1" x14ac:dyDescent="0.15">
      <c r="A153" s="176" t="s">
        <v>118</v>
      </c>
      <c r="B153" s="177" t="s">
        <v>119</v>
      </c>
      <c r="C153" s="63" t="str">
        <f t="shared" si="60"/>
        <v/>
      </c>
      <c r="D153" s="63" t="str">
        <f t="shared" si="61"/>
        <v/>
      </c>
      <c r="E153" s="63" t="str">
        <f t="shared" si="62"/>
        <v/>
      </c>
      <c r="F153" s="63" t="str">
        <f t="shared" si="63"/>
        <v/>
      </c>
      <c r="G153" s="63" t="str">
        <f t="shared" si="64"/>
        <v/>
      </c>
      <c r="H153" s="63" t="str">
        <f t="shared" si="65"/>
        <v/>
      </c>
      <c r="I153" s="63" t="str">
        <f t="shared" si="66"/>
        <v/>
      </c>
      <c r="J153" s="63" t="str">
        <f t="shared" si="67"/>
        <v/>
      </c>
      <c r="K153" s="63" t="str">
        <f t="shared" si="68"/>
        <v/>
      </c>
      <c r="L153" s="165" t="str">
        <f t="shared" si="69"/>
        <v/>
      </c>
      <c r="M153" s="165">
        <f>SUM(Table86[[#This Row],[M11-7]:[M17-124]])</f>
        <v>0</v>
      </c>
    </row>
    <row r="154" spans="1:13" ht="40" customHeight="1" x14ac:dyDescent="0.15">
      <c r="A154" s="174" t="s">
        <v>120</v>
      </c>
      <c r="B154" s="175" t="s">
        <v>121</v>
      </c>
      <c r="C154" s="63" t="str">
        <f t="shared" si="60"/>
        <v/>
      </c>
      <c r="D154" s="63" t="str">
        <f t="shared" si="61"/>
        <v/>
      </c>
      <c r="E154" s="63" t="str">
        <f t="shared" si="62"/>
        <v/>
      </c>
      <c r="F154" s="63" t="str">
        <f t="shared" si="63"/>
        <v/>
      </c>
      <c r="G154" s="63" t="str">
        <f t="shared" si="64"/>
        <v/>
      </c>
      <c r="H154" s="63" t="str">
        <f t="shared" si="65"/>
        <v/>
      </c>
      <c r="I154" s="63" t="str">
        <f t="shared" si="66"/>
        <v/>
      </c>
      <c r="J154" s="63" t="str">
        <f t="shared" si="67"/>
        <v/>
      </c>
      <c r="K154" s="63" t="str">
        <f t="shared" si="68"/>
        <v/>
      </c>
      <c r="L154" s="165" t="str">
        <f t="shared" si="69"/>
        <v/>
      </c>
      <c r="M154" s="165">
        <f>SUM(Table86[[#This Row],[M11-7]:[M17-124]])</f>
        <v>0</v>
      </c>
    </row>
    <row r="155" spans="1:13" ht="40" customHeight="1" x14ac:dyDescent="0.15">
      <c r="A155" s="176" t="s">
        <v>122</v>
      </c>
      <c r="B155" s="177" t="s">
        <v>123</v>
      </c>
      <c r="C155" s="63" t="str">
        <f t="shared" si="60"/>
        <v/>
      </c>
      <c r="D155" s="63" t="str">
        <f t="shared" si="61"/>
        <v/>
      </c>
      <c r="E155" s="63" t="str">
        <f t="shared" si="62"/>
        <v/>
      </c>
      <c r="F155" s="63" t="str">
        <f t="shared" si="63"/>
        <v/>
      </c>
      <c r="G155" s="63" t="str">
        <f t="shared" si="64"/>
        <v/>
      </c>
      <c r="H155" s="63" t="str">
        <f t="shared" si="65"/>
        <v/>
      </c>
      <c r="I155" s="63" t="str">
        <f t="shared" si="66"/>
        <v/>
      </c>
      <c r="J155" s="63" t="str">
        <f t="shared" si="67"/>
        <v/>
      </c>
      <c r="K155" s="63" t="str">
        <f t="shared" si="68"/>
        <v/>
      </c>
      <c r="L155" s="165" t="str">
        <f t="shared" si="69"/>
        <v/>
      </c>
      <c r="M155" s="165">
        <f>SUM(Table86[[#This Row],[M11-7]:[M17-124]])</f>
        <v>0</v>
      </c>
    </row>
    <row r="156" spans="1:13" ht="40" customHeight="1" x14ac:dyDescent="0.15">
      <c r="A156" s="174" t="s">
        <v>125</v>
      </c>
      <c r="B156" s="175" t="s">
        <v>126</v>
      </c>
      <c r="C156" s="63" t="str">
        <f t="shared" si="60"/>
        <v/>
      </c>
      <c r="D156" s="63" t="str">
        <f t="shared" si="61"/>
        <v/>
      </c>
      <c r="E156" s="63" t="str">
        <f t="shared" si="62"/>
        <v/>
      </c>
      <c r="F156" s="63" t="str">
        <f t="shared" si="63"/>
        <v/>
      </c>
      <c r="G156" s="63" t="str">
        <f t="shared" si="64"/>
        <v/>
      </c>
      <c r="H156" s="63" t="str">
        <f t="shared" si="65"/>
        <v/>
      </c>
      <c r="I156" s="63" t="str">
        <f t="shared" si="66"/>
        <v/>
      </c>
      <c r="J156" s="63" t="str">
        <f t="shared" si="67"/>
        <v/>
      </c>
      <c r="K156" s="63" t="str">
        <f t="shared" si="68"/>
        <v/>
      </c>
      <c r="L156" s="165" t="str">
        <f t="shared" si="69"/>
        <v/>
      </c>
      <c r="M156" s="165">
        <f>SUM(Table86[[#This Row],[M11-7]:[M17-124]])</f>
        <v>0</v>
      </c>
    </row>
    <row r="157" spans="1:13" ht="40" customHeight="1" x14ac:dyDescent="0.15">
      <c r="A157" s="176" t="s">
        <v>127</v>
      </c>
      <c r="B157" s="177" t="s">
        <v>128</v>
      </c>
      <c r="C157" s="63" t="str">
        <f t="shared" si="60"/>
        <v/>
      </c>
      <c r="D157" s="63" t="str">
        <f t="shared" si="61"/>
        <v/>
      </c>
      <c r="E157" s="63" t="str">
        <f t="shared" si="62"/>
        <v/>
      </c>
      <c r="F157" s="63" t="str">
        <f t="shared" si="63"/>
        <v/>
      </c>
      <c r="G157" s="63" t="str">
        <f t="shared" si="64"/>
        <v/>
      </c>
      <c r="H157" s="63" t="str">
        <f t="shared" si="65"/>
        <v/>
      </c>
      <c r="I157" s="63" t="str">
        <f t="shared" si="66"/>
        <v/>
      </c>
      <c r="J157" s="63" t="str">
        <f t="shared" si="67"/>
        <v/>
      </c>
      <c r="K157" s="63" t="str">
        <f t="shared" si="68"/>
        <v/>
      </c>
      <c r="L157" s="165" t="str">
        <f t="shared" si="69"/>
        <v/>
      </c>
      <c r="M157" s="165">
        <f>SUM(Table86[[#This Row],[M11-7]:[M17-124]])</f>
        <v>0</v>
      </c>
    </row>
    <row r="158" spans="1:13" ht="40" customHeight="1" x14ac:dyDescent="0.15">
      <c r="A158" s="174" t="s">
        <v>130</v>
      </c>
      <c r="B158" s="175" t="s">
        <v>131</v>
      </c>
      <c r="C158" s="63" t="str">
        <f t="shared" si="60"/>
        <v/>
      </c>
      <c r="D158" s="63" t="str">
        <f t="shared" si="61"/>
        <v/>
      </c>
      <c r="E158" s="63" t="str">
        <f t="shared" si="62"/>
        <v/>
      </c>
      <c r="F158" s="63" t="str">
        <f t="shared" si="63"/>
        <v/>
      </c>
      <c r="G158" s="63" t="str">
        <f t="shared" si="64"/>
        <v/>
      </c>
      <c r="H158" s="63" t="str">
        <f t="shared" si="65"/>
        <v/>
      </c>
      <c r="I158" s="63" t="str">
        <f t="shared" si="66"/>
        <v/>
      </c>
      <c r="J158" s="63" t="str">
        <f t="shared" si="67"/>
        <v/>
      </c>
      <c r="K158" s="63" t="str">
        <f t="shared" si="68"/>
        <v/>
      </c>
      <c r="L158" s="165" t="str">
        <f t="shared" si="69"/>
        <v/>
      </c>
      <c r="M158" s="165">
        <f>SUM(Table86[[#This Row],[M11-7]:[M17-124]])</f>
        <v>0</v>
      </c>
    </row>
    <row r="159" spans="1:13" ht="40" customHeight="1" x14ac:dyDescent="0.15">
      <c r="A159" s="176" t="s">
        <v>132</v>
      </c>
      <c r="B159" s="177" t="s">
        <v>133</v>
      </c>
      <c r="C159" s="63" t="str">
        <f t="shared" si="60"/>
        <v/>
      </c>
      <c r="D159" s="63" t="str">
        <f t="shared" si="61"/>
        <v/>
      </c>
      <c r="E159" s="63" t="str">
        <f t="shared" si="62"/>
        <v/>
      </c>
      <c r="F159" s="63" t="str">
        <f t="shared" si="63"/>
        <v/>
      </c>
      <c r="G159" s="63" t="str">
        <f t="shared" si="64"/>
        <v/>
      </c>
      <c r="H159" s="63" t="str">
        <f t="shared" si="65"/>
        <v/>
      </c>
      <c r="I159" s="63" t="str">
        <f t="shared" si="66"/>
        <v/>
      </c>
      <c r="J159" s="63" t="str">
        <f t="shared" si="67"/>
        <v/>
      </c>
      <c r="K159" s="63" t="str">
        <f t="shared" si="68"/>
        <v/>
      </c>
      <c r="L159" s="165" t="str">
        <f t="shared" si="69"/>
        <v/>
      </c>
      <c r="M159" s="165">
        <f>SUM(Table86[[#This Row],[M11-7]:[M17-124]])</f>
        <v>0</v>
      </c>
    </row>
    <row r="160" spans="1:13" ht="40" customHeight="1" x14ac:dyDescent="0.15">
      <c r="A160" s="174" t="s">
        <v>135</v>
      </c>
      <c r="B160" s="175" t="s">
        <v>136</v>
      </c>
      <c r="C160" s="63" t="str">
        <f t="shared" si="60"/>
        <v/>
      </c>
      <c r="D160" s="63" t="str">
        <f t="shared" si="61"/>
        <v/>
      </c>
      <c r="E160" s="63" t="str">
        <f t="shared" si="62"/>
        <v/>
      </c>
      <c r="F160" s="63" t="str">
        <f t="shared" si="63"/>
        <v/>
      </c>
      <c r="G160" s="63" t="str">
        <f t="shared" si="64"/>
        <v/>
      </c>
      <c r="H160" s="63" t="str">
        <f t="shared" si="65"/>
        <v/>
      </c>
      <c r="I160" s="63" t="str">
        <f t="shared" si="66"/>
        <v/>
      </c>
      <c r="J160" s="63" t="str">
        <f t="shared" si="67"/>
        <v/>
      </c>
      <c r="K160" s="63" t="str">
        <f t="shared" si="68"/>
        <v/>
      </c>
      <c r="L160" s="165" t="str">
        <f t="shared" si="69"/>
        <v/>
      </c>
      <c r="M160" s="165">
        <f>SUM(Table86[[#This Row],[M11-7]:[M17-124]])</f>
        <v>0</v>
      </c>
    </row>
    <row r="161" spans="1:13" ht="40" customHeight="1" x14ac:dyDescent="0.15">
      <c r="A161" s="176" t="s">
        <v>138</v>
      </c>
      <c r="B161" s="177" t="s">
        <v>139</v>
      </c>
      <c r="C161" s="63" t="str">
        <f t="shared" si="60"/>
        <v/>
      </c>
      <c r="D161" s="63" t="str">
        <f t="shared" si="61"/>
        <v/>
      </c>
      <c r="E161" s="63" t="str">
        <f t="shared" si="62"/>
        <v/>
      </c>
      <c r="F161" s="63" t="str">
        <f t="shared" si="63"/>
        <v/>
      </c>
      <c r="G161" s="63" t="str">
        <f t="shared" si="64"/>
        <v/>
      </c>
      <c r="H161" s="63" t="str">
        <f t="shared" si="65"/>
        <v/>
      </c>
      <c r="I161" s="63" t="str">
        <f t="shared" si="66"/>
        <v/>
      </c>
      <c r="J161" s="63" t="str">
        <f t="shared" si="67"/>
        <v/>
      </c>
      <c r="K161" s="63" t="str">
        <f t="shared" si="68"/>
        <v/>
      </c>
      <c r="L161" s="165" t="str">
        <f t="shared" si="69"/>
        <v/>
      </c>
      <c r="M161" s="165">
        <f>SUM(Table86[[#This Row],[M11-7]:[M17-124]])</f>
        <v>0</v>
      </c>
    </row>
    <row r="162" spans="1:13" ht="40" customHeight="1" x14ac:dyDescent="0.15">
      <c r="A162" s="174" t="s">
        <v>140</v>
      </c>
      <c r="B162" s="175" t="s">
        <v>141</v>
      </c>
      <c r="C162" s="63" t="str">
        <f t="shared" si="60"/>
        <v/>
      </c>
      <c r="D162" s="63" t="str">
        <f t="shared" si="61"/>
        <v/>
      </c>
      <c r="E162" s="63" t="str">
        <f t="shared" si="62"/>
        <v/>
      </c>
      <c r="F162" s="63" t="str">
        <f t="shared" si="63"/>
        <v/>
      </c>
      <c r="G162" s="63" t="str">
        <f t="shared" si="64"/>
        <v/>
      </c>
      <c r="H162" s="63" t="str">
        <f t="shared" si="65"/>
        <v/>
      </c>
      <c r="I162" s="63" t="str">
        <f t="shared" si="66"/>
        <v/>
      </c>
      <c r="J162" s="63" t="str">
        <f t="shared" si="67"/>
        <v/>
      </c>
      <c r="K162" s="63" t="str">
        <f t="shared" si="68"/>
        <v/>
      </c>
      <c r="L162" s="165" t="str">
        <f t="shared" si="69"/>
        <v/>
      </c>
      <c r="M162" s="165">
        <f>SUM(Table86[[#This Row],[M11-7]:[M17-124]])</f>
        <v>0</v>
      </c>
    </row>
    <row r="163" spans="1:13" ht="40" customHeight="1" x14ac:dyDescent="0.15">
      <c r="A163" s="176" t="s">
        <v>143</v>
      </c>
      <c r="B163" s="177" t="s">
        <v>144</v>
      </c>
      <c r="C163" s="63" t="str">
        <f t="shared" si="60"/>
        <v/>
      </c>
      <c r="D163" s="63" t="str">
        <f t="shared" si="61"/>
        <v/>
      </c>
      <c r="E163" s="63" t="str">
        <f t="shared" si="62"/>
        <v/>
      </c>
      <c r="F163" s="63" t="str">
        <f t="shared" si="63"/>
        <v/>
      </c>
      <c r="G163" s="63" t="str">
        <f t="shared" si="64"/>
        <v/>
      </c>
      <c r="H163" s="63" t="str">
        <f t="shared" si="65"/>
        <v/>
      </c>
      <c r="I163" s="63" t="str">
        <f t="shared" si="66"/>
        <v/>
      </c>
      <c r="J163" s="63" t="str">
        <f t="shared" si="67"/>
        <v/>
      </c>
      <c r="K163" s="63" t="str">
        <f t="shared" si="68"/>
        <v/>
      </c>
      <c r="L163" s="165" t="str">
        <f t="shared" si="69"/>
        <v/>
      </c>
      <c r="M163" s="165">
        <f>SUM(Table86[[#This Row],[M11-7]:[M17-124]])</f>
        <v>0</v>
      </c>
    </row>
    <row r="164" spans="1:13" ht="40" customHeight="1" x14ac:dyDescent="0.15">
      <c r="A164" s="174" t="s">
        <v>146</v>
      </c>
      <c r="B164" s="175" t="s">
        <v>147</v>
      </c>
      <c r="C164" s="63" t="str">
        <f t="shared" si="60"/>
        <v/>
      </c>
      <c r="D164" s="63" t="str">
        <f t="shared" si="61"/>
        <v/>
      </c>
      <c r="E164" s="63" t="str">
        <f t="shared" si="62"/>
        <v/>
      </c>
      <c r="F164" s="63" t="str">
        <f t="shared" si="63"/>
        <v/>
      </c>
      <c r="G164" s="63" t="str">
        <f t="shared" si="64"/>
        <v/>
      </c>
      <c r="H164" s="63" t="str">
        <f t="shared" si="65"/>
        <v/>
      </c>
      <c r="I164" s="63" t="str">
        <f t="shared" si="66"/>
        <v/>
      </c>
      <c r="J164" s="63" t="str">
        <f t="shared" si="67"/>
        <v/>
      </c>
      <c r="K164" s="63" t="str">
        <f t="shared" si="68"/>
        <v/>
      </c>
      <c r="L164" s="165" t="str">
        <f t="shared" si="69"/>
        <v/>
      </c>
      <c r="M164" s="165">
        <f>SUM(Table86[[#This Row],[M11-7]:[M17-124]])</f>
        <v>0</v>
      </c>
    </row>
    <row r="165" spans="1:13" ht="40" customHeight="1" x14ac:dyDescent="0.15">
      <c r="A165" s="176" t="s">
        <v>149</v>
      </c>
      <c r="B165" s="177" t="s">
        <v>150</v>
      </c>
      <c r="C165" s="63" t="str">
        <f t="shared" si="60"/>
        <v/>
      </c>
      <c r="D165" s="63" t="str">
        <f t="shared" si="61"/>
        <v/>
      </c>
      <c r="E165" s="63" t="str">
        <f t="shared" si="62"/>
        <v/>
      </c>
      <c r="F165" s="63" t="str">
        <f t="shared" si="63"/>
        <v/>
      </c>
      <c r="G165" s="63" t="str">
        <f t="shared" si="64"/>
        <v/>
      </c>
      <c r="H165" s="63" t="str">
        <f t="shared" si="65"/>
        <v/>
      </c>
      <c r="I165" s="63" t="str">
        <f t="shared" si="66"/>
        <v/>
      </c>
      <c r="J165" s="63" t="str">
        <f t="shared" si="67"/>
        <v/>
      </c>
      <c r="K165" s="63" t="str">
        <f t="shared" si="68"/>
        <v/>
      </c>
      <c r="L165" s="165" t="str">
        <f t="shared" si="69"/>
        <v/>
      </c>
      <c r="M165" s="165">
        <f>SUM(Table86[[#This Row],[M11-7]:[M17-124]])</f>
        <v>0</v>
      </c>
    </row>
    <row r="166" spans="1:13" ht="40" customHeight="1" x14ac:dyDescent="0.15">
      <c r="A166" s="174" t="s">
        <v>152</v>
      </c>
      <c r="B166" s="175" t="s">
        <v>153</v>
      </c>
      <c r="C166" s="63" t="str">
        <f t="shared" si="60"/>
        <v/>
      </c>
      <c r="D166" s="63" t="str">
        <f t="shared" si="61"/>
        <v/>
      </c>
      <c r="E166" s="63" t="str">
        <f t="shared" si="62"/>
        <v/>
      </c>
      <c r="F166" s="63" t="str">
        <f t="shared" si="63"/>
        <v/>
      </c>
      <c r="G166" s="63" t="str">
        <f t="shared" si="64"/>
        <v/>
      </c>
      <c r="H166" s="63" t="str">
        <f t="shared" si="65"/>
        <v/>
      </c>
      <c r="I166" s="63" t="str">
        <f t="shared" si="66"/>
        <v/>
      </c>
      <c r="J166" s="63" t="str">
        <f t="shared" si="67"/>
        <v/>
      </c>
      <c r="K166" s="63" t="str">
        <f t="shared" si="68"/>
        <v/>
      </c>
      <c r="L166" s="165" t="str">
        <f t="shared" si="69"/>
        <v/>
      </c>
      <c r="M166" s="165">
        <f>SUM(Table86[[#This Row],[M11-7]:[M17-124]])</f>
        <v>0</v>
      </c>
    </row>
    <row r="167" spans="1:13" ht="40" customHeight="1" x14ac:dyDescent="0.15">
      <c r="A167" s="176" t="s">
        <v>154</v>
      </c>
      <c r="B167" s="177" t="s">
        <v>155</v>
      </c>
      <c r="C167" s="63" t="str">
        <f t="shared" si="60"/>
        <v/>
      </c>
      <c r="D167" s="63" t="str">
        <f t="shared" si="61"/>
        <v/>
      </c>
      <c r="E167" s="63" t="str">
        <f t="shared" si="62"/>
        <v/>
      </c>
      <c r="F167" s="63" t="str">
        <f t="shared" si="63"/>
        <v/>
      </c>
      <c r="G167" s="63" t="str">
        <f t="shared" si="64"/>
        <v/>
      </c>
      <c r="H167" s="63" t="str">
        <f t="shared" si="65"/>
        <v/>
      </c>
      <c r="I167" s="63" t="str">
        <f t="shared" si="66"/>
        <v/>
      </c>
      <c r="J167" s="63" t="str">
        <f t="shared" si="67"/>
        <v/>
      </c>
      <c r="K167" s="63" t="str">
        <f t="shared" si="68"/>
        <v/>
      </c>
      <c r="L167" s="165" t="str">
        <f t="shared" si="69"/>
        <v/>
      </c>
      <c r="M167" s="165">
        <f>SUM(Table86[[#This Row],[M11-7]:[M17-124]])</f>
        <v>0</v>
      </c>
    </row>
    <row r="168" spans="1:13" ht="40" customHeight="1" x14ac:dyDescent="0.15">
      <c r="A168" s="174" t="s">
        <v>157</v>
      </c>
      <c r="B168" s="175" t="s">
        <v>158</v>
      </c>
      <c r="C168" s="63" t="str">
        <f t="shared" si="60"/>
        <v/>
      </c>
      <c r="D168" s="63" t="str">
        <f t="shared" si="61"/>
        <v/>
      </c>
      <c r="E168" s="63" t="str">
        <f t="shared" si="62"/>
        <v/>
      </c>
      <c r="F168" s="63" t="str">
        <f t="shared" si="63"/>
        <v/>
      </c>
      <c r="G168" s="63" t="str">
        <f t="shared" si="64"/>
        <v/>
      </c>
      <c r="H168" s="63" t="str">
        <f t="shared" si="65"/>
        <v/>
      </c>
      <c r="I168" s="63" t="str">
        <f t="shared" si="66"/>
        <v/>
      </c>
      <c r="J168" s="63" t="str">
        <f t="shared" si="67"/>
        <v/>
      </c>
      <c r="K168" s="63" t="str">
        <f t="shared" si="68"/>
        <v/>
      </c>
      <c r="L168" s="165" t="str">
        <f t="shared" si="69"/>
        <v/>
      </c>
      <c r="M168" s="165">
        <f>SUM(Table86[[#This Row],[M11-7]:[M17-124]])</f>
        <v>0</v>
      </c>
    </row>
    <row r="169" spans="1:13" ht="40" customHeight="1" x14ac:dyDescent="0.15">
      <c r="A169" s="176" t="s">
        <v>160</v>
      </c>
      <c r="B169" s="177" t="s">
        <v>161</v>
      </c>
      <c r="C169" s="63" t="str">
        <f t="shared" si="60"/>
        <v/>
      </c>
      <c r="D169" s="63" t="str">
        <f t="shared" si="61"/>
        <v/>
      </c>
      <c r="E169" s="63" t="str">
        <f t="shared" si="62"/>
        <v/>
      </c>
      <c r="F169" s="63" t="str">
        <f t="shared" si="63"/>
        <v/>
      </c>
      <c r="G169" s="63" t="str">
        <f t="shared" si="64"/>
        <v/>
      </c>
      <c r="H169" s="63" t="str">
        <f t="shared" si="65"/>
        <v/>
      </c>
      <c r="I169" s="63" t="str">
        <f t="shared" si="66"/>
        <v/>
      </c>
      <c r="J169" s="63" t="str">
        <f t="shared" si="67"/>
        <v/>
      </c>
      <c r="K169" s="63" t="str">
        <f t="shared" si="68"/>
        <v/>
      </c>
      <c r="L169" s="165" t="str">
        <f t="shared" si="69"/>
        <v/>
      </c>
      <c r="M169" s="165">
        <f>SUM(Table86[[#This Row],[M11-7]:[M17-124]])</f>
        <v>0</v>
      </c>
    </row>
    <row r="170" spans="1:13" ht="40" customHeight="1" x14ac:dyDescent="0.15">
      <c r="A170" s="174" t="s">
        <v>163</v>
      </c>
      <c r="B170" s="175" t="s">
        <v>164</v>
      </c>
      <c r="C170" s="63" t="str">
        <f t="shared" si="60"/>
        <v/>
      </c>
      <c r="D170" s="63" t="str">
        <f t="shared" si="61"/>
        <v/>
      </c>
      <c r="E170" s="63" t="str">
        <f t="shared" si="62"/>
        <v/>
      </c>
      <c r="F170" s="63" t="str">
        <f t="shared" si="63"/>
        <v/>
      </c>
      <c r="G170" s="63" t="str">
        <f t="shared" si="64"/>
        <v/>
      </c>
      <c r="H170" s="63" t="str">
        <f t="shared" si="65"/>
        <v/>
      </c>
      <c r="I170" s="63" t="str">
        <f t="shared" si="66"/>
        <v/>
      </c>
      <c r="J170" s="63" t="str">
        <f t="shared" si="67"/>
        <v/>
      </c>
      <c r="K170" s="63" t="str">
        <f t="shared" si="68"/>
        <v/>
      </c>
      <c r="L170" s="165" t="str">
        <f t="shared" si="69"/>
        <v/>
      </c>
      <c r="M170" s="165">
        <f>SUM(Table86[[#This Row],[M11-7]:[M17-124]])</f>
        <v>0</v>
      </c>
    </row>
    <row r="171" spans="1:13" ht="40" customHeight="1" x14ac:dyDescent="0.15">
      <c r="A171" s="176" t="s">
        <v>166</v>
      </c>
      <c r="B171" s="177" t="s">
        <v>167</v>
      </c>
      <c r="C171" s="63" t="str">
        <f t="shared" si="60"/>
        <v/>
      </c>
      <c r="D171" s="63" t="str">
        <f t="shared" si="61"/>
        <v/>
      </c>
      <c r="E171" s="63" t="str">
        <f t="shared" si="62"/>
        <v/>
      </c>
      <c r="F171" s="63" t="str">
        <f t="shared" si="63"/>
        <v/>
      </c>
      <c r="G171" s="63" t="str">
        <f t="shared" si="64"/>
        <v/>
      </c>
      <c r="H171" s="63" t="str">
        <f t="shared" si="65"/>
        <v/>
      </c>
      <c r="I171" s="63" t="str">
        <f t="shared" si="66"/>
        <v/>
      </c>
      <c r="J171" s="63" t="str">
        <f t="shared" si="67"/>
        <v/>
      </c>
      <c r="K171" s="63" t="str">
        <f t="shared" si="68"/>
        <v/>
      </c>
      <c r="L171" s="165" t="str">
        <f t="shared" si="69"/>
        <v/>
      </c>
      <c r="M171" s="165">
        <f>SUM(Table86[[#This Row],[M11-7]:[M17-124]])</f>
        <v>0</v>
      </c>
    </row>
    <row r="172" spans="1:13" ht="40" customHeight="1" x14ac:dyDescent="0.15">
      <c r="A172" s="174" t="s">
        <v>168</v>
      </c>
      <c r="B172" s="175" t="s">
        <v>169</v>
      </c>
      <c r="C172" s="63" t="str">
        <f t="shared" si="60"/>
        <v/>
      </c>
      <c r="D172" s="63" t="str">
        <f t="shared" si="61"/>
        <v/>
      </c>
      <c r="E172" s="63" t="str">
        <f t="shared" si="62"/>
        <v/>
      </c>
      <c r="F172" s="63" t="str">
        <f t="shared" si="63"/>
        <v/>
      </c>
      <c r="G172" s="63" t="str">
        <f t="shared" si="64"/>
        <v/>
      </c>
      <c r="H172" s="63" t="str">
        <f t="shared" si="65"/>
        <v/>
      </c>
      <c r="I172" s="63" t="str">
        <f t="shared" si="66"/>
        <v/>
      </c>
      <c r="J172" s="63" t="str">
        <f t="shared" si="67"/>
        <v/>
      </c>
      <c r="K172" s="63" t="str">
        <f t="shared" si="68"/>
        <v/>
      </c>
      <c r="L172" s="165" t="str">
        <f t="shared" si="69"/>
        <v/>
      </c>
      <c r="M172" s="165">
        <f>SUM(Table86[[#This Row],[M11-7]:[M17-124]])</f>
        <v>0</v>
      </c>
    </row>
    <row r="173" spans="1:13" ht="40" customHeight="1" x14ac:dyDescent="0.15">
      <c r="A173" s="176" t="s">
        <v>170</v>
      </c>
      <c r="B173" s="177" t="s">
        <v>171</v>
      </c>
      <c r="C173" s="63" t="str">
        <f t="shared" si="60"/>
        <v/>
      </c>
      <c r="D173" s="63" t="str">
        <f t="shared" si="61"/>
        <v/>
      </c>
      <c r="E173" s="63" t="str">
        <f t="shared" si="62"/>
        <v/>
      </c>
      <c r="F173" s="63" t="str">
        <f t="shared" si="63"/>
        <v/>
      </c>
      <c r="G173" s="63" t="str">
        <f t="shared" si="64"/>
        <v/>
      </c>
      <c r="H173" s="63" t="str">
        <f t="shared" si="65"/>
        <v/>
      </c>
      <c r="I173" s="63" t="str">
        <f t="shared" si="66"/>
        <v/>
      </c>
      <c r="J173" s="63" t="str">
        <f t="shared" si="67"/>
        <v/>
      </c>
      <c r="K173" s="63" t="str">
        <f t="shared" si="68"/>
        <v/>
      </c>
      <c r="L173" s="165" t="str">
        <f t="shared" si="69"/>
        <v/>
      </c>
      <c r="M173" s="165">
        <f>SUM(Table86[[#This Row],[M11-7]:[M17-124]])</f>
        <v>0</v>
      </c>
    </row>
    <row r="174" spans="1:13" ht="40" customHeight="1" x14ac:dyDescent="0.15">
      <c r="A174" s="174" t="s">
        <v>172</v>
      </c>
      <c r="B174" s="175" t="s">
        <v>173</v>
      </c>
      <c r="C174" s="63" t="str">
        <f t="shared" si="60"/>
        <v/>
      </c>
      <c r="D174" s="63" t="str">
        <f t="shared" si="61"/>
        <v/>
      </c>
      <c r="E174" s="63" t="str">
        <f t="shared" si="62"/>
        <v/>
      </c>
      <c r="F174" s="63" t="str">
        <f t="shared" si="63"/>
        <v/>
      </c>
      <c r="G174" s="63" t="str">
        <f t="shared" si="64"/>
        <v/>
      </c>
      <c r="H174" s="63" t="str">
        <f t="shared" si="65"/>
        <v/>
      </c>
      <c r="I174" s="63" t="str">
        <f t="shared" si="66"/>
        <v/>
      </c>
      <c r="J174" s="63" t="str">
        <f t="shared" si="67"/>
        <v/>
      </c>
      <c r="K174" s="63" t="str">
        <f t="shared" si="68"/>
        <v/>
      </c>
      <c r="L174" s="165" t="str">
        <f t="shared" si="69"/>
        <v/>
      </c>
      <c r="M174" s="165">
        <f>SUM(Table86[[#This Row],[M11-7]:[M17-124]])</f>
        <v>0</v>
      </c>
    </row>
    <row r="175" spans="1:13" ht="40" customHeight="1" x14ac:dyDescent="0.15">
      <c r="A175" s="174" t="s">
        <v>174</v>
      </c>
      <c r="B175" s="175" t="s">
        <v>175</v>
      </c>
      <c r="C175" s="63" t="str">
        <f t="shared" si="60"/>
        <v/>
      </c>
      <c r="D175" s="63" t="str">
        <f t="shared" si="61"/>
        <v/>
      </c>
      <c r="E175" s="63" t="str">
        <f t="shared" si="62"/>
        <v/>
      </c>
      <c r="F175" s="63" t="str">
        <f t="shared" si="63"/>
        <v/>
      </c>
      <c r="G175" s="63" t="str">
        <f t="shared" si="64"/>
        <v/>
      </c>
      <c r="H175" s="63" t="str">
        <f t="shared" si="65"/>
        <v/>
      </c>
      <c r="I175" s="63" t="str">
        <f t="shared" si="66"/>
        <v/>
      </c>
      <c r="J175" s="63" t="str">
        <f t="shared" si="67"/>
        <v/>
      </c>
      <c r="K175" s="63" t="str">
        <f t="shared" si="68"/>
        <v/>
      </c>
      <c r="L175" s="165" t="str">
        <f t="shared" si="69"/>
        <v/>
      </c>
      <c r="M175" s="165">
        <f>SUM(Table86[[#This Row],[M11-7]:[M17-124]])</f>
        <v>0</v>
      </c>
    </row>
    <row r="176" spans="1:13" ht="40" customHeight="1" x14ac:dyDescent="0.15">
      <c r="A176" s="176" t="s">
        <v>176</v>
      </c>
      <c r="B176" s="177" t="s">
        <v>177</v>
      </c>
      <c r="C176" s="63" t="str">
        <f t="shared" si="60"/>
        <v/>
      </c>
      <c r="D176" s="63" t="str">
        <f t="shared" si="61"/>
        <v/>
      </c>
      <c r="E176" s="63" t="str">
        <f t="shared" si="62"/>
        <v/>
      </c>
      <c r="F176" s="63" t="str">
        <f t="shared" si="63"/>
        <v/>
      </c>
      <c r="G176" s="63" t="str">
        <f t="shared" si="64"/>
        <v/>
      </c>
      <c r="H176" s="63" t="str">
        <f t="shared" si="65"/>
        <v/>
      </c>
      <c r="I176" s="63" t="str">
        <f t="shared" si="66"/>
        <v/>
      </c>
      <c r="J176" s="63" t="str">
        <f t="shared" si="67"/>
        <v/>
      </c>
      <c r="K176" s="63" t="str">
        <f t="shared" si="68"/>
        <v/>
      </c>
      <c r="L176" s="165" t="str">
        <f t="shared" si="69"/>
        <v/>
      </c>
      <c r="M176" s="165">
        <f>SUM(Table86[[#This Row],[M11-7]:[M17-124]])</f>
        <v>0</v>
      </c>
    </row>
    <row r="177" spans="1:13" ht="40" customHeight="1" x14ac:dyDescent="0.15">
      <c r="A177" s="176" t="s">
        <v>178</v>
      </c>
      <c r="B177" s="177" t="s">
        <v>179</v>
      </c>
      <c r="C177" s="63" t="str">
        <f t="shared" si="60"/>
        <v/>
      </c>
      <c r="D177" s="63" t="str">
        <f t="shared" si="61"/>
        <v/>
      </c>
      <c r="E177" s="63" t="str">
        <f t="shared" si="62"/>
        <v/>
      </c>
      <c r="F177" s="63" t="str">
        <f t="shared" si="63"/>
        <v/>
      </c>
      <c r="G177" s="63" t="str">
        <f t="shared" si="64"/>
        <v/>
      </c>
      <c r="H177" s="63" t="str">
        <f t="shared" si="65"/>
        <v/>
      </c>
      <c r="I177" s="63" t="str">
        <f t="shared" si="66"/>
        <v/>
      </c>
      <c r="J177" s="63" t="str">
        <f t="shared" si="67"/>
        <v/>
      </c>
      <c r="K177" s="63" t="str">
        <f t="shared" si="68"/>
        <v/>
      </c>
      <c r="L177" s="165" t="str">
        <f t="shared" si="69"/>
        <v/>
      </c>
      <c r="M177" s="165">
        <f>SUM(Table86[[#This Row],[M11-7]:[M17-124]])</f>
        <v>0</v>
      </c>
    </row>
    <row r="178" spans="1:13" ht="40" customHeight="1" x14ac:dyDescent="0.15">
      <c r="A178" s="176" t="s">
        <v>180</v>
      </c>
      <c r="B178" s="177" t="s">
        <v>181</v>
      </c>
      <c r="C178" s="63" t="str">
        <f t="shared" si="60"/>
        <v/>
      </c>
      <c r="D178" s="63" t="str">
        <f t="shared" si="61"/>
        <v/>
      </c>
      <c r="E178" s="63" t="str">
        <f t="shared" si="62"/>
        <v/>
      </c>
      <c r="F178" s="63" t="str">
        <f t="shared" si="63"/>
        <v/>
      </c>
      <c r="G178" s="63" t="str">
        <f t="shared" si="64"/>
        <v/>
      </c>
      <c r="H178" s="63" t="str">
        <f t="shared" si="65"/>
        <v/>
      </c>
      <c r="I178" s="63" t="str">
        <f t="shared" si="66"/>
        <v/>
      </c>
      <c r="J178" s="63" t="str">
        <f t="shared" si="67"/>
        <v/>
      </c>
      <c r="K178" s="63" t="str">
        <f t="shared" si="68"/>
        <v/>
      </c>
      <c r="L178" s="165" t="str">
        <f t="shared" si="69"/>
        <v/>
      </c>
      <c r="M178" s="165">
        <f>SUM(Table86[[#This Row],[M11-7]:[M17-124]])</f>
        <v>0</v>
      </c>
    </row>
    <row r="179" spans="1:13" ht="40" customHeight="1" x14ac:dyDescent="0.15">
      <c r="A179" s="174" t="s">
        <v>182</v>
      </c>
      <c r="B179" s="175" t="s">
        <v>183</v>
      </c>
      <c r="C179" s="63" t="str">
        <f t="shared" si="60"/>
        <v/>
      </c>
      <c r="D179" s="63" t="str">
        <f t="shared" si="61"/>
        <v/>
      </c>
      <c r="E179" s="63" t="str">
        <f t="shared" si="62"/>
        <v/>
      </c>
      <c r="F179" s="63" t="str">
        <f t="shared" si="63"/>
        <v/>
      </c>
      <c r="G179" s="63" t="str">
        <f t="shared" si="64"/>
        <v/>
      </c>
      <c r="H179" s="63" t="str">
        <f t="shared" si="65"/>
        <v/>
      </c>
      <c r="I179" s="63" t="str">
        <f t="shared" si="66"/>
        <v/>
      </c>
      <c r="J179" s="63" t="str">
        <f t="shared" si="67"/>
        <v/>
      </c>
      <c r="K179" s="63" t="str">
        <f t="shared" si="68"/>
        <v/>
      </c>
      <c r="L179" s="165" t="str">
        <f t="shared" si="69"/>
        <v/>
      </c>
      <c r="M179" s="165">
        <f>SUM(Table86[[#This Row],[M11-7]:[M17-124]])</f>
        <v>0</v>
      </c>
    </row>
    <row r="180" spans="1:13" ht="40" customHeight="1" x14ac:dyDescent="0.15">
      <c r="A180" s="174" t="s">
        <v>184</v>
      </c>
      <c r="B180" s="175" t="s">
        <v>185</v>
      </c>
      <c r="C180" s="63" t="str">
        <f t="shared" si="60"/>
        <v/>
      </c>
      <c r="D180" s="63" t="str">
        <f t="shared" si="61"/>
        <v/>
      </c>
      <c r="E180" s="63" t="str">
        <f t="shared" si="62"/>
        <v/>
      </c>
      <c r="F180" s="63" t="str">
        <f t="shared" si="63"/>
        <v/>
      </c>
      <c r="G180" s="63" t="str">
        <f t="shared" si="64"/>
        <v/>
      </c>
      <c r="H180" s="63" t="str">
        <f t="shared" si="65"/>
        <v/>
      </c>
      <c r="I180" s="63" t="str">
        <f t="shared" si="66"/>
        <v/>
      </c>
      <c r="J180" s="63" t="str">
        <f t="shared" si="67"/>
        <v/>
      </c>
      <c r="K180" s="63" t="str">
        <f t="shared" si="68"/>
        <v/>
      </c>
      <c r="L180" s="165" t="str">
        <f t="shared" si="69"/>
        <v/>
      </c>
      <c r="M180" s="165">
        <f>SUM(Table86[[#This Row],[M11-7]:[M17-124]])</f>
        <v>0</v>
      </c>
    </row>
    <row r="181" spans="1:13" ht="40" customHeight="1" x14ac:dyDescent="0.15">
      <c r="A181" s="163" t="s">
        <v>186</v>
      </c>
      <c r="B181" s="164"/>
      <c r="C181" s="63" t="str">
        <f t="shared" si="60"/>
        <v/>
      </c>
      <c r="D181" s="63" t="str">
        <f t="shared" si="61"/>
        <v/>
      </c>
      <c r="E181" s="63" t="str">
        <f t="shared" si="62"/>
        <v/>
      </c>
      <c r="F181" s="63" t="str">
        <f t="shared" si="63"/>
        <v/>
      </c>
      <c r="G181" s="63" t="str">
        <f t="shared" si="64"/>
        <v/>
      </c>
      <c r="H181" s="63" t="str">
        <f t="shared" si="65"/>
        <v/>
      </c>
      <c r="I181" s="63" t="str">
        <f t="shared" si="66"/>
        <v/>
      </c>
      <c r="J181" s="63" t="str">
        <f t="shared" si="67"/>
        <v/>
      </c>
      <c r="K181" s="63" t="str">
        <f t="shared" si="68"/>
        <v/>
      </c>
      <c r="L181" s="165" t="str">
        <f t="shared" si="69"/>
        <v/>
      </c>
      <c r="M181" s="165">
        <f>SUM(Table86[[#This Row],[M11-7]:[M17-124]])</f>
        <v>0</v>
      </c>
    </row>
    <row r="182" spans="1:13" ht="40" customHeight="1" x14ac:dyDescent="0.15">
      <c r="A182" s="174" t="s">
        <v>187</v>
      </c>
      <c r="B182" s="175" t="s">
        <v>188</v>
      </c>
      <c r="C182" s="63" t="str">
        <f t="shared" ref="C182:C213" si="70">J72</f>
        <v/>
      </c>
      <c r="D182" s="63" t="str">
        <f t="shared" ref="D182:D213" si="71">R72</f>
        <v/>
      </c>
      <c r="E182" s="63" t="str">
        <f t="shared" ref="E182:E213" si="72">Z72</f>
        <v/>
      </c>
      <c r="F182" s="63" t="str">
        <f t="shared" ref="F182:F213" si="73">AH72</f>
        <v/>
      </c>
      <c r="G182" s="63" t="str">
        <f t="shared" ref="G182:G213" si="74">AP72</f>
        <v/>
      </c>
      <c r="H182" s="63" t="str">
        <f t="shared" ref="H182:H213" si="75">AX72</f>
        <v/>
      </c>
      <c r="I182" s="63" t="str">
        <f t="shared" ref="I182:I213" si="76">BF72</f>
        <v/>
      </c>
      <c r="J182" s="63" t="str">
        <f t="shared" ref="J182:J213" si="77">BN72</f>
        <v/>
      </c>
      <c r="K182" s="63" t="str">
        <f t="shared" ref="K182:K213" si="78">BV72</f>
        <v/>
      </c>
      <c r="L182" s="165" t="str">
        <f t="shared" ref="L182:L213" si="79">CD72</f>
        <v/>
      </c>
      <c r="M182" s="165">
        <f>SUM(Table86[[#This Row],[M11-7]:[M17-124]])</f>
        <v>0</v>
      </c>
    </row>
    <row r="183" spans="1:13" ht="40" customHeight="1" x14ac:dyDescent="0.15">
      <c r="A183" s="176" t="s">
        <v>189</v>
      </c>
      <c r="B183" s="177" t="s">
        <v>190</v>
      </c>
      <c r="C183" s="63" t="str">
        <f t="shared" si="70"/>
        <v/>
      </c>
      <c r="D183" s="63" t="str">
        <f t="shared" si="71"/>
        <v/>
      </c>
      <c r="E183" s="63" t="str">
        <f t="shared" si="72"/>
        <v/>
      </c>
      <c r="F183" s="63" t="str">
        <f t="shared" si="73"/>
        <v/>
      </c>
      <c r="G183" s="63" t="str">
        <f t="shared" si="74"/>
        <v/>
      </c>
      <c r="H183" s="63" t="str">
        <f t="shared" si="75"/>
        <v/>
      </c>
      <c r="I183" s="63" t="str">
        <f t="shared" si="76"/>
        <v/>
      </c>
      <c r="J183" s="63" t="str">
        <f t="shared" si="77"/>
        <v/>
      </c>
      <c r="K183" s="63" t="str">
        <f t="shared" si="78"/>
        <v/>
      </c>
      <c r="L183" s="165" t="str">
        <f t="shared" si="79"/>
        <v/>
      </c>
      <c r="M183" s="165">
        <f>SUM(Table86[[#This Row],[M11-7]:[M17-124]])</f>
        <v>0</v>
      </c>
    </row>
    <row r="184" spans="1:13" ht="40" customHeight="1" x14ac:dyDescent="0.15">
      <c r="A184" s="174" t="s">
        <v>191</v>
      </c>
      <c r="B184" s="175" t="s">
        <v>192</v>
      </c>
      <c r="C184" s="63" t="str">
        <f t="shared" si="70"/>
        <v/>
      </c>
      <c r="D184" s="63" t="str">
        <f t="shared" si="71"/>
        <v/>
      </c>
      <c r="E184" s="63" t="str">
        <f t="shared" si="72"/>
        <v/>
      </c>
      <c r="F184" s="63" t="str">
        <f t="shared" si="73"/>
        <v/>
      </c>
      <c r="G184" s="63" t="str">
        <f t="shared" si="74"/>
        <v/>
      </c>
      <c r="H184" s="63" t="str">
        <f t="shared" si="75"/>
        <v/>
      </c>
      <c r="I184" s="63" t="str">
        <f t="shared" si="76"/>
        <v/>
      </c>
      <c r="J184" s="63" t="str">
        <f t="shared" si="77"/>
        <v/>
      </c>
      <c r="K184" s="63" t="str">
        <f t="shared" si="78"/>
        <v/>
      </c>
      <c r="L184" s="165" t="str">
        <f t="shared" si="79"/>
        <v/>
      </c>
      <c r="M184" s="165">
        <f>SUM(Table86[[#This Row],[M11-7]:[M17-124]])</f>
        <v>0</v>
      </c>
    </row>
    <row r="185" spans="1:13" ht="40" customHeight="1" x14ac:dyDescent="0.15">
      <c r="A185" s="174" t="s">
        <v>193</v>
      </c>
      <c r="B185" s="175" t="s">
        <v>194</v>
      </c>
      <c r="C185" s="63" t="str">
        <f t="shared" si="70"/>
        <v/>
      </c>
      <c r="D185" s="63" t="str">
        <f t="shared" si="71"/>
        <v/>
      </c>
      <c r="E185" s="63" t="str">
        <f t="shared" si="72"/>
        <v/>
      </c>
      <c r="F185" s="63" t="str">
        <f t="shared" si="73"/>
        <v/>
      </c>
      <c r="G185" s="63" t="str">
        <f t="shared" si="74"/>
        <v/>
      </c>
      <c r="H185" s="63" t="str">
        <f t="shared" si="75"/>
        <v/>
      </c>
      <c r="I185" s="63" t="str">
        <f t="shared" si="76"/>
        <v/>
      </c>
      <c r="J185" s="63" t="str">
        <f t="shared" si="77"/>
        <v/>
      </c>
      <c r="K185" s="63" t="str">
        <f t="shared" si="78"/>
        <v/>
      </c>
      <c r="L185" s="165" t="str">
        <f t="shared" si="79"/>
        <v/>
      </c>
      <c r="M185" s="165">
        <f>SUM(Table86[[#This Row],[M11-7]:[M17-124]])</f>
        <v>0</v>
      </c>
    </row>
    <row r="186" spans="1:13" ht="40" customHeight="1" x14ac:dyDescent="0.15">
      <c r="A186" s="176" t="s">
        <v>195</v>
      </c>
      <c r="B186" s="177" t="s">
        <v>196</v>
      </c>
      <c r="C186" s="63" t="str">
        <f t="shared" si="70"/>
        <v/>
      </c>
      <c r="D186" s="63" t="str">
        <f t="shared" si="71"/>
        <v/>
      </c>
      <c r="E186" s="63" t="str">
        <f t="shared" si="72"/>
        <v/>
      </c>
      <c r="F186" s="63" t="str">
        <f t="shared" si="73"/>
        <v/>
      </c>
      <c r="G186" s="63" t="str">
        <f t="shared" si="74"/>
        <v/>
      </c>
      <c r="H186" s="63" t="str">
        <f t="shared" si="75"/>
        <v/>
      </c>
      <c r="I186" s="63" t="str">
        <f t="shared" si="76"/>
        <v/>
      </c>
      <c r="J186" s="63" t="str">
        <f t="shared" si="77"/>
        <v/>
      </c>
      <c r="K186" s="63" t="str">
        <f t="shared" si="78"/>
        <v/>
      </c>
      <c r="L186" s="165" t="str">
        <f t="shared" si="79"/>
        <v/>
      </c>
      <c r="M186" s="165">
        <f>SUM(Table86[[#This Row],[M11-7]:[M17-124]])</f>
        <v>0</v>
      </c>
    </row>
    <row r="187" spans="1:13" ht="40" customHeight="1" x14ac:dyDescent="0.15">
      <c r="A187" s="163" t="s">
        <v>197</v>
      </c>
      <c r="B187" s="164"/>
      <c r="C187" s="63" t="str">
        <f t="shared" si="70"/>
        <v/>
      </c>
      <c r="D187" s="63" t="str">
        <f t="shared" si="71"/>
        <v/>
      </c>
      <c r="E187" s="63" t="str">
        <f t="shared" si="72"/>
        <v/>
      </c>
      <c r="F187" s="63" t="str">
        <f t="shared" si="73"/>
        <v/>
      </c>
      <c r="G187" s="63" t="str">
        <f t="shared" si="74"/>
        <v/>
      </c>
      <c r="H187" s="63" t="str">
        <f t="shared" si="75"/>
        <v/>
      </c>
      <c r="I187" s="63" t="str">
        <f t="shared" si="76"/>
        <v/>
      </c>
      <c r="J187" s="63" t="str">
        <f t="shared" si="77"/>
        <v/>
      </c>
      <c r="K187" s="63" t="str">
        <f t="shared" si="78"/>
        <v/>
      </c>
      <c r="L187" s="165" t="str">
        <f t="shared" si="79"/>
        <v/>
      </c>
      <c r="M187" s="165">
        <f>SUM(Table86[[#This Row],[M11-7]:[M17-124]])</f>
        <v>0</v>
      </c>
    </row>
    <row r="188" spans="1:13" ht="40" customHeight="1" x14ac:dyDescent="0.15">
      <c r="A188" s="176" t="s">
        <v>198</v>
      </c>
      <c r="B188" s="177" t="s">
        <v>199</v>
      </c>
      <c r="C188" s="63" t="str">
        <f t="shared" si="70"/>
        <v/>
      </c>
      <c r="D188" s="63" t="str">
        <f t="shared" si="71"/>
        <v/>
      </c>
      <c r="E188" s="63" t="str">
        <f t="shared" si="72"/>
        <v/>
      </c>
      <c r="F188" s="63" t="str">
        <f t="shared" si="73"/>
        <v/>
      </c>
      <c r="G188" s="63" t="str">
        <f t="shared" si="74"/>
        <v/>
      </c>
      <c r="H188" s="63" t="str">
        <f t="shared" si="75"/>
        <v/>
      </c>
      <c r="I188" s="63" t="str">
        <f t="shared" si="76"/>
        <v/>
      </c>
      <c r="J188" s="63" t="str">
        <f t="shared" si="77"/>
        <v/>
      </c>
      <c r="K188" s="63" t="str">
        <f t="shared" si="78"/>
        <v/>
      </c>
      <c r="L188" s="165" t="str">
        <f t="shared" si="79"/>
        <v/>
      </c>
      <c r="M188" s="165">
        <f>SUM(Table86[[#This Row],[M11-7]:[M17-124]])</f>
        <v>0</v>
      </c>
    </row>
    <row r="189" spans="1:13" ht="40" customHeight="1" x14ac:dyDescent="0.15">
      <c r="A189" s="174" t="s">
        <v>200</v>
      </c>
      <c r="B189" s="175" t="s">
        <v>201</v>
      </c>
      <c r="C189" s="63" t="str">
        <f t="shared" si="70"/>
        <v/>
      </c>
      <c r="D189" s="63" t="str">
        <f t="shared" si="71"/>
        <v/>
      </c>
      <c r="E189" s="63" t="str">
        <f t="shared" si="72"/>
        <v/>
      </c>
      <c r="F189" s="63" t="str">
        <f t="shared" si="73"/>
        <v/>
      </c>
      <c r="G189" s="63" t="str">
        <f t="shared" si="74"/>
        <v/>
      </c>
      <c r="H189" s="63" t="str">
        <f t="shared" si="75"/>
        <v/>
      </c>
      <c r="I189" s="63" t="str">
        <f t="shared" si="76"/>
        <v/>
      </c>
      <c r="J189" s="63" t="str">
        <f t="shared" si="77"/>
        <v/>
      </c>
      <c r="K189" s="63" t="str">
        <f t="shared" si="78"/>
        <v/>
      </c>
      <c r="L189" s="165" t="str">
        <f t="shared" si="79"/>
        <v/>
      </c>
      <c r="M189" s="165">
        <f>SUM(Table86[[#This Row],[M11-7]:[M17-124]])</f>
        <v>0</v>
      </c>
    </row>
    <row r="190" spans="1:13" ht="40" customHeight="1" x14ac:dyDescent="0.15">
      <c r="A190" s="176" t="s">
        <v>202</v>
      </c>
      <c r="B190" s="177" t="s">
        <v>203</v>
      </c>
      <c r="C190" s="63" t="str">
        <f t="shared" si="70"/>
        <v/>
      </c>
      <c r="D190" s="63" t="str">
        <f t="shared" si="71"/>
        <v/>
      </c>
      <c r="E190" s="63" t="str">
        <f t="shared" si="72"/>
        <v/>
      </c>
      <c r="F190" s="63" t="str">
        <f t="shared" si="73"/>
        <v/>
      </c>
      <c r="G190" s="63" t="str">
        <f t="shared" si="74"/>
        <v/>
      </c>
      <c r="H190" s="63" t="str">
        <f t="shared" si="75"/>
        <v/>
      </c>
      <c r="I190" s="63" t="str">
        <f t="shared" si="76"/>
        <v/>
      </c>
      <c r="J190" s="63" t="str">
        <f t="shared" si="77"/>
        <v/>
      </c>
      <c r="K190" s="63" t="str">
        <f t="shared" si="78"/>
        <v/>
      </c>
      <c r="L190" s="165" t="str">
        <f t="shared" si="79"/>
        <v/>
      </c>
      <c r="M190" s="165">
        <f>SUM(Table86[[#This Row],[M11-7]:[M17-124]])</f>
        <v>0</v>
      </c>
    </row>
    <row r="191" spans="1:13" ht="40" customHeight="1" x14ac:dyDescent="0.15">
      <c r="A191" s="174" t="s">
        <v>204</v>
      </c>
      <c r="B191" s="175" t="s">
        <v>205</v>
      </c>
      <c r="C191" s="63" t="str">
        <f t="shared" si="70"/>
        <v/>
      </c>
      <c r="D191" s="63" t="str">
        <f t="shared" si="71"/>
        <v/>
      </c>
      <c r="E191" s="63" t="str">
        <f t="shared" si="72"/>
        <v/>
      </c>
      <c r="F191" s="63" t="str">
        <f t="shared" si="73"/>
        <v/>
      </c>
      <c r="G191" s="63" t="str">
        <f t="shared" si="74"/>
        <v/>
      </c>
      <c r="H191" s="63" t="str">
        <f t="shared" si="75"/>
        <v/>
      </c>
      <c r="I191" s="63" t="str">
        <f t="shared" si="76"/>
        <v/>
      </c>
      <c r="J191" s="63" t="str">
        <f t="shared" si="77"/>
        <v/>
      </c>
      <c r="K191" s="63" t="str">
        <f t="shared" si="78"/>
        <v/>
      </c>
      <c r="L191" s="165" t="str">
        <f t="shared" si="79"/>
        <v/>
      </c>
      <c r="M191" s="165">
        <f>SUM(Table86[[#This Row],[M11-7]:[M17-124]])</f>
        <v>0</v>
      </c>
    </row>
    <row r="192" spans="1:13" ht="40" customHeight="1" x14ac:dyDescent="0.15">
      <c r="A192" s="176" t="s">
        <v>206</v>
      </c>
      <c r="B192" s="177" t="s">
        <v>207</v>
      </c>
      <c r="C192" s="63" t="str">
        <f t="shared" si="70"/>
        <v/>
      </c>
      <c r="D192" s="63" t="str">
        <f t="shared" si="71"/>
        <v/>
      </c>
      <c r="E192" s="63" t="str">
        <f t="shared" si="72"/>
        <v/>
      </c>
      <c r="F192" s="63" t="str">
        <f t="shared" si="73"/>
        <v/>
      </c>
      <c r="G192" s="63" t="str">
        <f t="shared" si="74"/>
        <v/>
      </c>
      <c r="H192" s="63" t="str">
        <f t="shared" si="75"/>
        <v/>
      </c>
      <c r="I192" s="63" t="str">
        <f t="shared" si="76"/>
        <v/>
      </c>
      <c r="J192" s="63" t="str">
        <f t="shared" si="77"/>
        <v/>
      </c>
      <c r="K192" s="63" t="str">
        <f t="shared" si="78"/>
        <v/>
      </c>
      <c r="L192" s="165" t="str">
        <f t="shared" si="79"/>
        <v/>
      </c>
      <c r="M192" s="165">
        <f>SUM(Table86[[#This Row],[M11-7]:[M17-124]])</f>
        <v>0</v>
      </c>
    </row>
    <row r="193" spans="1:13" ht="40" customHeight="1" x14ac:dyDescent="0.15">
      <c r="A193" s="174" t="s">
        <v>208</v>
      </c>
      <c r="B193" s="175" t="s">
        <v>209</v>
      </c>
      <c r="C193" s="63" t="str">
        <f t="shared" si="70"/>
        <v/>
      </c>
      <c r="D193" s="63" t="str">
        <f t="shared" si="71"/>
        <v/>
      </c>
      <c r="E193" s="63" t="str">
        <f t="shared" si="72"/>
        <v/>
      </c>
      <c r="F193" s="63" t="str">
        <f t="shared" si="73"/>
        <v/>
      </c>
      <c r="G193" s="63" t="str">
        <f t="shared" si="74"/>
        <v/>
      </c>
      <c r="H193" s="63" t="str">
        <f t="shared" si="75"/>
        <v/>
      </c>
      <c r="I193" s="63" t="str">
        <f t="shared" si="76"/>
        <v/>
      </c>
      <c r="J193" s="63" t="str">
        <f t="shared" si="77"/>
        <v/>
      </c>
      <c r="K193" s="63" t="str">
        <f t="shared" si="78"/>
        <v/>
      </c>
      <c r="L193" s="165" t="str">
        <f t="shared" si="79"/>
        <v/>
      </c>
      <c r="M193" s="165">
        <f>SUM(Table86[[#This Row],[M11-7]:[M17-124]])</f>
        <v>0</v>
      </c>
    </row>
    <row r="194" spans="1:13" ht="40" customHeight="1" x14ac:dyDescent="0.15">
      <c r="A194" s="176" t="s">
        <v>210</v>
      </c>
      <c r="B194" s="177" t="s">
        <v>211</v>
      </c>
      <c r="C194" s="63" t="str">
        <f t="shared" si="70"/>
        <v/>
      </c>
      <c r="D194" s="63" t="str">
        <f t="shared" si="71"/>
        <v/>
      </c>
      <c r="E194" s="63" t="str">
        <f t="shared" si="72"/>
        <v/>
      </c>
      <c r="F194" s="63" t="str">
        <f t="shared" si="73"/>
        <v/>
      </c>
      <c r="G194" s="63" t="str">
        <f t="shared" si="74"/>
        <v/>
      </c>
      <c r="H194" s="63" t="str">
        <f t="shared" si="75"/>
        <v/>
      </c>
      <c r="I194" s="63" t="str">
        <f t="shared" si="76"/>
        <v/>
      </c>
      <c r="J194" s="63" t="str">
        <f t="shared" si="77"/>
        <v/>
      </c>
      <c r="K194" s="63" t="str">
        <f t="shared" si="78"/>
        <v/>
      </c>
      <c r="L194" s="165" t="str">
        <f t="shared" si="79"/>
        <v/>
      </c>
      <c r="M194" s="165">
        <f>SUM(Table86[[#This Row],[M11-7]:[M17-124]])</f>
        <v>0</v>
      </c>
    </row>
    <row r="195" spans="1:13" ht="40" customHeight="1" x14ac:dyDescent="0.15">
      <c r="A195" s="174" t="s">
        <v>212</v>
      </c>
      <c r="B195" s="175" t="s">
        <v>213</v>
      </c>
      <c r="C195" s="63" t="str">
        <f t="shared" si="70"/>
        <v/>
      </c>
      <c r="D195" s="63" t="str">
        <f t="shared" si="71"/>
        <v/>
      </c>
      <c r="E195" s="63" t="str">
        <f t="shared" si="72"/>
        <v/>
      </c>
      <c r="F195" s="63" t="str">
        <f t="shared" si="73"/>
        <v/>
      </c>
      <c r="G195" s="63" t="str">
        <f t="shared" si="74"/>
        <v/>
      </c>
      <c r="H195" s="63" t="str">
        <f t="shared" si="75"/>
        <v/>
      </c>
      <c r="I195" s="63" t="str">
        <f t="shared" si="76"/>
        <v/>
      </c>
      <c r="J195" s="63" t="str">
        <f t="shared" si="77"/>
        <v/>
      </c>
      <c r="K195" s="63" t="str">
        <f t="shared" si="78"/>
        <v/>
      </c>
      <c r="L195" s="165" t="str">
        <f t="shared" si="79"/>
        <v/>
      </c>
      <c r="M195" s="165">
        <f>SUM(Table86[[#This Row],[M11-7]:[M17-124]])</f>
        <v>0</v>
      </c>
    </row>
    <row r="196" spans="1:13" ht="40" customHeight="1" x14ac:dyDescent="0.15">
      <c r="A196" s="174" t="s">
        <v>214</v>
      </c>
      <c r="B196" s="175" t="s">
        <v>215</v>
      </c>
      <c r="C196" s="63" t="str">
        <f t="shared" si="70"/>
        <v/>
      </c>
      <c r="D196" s="63" t="str">
        <f t="shared" si="71"/>
        <v/>
      </c>
      <c r="E196" s="63" t="str">
        <f t="shared" si="72"/>
        <v/>
      </c>
      <c r="F196" s="63" t="str">
        <f t="shared" si="73"/>
        <v/>
      </c>
      <c r="G196" s="63" t="str">
        <f t="shared" si="74"/>
        <v/>
      </c>
      <c r="H196" s="63" t="str">
        <f t="shared" si="75"/>
        <v/>
      </c>
      <c r="I196" s="63" t="str">
        <f t="shared" si="76"/>
        <v/>
      </c>
      <c r="J196" s="63" t="str">
        <f t="shared" si="77"/>
        <v/>
      </c>
      <c r="K196" s="63" t="str">
        <f t="shared" si="78"/>
        <v/>
      </c>
      <c r="L196" s="165" t="str">
        <f t="shared" si="79"/>
        <v/>
      </c>
      <c r="M196" s="165">
        <f>SUM(Table86[[#This Row],[M11-7]:[M17-124]])</f>
        <v>0</v>
      </c>
    </row>
    <row r="197" spans="1:13" ht="40" customHeight="1" x14ac:dyDescent="0.15">
      <c r="A197" s="163" t="s">
        <v>216</v>
      </c>
      <c r="B197" s="164"/>
      <c r="C197" s="63" t="str">
        <f t="shared" si="70"/>
        <v/>
      </c>
      <c r="D197" s="63" t="str">
        <f t="shared" si="71"/>
        <v/>
      </c>
      <c r="E197" s="63" t="str">
        <f t="shared" si="72"/>
        <v/>
      </c>
      <c r="F197" s="63" t="str">
        <f t="shared" si="73"/>
        <v/>
      </c>
      <c r="G197" s="63" t="str">
        <f t="shared" si="74"/>
        <v/>
      </c>
      <c r="H197" s="63" t="str">
        <f t="shared" si="75"/>
        <v/>
      </c>
      <c r="I197" s="63" t="str">
        <f t="shared" si="76"/>
        <v/>
      </c>
      <c r="J197" s="63" t="str">
        <f t="shared" si="77"/>
        <v/>
      </c>
      <c r="K197" s="63" t="str">
        <f t="shared" si="78"/>
        <v/>
      </c>
      <c r="L197" s="165" t="str">
        <f t="shared" si="79"/>
        <v/>
      </c>
      <c r="M197" s="165">
        <f>SUM(Table86[[#This Row],[M11-7]:[M17-124]])</f>
        <v>0</v>
      </c>
    </row>
    <row r="198" spans="1:13" ht="40" customHeight="1" x14ac:dyDescent="0.15">
      <c r="A198" s="174" t="s">
        <v>217</v>
      </c>
      <c r="B198" s="175" t="s">
        <v>218</v>
      </c>
      <c r="C198" s="63" t="str">
        <f t="shared" si="70"/>
        <v/>
      </c>
      <c r="D198" s="63" t="str">
        <f t="shared" si="71"/>
        <v/>
      </c>
      <c r="E198" s="63" t="str">
        <f t="shared" si="72"/>
        <v/>
      </c>
      <c r="F198" s="63" t="str">
        <f t="shared" si="73"/>
        <v/>
      </c>
      <c r="G198" s="63" t="str">
        <f t="shared" si="74"/>
        <v/>
      </c>
      <c r="H198" s="63" t="str">
        <f t="shared" si="75"/>
        <v/>
      </c>
      <c r="I198" s="63" t="str">
        <f t="shared" si="76"/>
        <v/>
      </c>
      <c r="J198" s="63" t="str">
        <f t="shared" si="77"/>
        <v/>
      </c>
      <c r="K198" s="63" t="str">
        <f t="shared" si="78"/>
        <v/>
      </c>
      <c r="L198" s="165" t="str">
        <f t="shared" si="79"/>
        <v/>
      </c>
      <c r="M198" s="165">
        <f>SUM(Table86[[#This Row],[M11-7]:[M17-124]])</f>
        <v>0</v>
      </c>
    </row>
    <row r="199" spans="1:13" ht="40" customHeight="1" x14ac:dyDescent="0.15">
      <c r="A199" s="176" t="s">
        <v>219</v>
      </c>
      <c r="B199" s="177" t="s">
        <v>220</v>
      </c>
      <c r="C199" s="63" t="str">
        <f t="shared" si="70"/>
        <v/>
      </c>
      <c r="D199" s="63" t="str">
        <f t="shared" si="71"/>
        <v/>
      </c>
      <c r="E199" s="63" t="str">
        <f t="shared" si="72"/>
        <v/>
      </c>
      <c r="F199" s="63" t="str">
        <f t="shared" si="73"/>
        <v/>
      </c>
      <c r="G199" s="63" t="str">
        <f t="shared" si="74"/>
        <v/>
      </c>
      <c r="H199" s="63" t="str">
        <f t="shared" si="75"/>
        <v/>
      </c>
      <c r="I199" s="63" t="str">
        <f t="shared" si="76"/>
        <v/>
      </c>
      <c r="J199" s="63" t="str">
        <f t="shared" si="77"/>
        <v/>
      </c>
      <c r="K199" s="63" t="str">
        <f t="shared" si="78"/>
        <v/>
      </c>
      <c r="L199" s="165" t="str">
        <f t="shared" si="79"/>
        <v/>
      </c>
      <c r="M199" s="165">
        <f>SUM(Table86[[#This Row],[M11-7]:[M17-124]])</f>
        <v>0</v>
      </c>
    </row>
    <row r="200" spans="1:13" ht="40" customHeight="1" x14ac:dyDescent="0.15">
      <c r="A200" s="174" t="s">
        <v>221</v>
      </c>
      <c r="B200" s="175" t="s">
        <v>222</v>
      </c>
      <c r="C200" s="63" t="str">
        <f t="shared" si="70"/>
        <v/>
      </c>
      <c r="D200" s="63" t="str">
        <f t="shared" si="71"/>
        <v/>
      </c>
      <c r="E200" s="63" t="str">
        <f t="shared" si="72"/>
        <v/>
      </c>
      <c r="F200" s="63" t="str">
        <f t="shared" si="73"/>
        <v/>
      </c>
      <c r="G200" s="63" t="str">
        <f t="shared" si="74"/>
        <v/>
      </c>
      <c r="H200" s="63" t="str">
        <f t="shared" si="75"/>
        <v/>
      </c>
      <c r="I200" s="63" t="str">
        <f t="shared" si="76"/>
        <v/>
      </c>
      <c r="J200" s="63" t="str">
        <f t="shared" si="77"/>
        <v/>
      </c>
      <c r="K200" s="63" t="str">
        <f t="shared" si="78"/>
        <v/>
      </c>
      <c r="L200" s="165" t="str">
        <f t="shared" si="79"/>
        <v/>
      </c>
      <c r="M200" s="165">
        <f>SUM(Table86[[#This Row],[M11-7]:[M17-124]])</f>
        <v>0</v>
      </c>
    </row>
    <row r="201" spans="1:13" ht="40" customHeight="1" x14ac:dyDescent="0.15">
      <c r="A201" s="176" t="s">
        <v>223</v>
      </c>
      <c r="B201" s="177" t="s">
        <v>224</v>
      </c>
      <c r="C201" s="63" t="str">
        <f t="shared" si="70"/>
        <v/>
      </c>
      <c r="D201" s="63" t="str">
        <f t="shared" si="71"/>
        <v/>
      </c>
      <c r="E201" s="63" t="str">
        <f t="shared" si="72"/>
        <v/>
      </c>
      <c r="F201" s="63" t="str">
        <f t="shared" si="73"/>
        <v/>
      </c>
      <c r="G201" s="63" t="str">
        <f t="shared" si="74"/>
        <v/>
      </c>
      <c r="H201" s="63" t="str">
        <f t="shared" si="75"/>
        <v/>
      </c>
      <c r="I201" s="63" t="str">
        <f t="shared" si="76"/>
        <v/>
      </c>
      <c r="J201" s="63" t="str">
        <f t="shared" si="77"/>
        <v/>
      </c>
      <c r="K201" s="63" t="str">
        <f t="shared" si="78"/>
        <v/>
      </c>
      <c r="L201" s="165" t="str">
        <f t="shared" si="79"/>
        <v/>
      </c>
      <c r="M201" s="165">
        <f>SUM(Table86[[#This Row],[M11-7]:[M17-124]])</f>
        <v>0</v>
      </c>
    </row>
    <row r="202" spans="1:13" ht="40" customHeight="1" x14ac:dyDescent="0.15">
      <c r="A202" s="174" t="s">
        <v>225</v>
      </c>
      <c r="B202" s="175" t="s">
        <v>226</v>
      </c>
      <c r="C202" s="63" t="str">
        <f t="shared" si="70"/>
        <v/>
      </c>
      <c r="D202" s="63" t="str">
        <f t="shared" si="71"/>
        <v/>
      </c>
      <c r="E202" s="63" t="str">
        <f t="shared" si="72"/>
        <v/>
      </c>
      <c r="F202" s="63" t="str">
        <f t="shared" si="73"/>
        <v/>
      </c>
      <c r="G202" s="63" t="str">
        <f t="shared" si="74"/>
        <v/>
      </c>
      <c r="H202" s="63" t="str">
        <f t="shared" si="75"/>
        <v/>
      </c>
      <c r="I202" s="63" t="str">
        <f t="shared" si="76"/>
        <v/>
      </c>
      <c r="J202" s="63" t="str">
        <f t="shared" si="77"/>
        <v/>
      </c>
      <c r="K202" s="63" t="str">
        <f t="shared" si="78"/>
        <v/>
      </c>
      <c r="L202" s="165" t="str">
        <f t="shared" si="79"/>
        <v/>
      </c>
      <c r="M202" s="165">
        <f>SUM(Table86[[#This Row],[M11-7]:[M17-124]])</f>
        <v>0</v>
      </c>
    </row>
    <row r="203" spans="1:13" ht="40" customHeight="1" x14ac:dyDescent="0.15">
      <c r="A203" s="174" t="s">
        <v>227</v>
      </c>
      <c r="B203" s="175" t="s">
        <v>228</v>
      </c>
      <c r="C203" s="63" t="str">
        <f t="shared" si="70"/>
        <v/>
      </c>
      <c r="D203" s="63" t="str">
        <f t="shared" si="71"/>
        <v/>
      </c>
      <c r="E203" s="63" t="str">
        <f t="shared" si="72"/>
        <v/>
      </c>
      <c r="F203" s="63" t="str">
        <f t="shared" si="73"/>
        <v/>
      </c>
      <c r="G203" s="63" t="str">
        <f t="shared" si="74"/>
        <v/>
      </c>
      <c r="H203" s="63" t="str">
        <f t="shared" si="75"/>
        <v/>
      </c>
      <c r="I203" s="63" t="str">
        <f t="shared" si="76"/>
        <v/>
      </c>
      <c r="J203" s="63" t="str">
        <f t="shared" si="77"/>
        <v/>
      </c>
      <c r="K203" s="63" t="str">
        <f t="shared" si="78"/>
        <v/>
      </c>
      <c r="L203" s="165" t="str">
        <f t="shared" si="79"/>
        <v/>
      </c>
      <c r="M203" s="165">
        <f>SUM(Table86[[#This Row],[M11-7]:[M17-124]])</f>
        <v>0</v>
      </c>
    </row>
    <row r="204" spans="1:13" ht="40" customHeight="1" x14ac:dyDescent="0.15">
      <c r="A204" s="163" t="s">
        <v>229</v>
      </c>
      <c r="B204" s="164"/>
      <c r="C204" s="63" t="str">
        <f t="shared" si="70"/>
        <v/>
      </c>
      <c r="D204" s="63" t="str">
        <f t="shared" si="71"/>
        <v/>
      </c>
      <c r="E204" s="63" t="str">
        <f t="shared" si="72"/>
        <v/>
      </c>
      <c r="F204" s="63" t="str">
        <f t="shared" si="73"/>
        <v/>
      </c>
      <c r="G204" s="63" t="str">
        <f t="shared" si="74"/>
        <v/>
      </c>
      <c r="H204" s="63" t="str">
        <f t="shared" si="75"/>
        <v/>
      </c>
      <c r="I204" s="63" t="str">
        <f t="shared" si="76"/>
        <v/>
      </c>
      <c r="J204" s="63" t="str">
        <f t="shared" si="77"/>
        <v/>
      </c>
      <c r="K204" s="63" t="str">
        <f t="shared" si="78"/>
        <v/>
      </c>
      <c r="L204" s="165" t="str">
        <f t="shared" si="79"/>
        <v/>
      </c>
      <c r="M204" s="165">
        <f>SUM(Table86[[#This Row],[M11-7]:[M17-124]])</f>
        <v>0</v>
      </c>
    </row>
    <row r="205" spans="1:13" ht="40" customHeight="1" x14ac:dyDescent="0.15">
      <c r="A205" s="174" t="s">
        <v>230</v>
      </c>
      <c r="B205" s="175" t="s">
        <v>231</v>
      </c>
      <c r="C205" s="63" t="str">
        <f t="shared" si="70"/>
        <v/>
      </c>
      <c r="D205" s="63" t="str">
        <f t="shared" si="71"/>
        <v/>
      </c>
      <c r="E205" s="63" t="str">
        <f t="shared" si="72"/>
        <v/>
      </c>
      <c r="F205" s="63" t="str">
        <f t="shared" si="73"/>
        <v/>
      </c>
      <c r="G205" s="63" t="str">
        <f t="shared" si="74"/>
        <v/>
      </c>
      <c r="H205" s="63" t="str">
        <f t="shared" si="75"/>
        <v/>
      </c>
      <c r="I205" s="63" t="str">
        <f t="shared" si="76"/>
        <v/>
      </c>
      <c r="J205" s="63" t="str">
        <f t="shared" si="77"/>
        <v/>
      </c>
      <c r="K205" s="63" t="str">
        <f t="shared" si="78"/>
        <v/>
      </c>
      <c r="L205" s="165" t="str">
        <f t="shared" si="79"/>
        <v/>
      </c>
      <c r="M205" s="165">
        <f>SUM(Table86[[#This Row],[M11-7]:[M17-124]])</f>
        <v>0</v>
      </c>
    </row>
    <row r="206" spans="1:13" ht="40" customHeight="1" x14ac:dyDescent="0.15">
      <c r="A206" s="176" t="s">
        <v>232</v>
      </c>
      <c r="B206" s="177" t="s">
        <v>233</v>
      </c>
      <c r="C206" s="63" t="str">
        <f t="shared" si="70"/>
        <v/>
      </c>
      <c r="D206" s="63" t="str">
        <f t="shared" si="71"/>
        <v/>
      </c>
      <c r="E206" s="63" t="str">
        <f t="shared" si="72"/>
        <v/>
      </c>
      <c r="F206" s="63" t="str">
        <f t="shared" si="73"/>
        <v/>
      </c>
      <c r="G206" s="63" t="str">
        <f t="shared" si="74"/>
        <v/>
      </c>
      <c r="H206" s="63" t="str">
        <f t="shared" si="75"/>
        <v/>
      </c>
      <c r="I206" s="63" t="str">
        <f t="shared" si="76"/>
        <v/>
      </c>
      <c r="J206" s="63" t="str">
        <f t="shared" si="77"/>
        <v/>
      </c>
      <c r="K206" s="63" t="str">
        <f t="shared" si="78"/>
        <v/>
      </c>
      <c r="L206" s="165" t="str">
        <f t="shared" si="79"/>
        <v/>
      </c>
      <c r="M206" s="165">
        <f>SUM(Table86[[#This Row],[M11-7]:[M17-124]])</f>
        <v>0</v>
      </c>
    </row>
    <row r="207" spans="1:13" ht="40" customHeight="1" x14ac:dyDescent="0.15">
      <c r="A207" s="174" t="s">
        <v>234</v>
      </c>
      <c r="B207" s="175" t="s">
        <v>235</v>
      </c>
      <c r="C207" s="63" t="str">
        <f t="shared" si="70"/>
        <v/>
      </c>
      <c r="D207" s="63" t="str">
        <f t="shared" si="71"/>
        <v/>
      </c>
      <c r="E207" s="63" t="str">
        <f t="shared" si="72"/>
        <v/>
      </c>
      <c r="F207" s="63" t="str">
        <f t="shared" si="73"/>
        <v/>
      </c>
      <c r="G207" s="63" t="str">
        <f t="shared" si="74"/>
        <v/>
      </c>
      <c r="H207" s="63" t="str">
        <f t="shared" si="75"/>
        <v/>
      </c>
      <c r="I207" s="63" t="str">
        <f t="shared" si="76"/>
        <v/>
      </c>
      <c r="J207" s="63" t="str">
        <f t="shared" si="77"/>
        <v/>
      </c>
      <c r="K207" s="63" t="str">
        <f t="shared" si="78"/>
        <v/>
      </c>
      <c r="L207" s="165" t="str">
        <f t="shared" si="79"/>
        <v/>
      </c>
      <c r="M207" s="165">
        <f>SUM(Table86[[#This Row],[M11-7]:[M17-124]])</f>
        <v>0</v>
      </c>
    </row>
    <row r="208" spans="1:13" ht="40" customHeight="1" x14ac:dyDescent="0.15">
      <c r="A208" s="174" t="s">
        <v>236</v>
      </c>
      <c r="B208" s="175" t="s">
        <v>237</v>
      </c>
      <c r="C208" s="63" t="str">
        <f t="shared" si="70"/>
        <v/>
      </c>
      <c r="D208" s="63" t="str">
        <f t="shared" si="71"/>
        <v/>
      </c>
      <c r="E208" s="63" t="str">
        <f t="shared" si="72"/>
        <v/>
      </c>
      <c r="F208" s="63" t="str">
        <f t="shared" si="73"/>
        <v/>
      </c>
      <c r="G208" s="63" t="str">
        <f t="shared" si="74"/>
        <v/>
      </c>
      <c r="H208" s="63" t="str">
        <f t="shared" si="75"/>
        <v/>
      </c>
      <c r="I208" s="63" t="str">
        <f t="shared" si="76"/>
        <v/>
      </c>
      <c r="J208" s="63" t="str">
        <f t="shared" si="77"/>
        <v/>
      </c>
      <c r="K208" s="63" t="str">
        <f t="shared" si="78"/>
        <v/>
      </c>
      <c r="L208" s="165" t="str">
        <f t="shared" si="79"/>
        <v/>
      </c>
      <c r="M208" s="165">
        <f>SUM(Table86[[#This Row],[M11-7]:[M17-124]])</f>
        <v>0</v>
      </c>
    </row>
    <row r="209" spans="1:13" ht="40" customHeight="1" x14ac:dyDescent="0.15">
      <c r="A209" s="163" t="s">
        <v>238</v>
      </c>
      <c r="B209" s="164"/>
      <c r="C209" s="63" t="str">
        <f t="shared" si="70"/>
        <v/>
      </c>
      <c r="D209" s="63" t="str">
        <f t="shared" si="71"/>
        <v/>
      </c>
      <c r="E209" s="63" t="str">
        <f t="shared" si="72"/>
        <v/>
      </c>
      <c r="F209" s="63" t="str">
        <f t="shared" si="73"/>
        <v/>
      </c>
      <c r="G209" s="63" t="str">
        <f t="shared" si="74"/>
        <v/>
      </c>
      <c r="H209" s="63" t="str">
        <f t="shared" si="75"/>
        <v/>
      </c>
      <c r="I209" s="63" t="str">
        <f t="shared" si="76"/>
        <v/>
      </c>
      <c r="J209" s="63" t="str">
        <f t="shared" si="77"/>
        <v/>
      </c>
      <c r="K209" s="63" t="str">
        <f t="shared" si="78"/>
        <v/>
      </c>
      <c r="L209" s="165" t="str">
        <f t="shared" si="79"/>
        <v/>
      </c>
      <c r="M209" s="165">
        <f>SUM(Table86[[#This Row],[M11-7]:[M17-124]])</f>
        <v>0</v>
      </c>
    </row>
    <row r="210" spans="1:13" ht="40" customHeight="1" x14ac:dyDescent="0.15">
      <c r="A210" s="174" t="s">
        <v>239</v>
      </c>
      <c r="B210" s="175" t="s">
        <v>240</v>
      </c>
      <c r="C210" s="63" t="str">
        <f t="shared" si="70"/>
        <v/>
      </c>
      <c r="D210" s="63" t="str">
        <f t="shared" si="71"/>
        <v/>
      </c>
      <c r="E210" s="63" t="str">
        <f t="shared" si="72"/>
        <v/>
      </c>
      <c r="F210" s="63" t="str">
        <f t="shared" si="73"/>
        <v/>
      </c>
      <c r="G210" s="63" t="str">
        <f t="shared" si="74"/>
        <v/>
      </c>
      <c r="H210" s="63" t="str">
        <f t="shared" si="75"/>
        <v/>
      </c>
      <c r="I210" s="63" t="str">
        <f t="shared" si="76"/>
        <v/>
      </c>
      <c r="J210" s="63" t="str">
        <f t="shared" si="77"/>
        <v/>
      </c>
      <c r="K210" s="63" t="str">
        <f t="shared" si="78"/>
        <v/>
      </c>
      <c r="L210" s="165" t="str">
        <f t="shared" si="79"/>
        <v/>
      </c>
      <c r="M210" s="165">
        <f>SUM(Table86[[#This Row],[M11-7]:[M17-124]])</f>
        <v>0</v>
      </c>
    </row>
    <row r="211" spans="1:13" ht="40" customHeight="1" x14ac:dyDescent="0.15">
      <c r="A211" s="176" t="s">
        <v>241</v>
      </c>
      <c r="B211" s="177" t="s">
        <v>242</v>
      </c>
      <c r="C211" s="63" t="str">
        <f t="shared" si="70"/>
        <v/>
      </c>
      <c r="D211" s="63" t="str">
        <f t="shared" si="71"/>
        <v/>
      </c>
      <c r="E211" s="63" t="str">
        <f t="shared" si="72"/>
        <v/>
      </c>
      <c r="F211" s="63" t="str">
        <f t="shared" si="73"/>
        <v/>
      </c>
      <c r="G211" s="63" t="str">
        <f t="shared" si="74"/>
        <v/>
      </c>
      <c r="H211" s="63" t="str">
        <f t="shared" si="75"/>
        <v/>
      </c>
      <c r="I211" s="63" t="str">
        <f t="shared" si="76"/>
        <v/>
      </c>
      <c r="J211" s="63" t="str">
        <f t="shared" si="77"/>
        <v/>
      </c>
      <c r="K211" s="63" t="str">
        <f t="shared" si="78"/>
        <v/>
      </c>
      <c r="L211" s="165" t="str">
        <f t="shared" si="79"/>
        <v/>
      </c>
      <c r="M211" s="165">
        <f>SUM(Table86[[#This Row],[M11-7]:[M17-124]])</f>
        <v>0</v>
      </c>
    </row>
    <row r="212" spans="1:13" ht="40" customHeight="1" x14ac:dyDescent="0.15">
      <c r="A212" s="174" t="s">
        <v>243</v>
      </c>
      <c r="B212" s="175" t="s">
        <v>244</v>
      </c>
      <c r="C212" s="63" t="str">
        <f t="shared" si="70"/>
        <v/>
      </c>
      <c r="D212" s="63" t="str">
        <f t="shared" si="71"/>
        <v/>
      </c>
      <c r="E212" s="63" t="str">
        <f t="shared" si="72"/>
        <v/>
      </c>
      <c r="F212" s="63" t="str">
        <f t="shared" si="73"/>
        <v/>
      </c>
      <c r="G212" s="63" t="str">
        <f t="shared" si="74"/>
        <v/>
      </c>
      <c r="H212" s="63" t="str">
        <f t="shared" si="75"/>
        <v/>
      </c>
      <c r="I212" s="63" t="str">
        <f t="shared" si="76"/>
        <v/>
      </c>
      <c r="J212" s="63" t="str">
        <f t="shared" si="77"/>
        <v/>
      </c>
      <c r="K212" s="63" t="str">
        <f t="shared" si="78"/>
        <v/>
      </c>
      <c r="L212" s="165" t="str">
        <f t="shared" si="79"/>
        <v/>
      </c>
      <c r="M212" s="165">
        <f>SUM(Table86[[#This Row],[M11-7]:[M17-124]])</f>
        <v>0</v>
      </c>
    </row>
    <row r="213" spans="1:13" ht="40" customHeight="1" x14ac:dyDescent="0.15">
      <c r="A213" s="176" t="s">
        <v>245</v>
      </c>
      <c r="B213" s="177" t="s">
        <v>246</v>
      </c>
      <c r="C213" s="63" t="str">
        <f t="shared" si="70"/>
        <v/>
      </c>
      <c r="D213" s="63" t="str">
        <f t="shared" si="71"/>
        <v/>
      </c>
      <c r="E213" s="63" t="str">
        <f t="shared" si="72"/>
        <v/>
      </c>
      <c r="F213" s="63" t="str">
        <f t="shared" si="73"/>
        <v/>
      </c>
      <c r="G213" s="63" t="str">
        <f t="shared" si="74"/>
        <v/>
      </c>
      <c r="H213" s="63" t="str">
        <f t="shared" si="75"/>
        <v/>
      </c>
      <c r="I213" s="63" t="str">
        <f t="shared" si="76"/>
        <v/>
      </c>
      <c r="J213" s="63" t="str">
        <f t="shared" si="77"/>
        <v/>
      </c>
      <c r="K213" s="63" t="str">
        <f t="shared" si="78"/>
        <v/>
      </c>
      <c r="L213" s="165" t="str">
        <f t="shared" si="79"/>
        <v/>
      </c>
      <c r="M213" s="165">
        <f>SUM(Table86[[#This Row],[M11-7]:[M17-124]])</f>
        <v>0</v>
      </c>
    </row>
    <row r="214" spans="1:13" ht="40" customHeight="1" x14ac:dyDescent="0.15">
      <c r="A214" s="176" t="s">
        <v>247</v>
      </c>
      <c r="B214" s="177" t="s">
        <v>248</v>
      </c>
      <c r="C214" s="63" t="str">
        <f t="shared" ref="C214:C245" si="80">J104</f>
        <v/>
      </c>
      <c r="D214" s="63" t="str">
        <f t="shared" ref="D214:D245" si="81">R104</f>
        <v/>
      </c>
      <c r="E214" s="63" t="str">
        <f t="shared" ref="E214:E245" si="82">Z104</f>
        <v/>
      </c>
      <c r="F214" s="63" t="str">
        <f t="shared" ref="F214:F245" si="83">AH104</f>
        <v/>
      </c>
      <c r="G214" s="63" t="str">
        <f t="shared" ref="G214:G245" si="84">AP104</f>
        <v/>
      </c>
      <c r="H214" s="63" t="str">
        <f t="shared" ref="H214:H245" si="85">AX104</f>
        <v/>
      </c>
      <c r="I214" s="63" t="str">
        <f t="shared" ref="I214:I245" si="86">BF104</f>
        <v/>
      </c>
      <c r="J214" s="63" t="str">
        <f t="shared" ref="J214:J245" si="87">BN104</f>
        <v/>
      </c>
      <c r="K214" s="63" t="str">
        <f t="shared" ref="K214:K245" si="88">BV104</f>
        <v/>
      </c>
      <c r="L214" s="165" t="str">
        <f t="shared" ref="L214:L245" si="89">CD104</f>
        <v/>
      </c>
      <c r="M214" s="165">
        <f>SUM(Table86[[#This Row],[M11-7]:[M17-124]])</f>
        <v>0</v>
      </c>
    </row>
    <row r="215" spans="1:13" ht="40" customHeight="1" x14ac:dyDescent="0.15">
      <c r="A215" s="163" t="s">
        <v>249</v>
      </c>
      <c r="B215" s="164" t="s">
        <v>250</v>
      </c>
      <c r="C215" s="63" t="str">
        <f t="shared" si="80"/>
        <v/>
      </c>
      <c r="D215" s="63" t="str">
        <f t="shared" si="81"/>
        <v/>
      </c>
      <c r="E215" s="63" t="str">
        <f t="shared" si="82"/>
        <v/>
      </c>
      <c r="F215" s="63" t="str">
        <f t="shared" si="83"/>
        <v/>
      </c>
      <c r="G215" s="63" t="str">
        <f t="shared" si="84"/>
        <v/>
      </c>
      <c r="H215" s="63" t="str">
        <f t="shared" si="85"/>
        <v/>
      </c>
      <c r="I215" s="63" t="str">
        <f t="shared" si="86"/>
        <v/>
      </c>
      <c r="J215" s="63" t="str">
        <f t="shared" si="87"/>
        <v/>
      </c>
      <c r="K215" s="63" t="str">
        <f t="shared" si="88"/>
        <v/>
      </c>
      <c r="L215" s="165" t="str">
        <f t="shared" si="89"/>
        <v/>
      </c>
      <c r="M215" s="165">
        <f>SUM(Table86[[#This Row],[M11-7]:[M17-124]])</f>
        <v>0</v>
      </c>
    </row>
    <row r="216" spans="1:13" ht="40" customHeight="1" x14ac:dyDescent="0.15">
      <c r="A216" s="174" t="s">
        <v>251</v>
      </c>
      <c r="B216" s="175" t="s">
        <v>252</v>
      </c>
      <c r="C216" s="63" t="str">
        <f t="shared" si="80"/>
        <v/>
      </c>
      <c r="D216" s="63" t="str">
        <f t="shared" si="81"/>
        <v/>
      </c>
      <c r="E216" s="63" t="str">
        <f t="shared" si="82"/>
        <v/>
      </c>
      <c r="F216" s="63" t="str">
        <f t="shared" si="83"/>
        <v/>
      </c>
      <c r="G216" s="63" t="str">
        <f t="shared" si="84"/>
        <v/>
      </c>
      <c r="H216" s="63" t="str">
        <f t="shared" si="85"/>
        <v/>
      </c>
      <c r="I216" s="63" t="str">
        <f t="shared" si="86"/>
        <v/>
      </c>
      <c r="J216" s="63" t="str">
        <f t="shared" si="87"/>
        <v/>
      </c>
      <c r="K216" s="63" t="str">
        <f t="shared" si="88"/>
        <v/>
      </c>
      <c r="L216" s="165" t="str">
        <f t="shared" si="89"/>
        <v/>
      </c>
      <c r="M216" s="165">
        <f>SUM(Table86[[#This Row],[M11-7]:[M17-124]])</f>
        <v>0</v>
      </c>
    </row>
    <row r="217" spans="1:13" ht="40" customHeight="1" x14ac:dyDescent="0.15">
      <c r="A217" s="163" t="s">
        <v>253</v>
      </c>
      <c r="B217" s="164"/>
      <c r="C217" s="63" t="str">
        <f t="shared" si="80"/>
        <v/>
      </c>
      <c r="D217" s="63" t="str">
        <f t="shared" si="81"/>
        <v/>
      </c>
      <c r="E217" s="63" t="str">
        <f t="shared" si="82"/>
        <v/>
      </c>
      <c r="F217" s="63" t="str">
        <f t="shared" si="83"/>
        <v/>
      </c>
      <c r="G217" s="63" t="str">
        <f t="shared" si="84"/>
        <v/>
      </c>
      <c r="H217" s="63" t="str">
        <f t="shared" si="85"/>
        <v/>
      </c>
      <c r="I217" s="63" t="str">
        <f t="shared" si="86"/>
        <v/>
      </c>
      <c r="J217" s="63" t="str">
        <f t="shared" si="87"/>
        <v/>
      </c>
      <c r="K217" s="63" t="str">
        <f t="shared" si="88"/>
        <v/>
      </c>
      <c r="L217" s="165" t="str">
        <f t="shared" si="89"/>
        <v/>
      </c>
      <c r="M217" s="165">
        <f>SUM(Table86[[#This Row],[M11-7]:[M17-124]])</f>
        <v>0</v>
      </c>
    </row>
    <row r="218" spans="1:13" ht="40" customHeight="1" x14ac:dyDescent="0.15">
      <c r="A218" s="174" t="s">
        <v>254</v>
      </c>
      <c r="B218" s="175" t="s">
        <v>255</v>
      </c>
      <c r="C218" s="63" t="str">
        <f t="shared" si="80"/>
        <v/>
      </c>
      <c r="D218" s="63" t="str">
        <f t="shared" si="81"/>
        <v/>
      </c>
      <c r="E218" s="63" t="str">
        <f t="shared" si="82"/>
        <v/>
      </c>
      <c r="F218" s="63" t="str">
        <f t="shared" si="83"/>
        <v/>
      </c>
      <c r="G218" s="63" t="str">
        <f t="shared" si="84"/>
        <v/>
      </c>
      <c r="H218" s="63" t="str">
        <f t="shared" si="85"/>
        <v/>
      </c>
      <c r="I218" s="63" t="str">
        <f t="shared" si="86"/>
        <v/>
      </c>
      <c r="J218" s="63" t="str">
        <f t="shared" si="87"/>
        <v/>
      </c>
      <c r="K218" s="63" t="str">
        <f t="shared" si="88"/>
        <v/>
      </c>
      <c r="L218" s="165" t="str">
        <f t="shared" si="89"/>
        <v/>
      </c>
      <c r="M218" s="165">
        <f>SUM(Table86[[#This Row],[M11-7]:[M17-124]])</f>
        <v>0</v>
      </c>
    </row>
    <row r="219" spans="1:13" ht="40" customHeight="1" x14ac:dyDescent="0.15">
      <c r="A219" s="176"/>
      <c r="B219" s="177"/>
      <c r="C219" s="63" t="str">
        <f t="shared" si="80"/>
        <v/>
      </c>
      <c r="D219" s="63" t="str">
        <f t="shared" si="81"/>
        <v/>
      </c>
      <c r="E219" s="63" t="str">
        <f t="shared" si="82"/>
        <v/>
      </c>
      <c r="F219" s="63" t="str">
        <f t="shared" si="83"/>
        <v/>
      </c>
      <c r="G219" s="63" t="str">
        <f t="shared" si="84"/>
        <v/>
      </c>
      <c r="H219" s="63" t="str">
        <f t="shared" si="85"/>
        <v/>
      </c>
      <c r="I219" s="63" t="str">
        <f t="shared" si="86"/>
        <v/>
      </c>
      <c r="J219" s="63" t="str">
        <f t="shared" si="87"/>
        <v/>
      </c>
      <c r="K219" s="63" t="str">
        <f t="shared" si="88"/>
        <v/>
      </c>
      <c r="L219" s="165" t="str">
        <f t="shared" si="89"/>
        <v/>
      </c>
      <c r="M219" s="165">
        <f>SUM(Table86[[#This Row],[M11-7]:[M17-124]])</f>
        <v>0</v>
      </c>
    </row>
    <row r="220" spans="1:13" ht="40" customHeight="1" x14ac:dyDescent="0.15">
      <c r="A220" s="178"/>
      <c r="B220" s="179"/>
      <c r="C220" s="173" t="str">
        <f t="shared" si="80"/>
        <v/>
      </c>
      <c r="D220" s="173" t="str">
        <f t="shared" si="81"/>
        <v/>
      </c>
      <c r="E220" s="173" t="str">
        <f t="shared" si="82"/>
        <v/>
      </c>
      <c r="F220" s="173" t="str">
        <f t="shared" si="83"/>
        <v/>
      </c>
      <c r="G220" s="173" t="str">
        <f t="shared" si="84"/>
        <v/>
      </c>
      <c r="H220" s="173" t="str">
        <f t="shared" si="85"/>
        <v/>
      </c>
      <c r="I220" s="173" t="str">
        <f t="shared" si="86"/>
        <v/>
      </c>
      <c r="J220" s="173" t="str">
        <f t="shared" si="87"/>
        <v/>
      </c>
      <c r="K220" s="173" t="str">
        <f t="shared" si="88"/>
        <v/>
      </c>
      <c r="L220" s="83" t="str">
        <f t="shared" si="89"/>
        <v/>
      </c>
      <c r="M220" s="83">
        <f>SUM(Table86[[#This Row],[M11-7]:[M17-124]])</f>
        <v>0</v>
      </c>
    </row>
  </sheetData>
  <mergeCells count="21">
    <mergeCell ref="Z4:Z7"/>
    <mergeCell ref="AQ3:AW3"/>
    <mergeCell ref="CD4:CD7"/>
    <mergeCell ref="AX4:AX7"/>
    <mergeCell ref="AP4:AP7"/>
    <mergeCell ref="R4:R7"/>
    <mergeCell ref="AA3:AG3"/>
    <mergeCell ref="BV4:BV7"/>
    <mergeCell ref="AI3:AO3"/>
    <mergeCell ref="C1:CD2"/>
    <mergeCell ref="C3:I3"/>
    <mergeCell ref="AH4:AH7"/>
    <mergeCell ref="K3:Q3"/>
    <mergeCell ref="BG3:BM3"/>
    <mergeCell ref="AY3:BE3"/>
    <mergeCell ref="BN4:BN7"/>
    <mergeCell ref="J4:J7"/>
    <mergeCell ref="BF4:BF7"/>
    <mergeCell ref="S3:Y3"/>
    <mergeCell ref="BW3:CD3"/>
    <mergeCell ref="BO3:BV3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BO167"/>
  <sheetViews>
    <sheetView showGridLines="0" topLeftCell="L1" workbookViewId="0">
      <selection sqref="A1:K1"/>
    </sheetView>
  </sheetViews>
  <sheetFormatPr baseColWidth="10" defaultColWidth="13.6640625" defaultRowHeight="28" x14ac:dyDescent="0.3"/>
  <cols>
    <col min="1" max="1" width="35.6640625" style="129" customWidth="1"/>
    <col min="2" max="3" width="13.6640625" style="129" customWidth="1"/>
    <col min="4" max="4" width="21.33203125" style="155" bestFit="1" customWidth="1"/>
    <col min="5" max="9" width="13.6640625" style="129" customWidth="1"/>
    <col min="10" max="10" width="15.83203125" style="129" customWidth="1"/>
    <col min="11" max="12" width="13.6640625" style="129" customWidth="1"/>
    <col min="13" max="13" width="35.6640625" style="129" customWidth="1"/>
    <col min="14" max="15" width="13.6640625" style="129" customWidth="1"/>
    <col min="16" max="16" width="13.6640625" style="155" customWidth="1"/>
    <col min="17" max="18" width="13.6640625" style="129" customWidth="1"/>
    <col min="19" max="19" width="35.6640625" style="129" customWidth="1"/>
    <col min="20" max="21" width="13.6640625" style="129" customWidth="1"/>
    <col min="22" max="22" width="21.33203125" style="129" bestFit="1" customWidth="1"/>
    <col min="23" max="24" width="13.6640625" style="129" customWidth="1"/>
    <col min="25" max="25" width="35.6640625" style="129" customWidth="1"/>
    <col min="26" max="27" width="13.6640625" style="129" customWidth="1"/>
    <col min="28" max="28" width="21.33203125" style="129" bestFit="1" customWidth="1"/>
    <col min="29" max="35" width="13.6640625" style="129" customWidth="1"/>
    <col min="36" max="36" width="35.6640625" style="129" customWidth="1"/>
    <col min="37" max="38" width="13.6640625" style="129" customWidth="1"/>
    <col min="39" max="39" width="21.33203125" style="155" bestFit="1" customWidth="1"/>
    <col min="40" max="46" width="13.6640625" style="129" customWidth="1"/>
    <col min="47" max="47" width="35.6640625" style="129" customWidth="1"/>
    <col min="48" max="49" width="13.6640625" style="129" customWidth="1"/>
    <col min="50" max="50" width="21.33203125" style="129" bestFit="1" customWidth="1"/>
    <col min="51" max="57" width="13.6640625" style="129" customWidth="1"/>
    <col min="58" max="58" width="35.6640625" style="129" customWidth="1"/>
    <col min="59" max="59" width="13.6640625" style="129" customWidth="1"/>
    <col min="60" max="16384" width="13.6640625" style="129"/>
  </cols>
  <sheetData>
    <row r="1" spans="1:67" ht="40.5" customHeight="1" x14ac:dyDescent="0.3">
      <c r="A1" s="243" t="s">
        <v>297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152"/>
      <c r="M1" s="252" t="s">
        <v>298</v>
      </c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53"/>
      <c r="Y1" s="243" t="s">
        <v>299</v>
      </c>
      <c r="Z1" s="233"/>
      <c r="AA1" s="233"/>
      <c r="AB1" s="233"/>
      <c r="AC1" s="233"/>
      <c r="AD1" s="233"/>
      <c r="AE1" s="233"/>
      <c r="AF1" s="233"/>
      <c r="AG1" s="233"/>
      <c r="AH1" s="233"/>
      <c r="AI1" s="152"/>
      <c r="AJ1" s="243" t="s">
        <v>300</v>
      </c>
      <c r="AK1" s="233"/>
      <c r="AL1" s="233"/>
      <c r="AM1" s="233"/>
      <c r="AN1" s="233"/>
      <c r="AO1" s="233"/>
      <c r="AP1" s="233"/>
      <c r="AQ1" s="233"/>
      <c r="AR1" s="233"/>
      <c r="AS1" s="233"/>
      <c r="AT1" s="153"/>
      <c r="AU1" s="243" t="s">
        <v>301</v>
      </c>
      <c r="AV1" s="233"/>
      <c r="AW1" s="233"/>
      <c r="AX1" s="233"/>
      <c r="AY1" s="233"/>
      <c r="AZ1" s="233"/>
      <c r="BA1" s="233"/>
      <c r="BB1" s="233"/>
      <c r="BC1" s="233"/>
      <c r="BD1" s="233"/>
      <c r="BE1" s="153"/>
      <c r="BF1" s="243" t="s">
        <v>302</v>
      </c>
      <c r="BG1" s="233"/>
      <c r="BH1" s="233"/>
      <c r="BI1" s="233"/>
      <c r="BJ1" s="233"/>
      <c r="BK1" s="233"/>
      <c r="BL1" s="233"/>
      <c r="BM1" s="233"/>
      <c r="BN1" s="233"/>
      <c r="BO1" s="233"/>
    </row>
    <row r="2" spans="1:67" ht="65" customHeight="1" x14ac:dyDescent="0.3">
      <c r="A2" s="143" t="s">
        <v>260</v>
      </c>
      <c r="B2" s="143" t="s">
        <v>261</v>
      </c>
      <c r="C2" s="143" t="s">
        <v>262</v>
      </c>
      <c r="D2" s="144" t="s">
        <v>263</v>
      </c>
      <c r="E2" s="143" t="s">
        <v>264</v>
      </c>
      <c r="F2" s="143" t="s">
        <v>267</v>
      </c>
      <c r="G2" s="143" t="s">
        <v>268</v>
      </c>
      <c r="H2" s="143" t="s">
        <v>265</v>
      </c>
      <c r="I2" s="143" t="s">
        <v>270</v>
      </c>
      <c r="J2" s="143" t="s">
        <v>271</v>
      </c>
      <c r="K2" s="143" t="s">
        <v>272</v>
      </c>
      <c r="L2" s="152"/>
      <c r="M2" s="143" t="s">
        <v>260</v>
      </c>
      <c r="N2" s="143" t="s">
        <v>261</v>
      </c>
      <c r="O2" s="143" t="s">
        <v>262</v>
      </c>
      <c r="P2" s="144" t="s">
        <v>263</v>
      </c>
      <c r="Q2" s="143" t="s">
        <v>264</v>
      </c>
      <c r="R2" s="143" t="s">
        <v>267</v>
      </c>
      <c r="S2" s="143" t="s">
        <v>268</v>
      </c>
      <c r="T2" s="143" t="s">
        <v>303</v>
      </c>
      <c r="U2" s="143" t="s">
        <v>270</v>
      </c>
      <c r="V2" s="143" t="s">
        <v>271</v>
      </c>
      <c r="W2" s="143" t="s">
        <v>272</v>
      </c>
      <c r="X2" s="153"/>
      <c r="Y2" s="143" t="s">
        <v>260</v>
      </c>
      <c r="Z2" s="143" t="s">
        <v>261</v>
      </c>
      <c r="AA2" s="143" t="s">
        <v>262</v>
      </c>
      <c r="AB2" s="143" t="s">
        <v>263</v>
      </c>
      <c r="AC2" s="143" t="s">
        <v>264</v>
      </c>
      <c r="AD2" s="143" t="s">
        <v>267</v>
      </c>
      <c r="AE2" s="143" t="s">
        <v>268</v>
      </c>
      <c r="AF2" s="143" t="s">
        <v>270</v>
      </c>
      <c r="AG2" s="143" t="s">
        <v>271</v>
      </c>
      <c r="AH2" s="143" t="s">
        <v>272</v>
      </c>
      <c r="AI2" s="152"/>
      <c r="AJ2" s="143" t="s">
        <v>260</v>
      </c>
      <c r="AK2" s="143" t="s">
        <v>261</v>
      </c>
      <c r="AL2" s="143" t="s">
        <v>262</v>
      </c>
      <c r="AM2" s="143" t="s">
        <v>263</v>
      </c>
      <c r="AN2" s="143" t="s">
        <v>264</v>
      </c>
      <c r="AO2" s="143" t="s">
        <v>267</v>
      </c>
      <c r="AP2" s="143" t="s">
        <v>268</v>
      </c>
      <c r="AQ2" s="143" t="s">
        <v>270</v>
      </c>
      <c r="AR2" s="143" t="s">
        <v>271</v>
      </c>
      <c r="AS2" s="143" t="s">
        <v>272</v>
      </c>
      <c r="AT2" s="153"/>
      <c r="AU2" s="143" t="s">
        <v>260</v>
      </c>
      <c r="AV2" s="143" t="s">
        <v>261</v>
      </c>
      <c r="AW2" s="143" t="s">
        <v>262</v>
      </c>
      <c r="AX2" s="144" t="s">
        <v>263</v>
      </c>
      <c r="AY2" s="143" t="s">
        <v>264</v>
      </c>
      <c r="AZ2" s="143" t="s">
        <v>267</v>
      </c>
      <c r="BA2" s="143" t="s">
        <v>268</v>
      </c>
      <c r="BB2" s="143" t="s">
        <v>270</v>
      </c>
      <c r="BC2" s="143" t="s">
        <v>271</v>
      </c>
      <c r="BD2" s="143" t="s">
        <v>272</v>
      </c>
      <c r="BE2" s="153"/>
      <c r="BF2" s="143" t="s">
        <v>260</v>
      </c>
      <c r="BG2" s="143" t="s">
        <v>261</v>
      </c>
      <c r="BH2" s="143" t="s">
        <v>262</v>
      </c>
      <c r="BI2" s="144" t="s">
        <v>263</v>
      </c>
      <c r="BJ2" s="143" t="s">
        <v>264</v>
      </c>
      <c r="BK2" s="143" t="s">
        <v>267</v>
      </c>
      <c r="BL2" s="143" t="s">
        <v>268</v>
      </c>
      <c r="BM2" s="143" t="s">
        <v>270</v>
      </c>
      <c r="BN2" s="143" t="s">
        <v>271</v>
      </c>
      <c r="BO2" s="143" t="s">
        <v>272</v>
      </c>
    </row>
    <row r="3" spans="1:67" ht="40.5" customHeight="1" x14ac:dyDescent="0.3">
      <c r="A3" s="131"/>
      <c r="B3" s="131"/>
      <c r="C3" s="145" t="s">
        <v>34</v>
      </c>
      <c r="D3" s="132"/>
      <c r="E3" s="151" t="s">
        <v>273</v>
      </c>
      <c r="F3" s="131"/>
      <c r="G3" s="131"/>
      <c r="H3" s="131"/>
      <c r="I3" s="131"/>
      <c r="J3" s="133"/>
      <c r="K3" s="131"/>
      <c r="L3" s="136"/>
      <c r="M3" s="131"/>
      <c r="N3" s="131"/>
      <c r="O3" s="145" t="s">
        <v>34</v>
      </c>
      <c r="P3" s="132"/>
      <c r="Q3" s="151" t="s">
        <v>273</v>
      </c>
      <c r="R3" s="131"/>
      <c r="S3" s="131"/>
      <c r="T3" s="131"/>
      <c r="U3" s="131"/>
      <c r="V3" s="133"/>
      <c r="W3" s="131"/>
      <c r="Y3" s="131"/>
      <c r="Z3" s="131"/>
      <c r="AA3" s="145" t="s">
        <v>34</v>
      </c>
      <c r="AB3" s="132"/>
      <c r="AC3" s="151" t="s">
        <v>273</v>
      </c>
      <c r="AD3" s="131"/>
      <c r="AE3" s="131"/>
      <c r="AF3" s="131"/>
      <c r="AG3" s="133"/>
      <c r="AH3" s="131"/>
      <c r="AI3" s="136"/>
      <c r="AJ3" s="131"/>
      <c r="AK3" s="131"/>
      <c r="AL3" s="145" t="s">
        <v>34</v>
      </c>
      <c r="AM3" s="132"/>
      <c r="AN3" s="151" t="s">
        <v>273</v>
      </c>
      <c r="AO3" s="131"/>
      <c r="AP3" s="131"/>
      <c r="AQ3" s="131"/>
      <c r="AR3" s="133"/>
      <c r="AS3" s="131"/>
      <c r="AU3" s="131"/>
      <c r="AV3" s="131"/>
      <c r="AW3" s="145" t="s">
        <v>34</v>
      </c>
      <c r="AX3" s="132"/>
      <c r="AY3" s="151" t="s">
        <v>273</v>
      </c>
      <c r="AZ3" s="131"/>
      <c r="BA3" s="131"/>
      <c r="BB3" s="131"/>
      <c r="BC3" s="133"/>
      <c r="BD3" s="131"/>
      <c r="BF3" s="131"/>
      <c r="BG3" s="131"/>
      <c r="BH3" s="145" t="s">
        <v>34</v>
      </c>
      <c r="BI3" s="132"/>
      <c r="BJ3" s="151" t="s">
        <v>273</v>
      </c>
      <c r="BK3" s="131"/>
      <c r="BL3" s="131"/>
      <c r="BM3" s="131"/>
      <c r="BN3" s="133"/>
      <c r="BO3" s="131"/>
    </row>
    <row r="4" spans="1:67" ht="40.5" customHeight="1" x14ac:dyDescent="0.3">
      <c r="A4" s="131"/>
      <c r="B4" s="131"/>
      <c r="C4" s="146"/>
      <c r="D4" s="132"/>
      <c r="E4" s="151" t="s">
        <v>274</v>
      </c>
      <c r="F4" s="131"/>
      <c r="G4" s="131"/>
      <c r="H4" s="131"/>
      <c r="I4" s="131"/>
      <c r="J4" s="133"/>
      <c r="K4" s="131"/>
      <c r="L4" s="136"/>
      <c r="M4" s="131"/>
      <c r="N4" s="131"/>
      <c r="O4" s="146"/>
      <c r="P4" s="132"/>
      <c r="Q4" s="151" t="s">
        <v>274</v>
      </c>
      <c r="R4" s="131"/>
      <c r="S4" s="131"/>
      <c r="T4" s="131"/>
      <c r="U4" s="131"/>
      <c r="V4" s="133"/>
      <c r="W4" s="131"/>
      <c r="Y4" s="131"/>
      <c r="Z4" s="131"/>
      <c r="AA4" s="146"/>
      <c r="AB4" s="132"/>
      <c r="AC4" s="151" t="s">
        <v>274</v>
      </c>
      <c r="AD4" s="131"/>
      <c r="AE4" s="131"/>
      <c r="AF4" s="131"/>
      <c r="AG4" s="133"/>
      <c r="AH4" s="131"/>
      <c r="AI4" s="136"/>
      <c r="AJ4" s="131"/>
      <c r="AK4" s="131"/>
      <c r="AL4" s="146"/>
      <c r="AM4" s="132"/>
      <c r="AN4" s="151" t="s">
        <v>274</v>
      </c>
      <c r="AO4" s="131"/>
      <c r="AP4" s="131"/>
      <c r="AQ4" s="131"/>
      <c r="AR4" s="133"/>
      <c r="AS4" s="131"/>
      <c r="AU4" s="131"/>
      <c r="AV4" s="131"/>
      <c r="AW4" s="146"/>
      <c r="AX4" s="132"/>
      <c r="AY4" s="151" t="s">
        <v>274</v>
      </c>
      <c r="AZ4" s="131"/>
      <c r="BA4" s="131"/>
      <c r="BB4" s="131"/>
      <c r="BC4" s="133"/>
      <c r="BD4" s="131"/>
      <c r="BF4" s="131"/>
      <c r="BG4" s="131"/>
      <c r="BH4" s="146"/>
      <c r="BI4" s="132"/>
      <c r="BJ4" s="151" t="s">
        <v>274</v>
      </c>
      <c r="BK4" s="131"/>
      <c r="BL4" s="131"/>
      <c r="BM4" s="131"/>
      <c r="BN4" s="133"/>
      <c r="BO4" s="131"/>
    </row>
    <row r="5" spans="1:67" ht="40.5" customHeight="1" x14ac:dyDescent="0.3">
      <c r="A5" s="131"/>
      <c r="B5" s="131"/>
      <c r="C5" s="147"/>
      <c r="D5" s="132"/>
      <c r="E5" s="151"/>
      <c r="F5" s="131"/>
      <c r="G5" s="131"/>
      <c r="H5" s="131"/>
      <c r="I5" s="131"/>
      <c r="J5" s="133"/>
      <c r="K5" s="131"/>
      <c r="L5" s="136"/>
      <c r="M5" s="131"/>
      <c r="N5" s="131"/>
      <c r="O5" s="147"/>
      <c r="P5" s="132"/>
      <c r="Q5" s="151"/>
      <c r="R5" s="131"/>
      <c r="S5" s="131"/>
      <c r="T5" s="131"/>
      <c r="U5" s="131"/>
      <c r="V5" s="133"/>
      <c r="W5" s="131"/>
      <c r="Y5" s="131"/>
      <c r="Z5" s="131"/>
      <c r="AA5" s="147"/>
      <c r="AB5" s="132"/>
      <c r="AC5" s="151"/>
      <c r="AD5" s="131"/>
      <c r="AE5" s="131"/>
      <c r="AF5" s="131"/>
      <c r="AG5" s="133"/>
      <c r="AH5" s="131"/>
      <c r="AI5" s="136"/>
      <c r="AJ5" s="131"/>
      <c r="AK5" s="131"/>
      <c r="AL5" s="147"/>
      <c r="AM5" s="132"/>
      <c r="AN5" s="151"/>
      <c r="AO5" s="131"/>
      <c r="AP5" s="131"/>
      <c r="AQ5" s="131"/>
      <c r="AR5" s="133"/>
      <c r="AS5" s="131"/>
      <c r="AU5" s="131"/>
      <c r="AV5" s="131"/>
      <c r="AW5" s="147"/>
      <c r="AX5" s="132"/>
      <c r="AY5" s="151"/>
      <c r="AZ5" s="131"/>
      <c r="BA5" s="131"/>
      <c r="BB5" s="131"/>
      <c r="BC5" s="133"/>
      <c r="BD5" s="131"/>
      <c r="BF5" s="131"/>
      <c r="BG5" s="131"/>
      <c r="BH5" s="147"/>
      <c r="BI5" s="132"/>
      <c r="BJ5" s="151"/>
      <c r="BK5" s="131"/>
      <c r="BL5" s="131"/>
      <c r="BM5" s="131"/>
      <c r="BN5" s="133"/>
      <c r="BO5" s="131"/>
    </row>
    <row r="6" spans="1:67" ht="40.5" customHeight="1" x14ac:dyDescent="0.3">
      <c r="A6" s="131"/>
      <c r="B6" s="131"/>
      <c r="C6" s="145" t="s">
        <v>25</v>
      </c>
      <c r="D6" s="132"/>
      <c r="E6" s="151" t="s">
        <v>273</v>
      </c>
      <c r="F6" s="131"/>
      <c r="G6" s="131"/>
      <c r="H6" s="131"/>
      <c r="I6" s="131"/>
      <c r="J6" s="134"/>
      <c r="K6" s="131"/>
      <c r="L6" s="136"/>
      <c r="M6" s="131"/>
      <c r="N6" s="131"/>
      <c r="O6" s="145" t="s">
        <v>25</v>
      </c>
      <c r="P6" s="132"/>
      <c r="Q6" s="151" t="s">
        <v>273</v>
      </c>
      <c r="R6" s="131"/>
      <c r="S6" s="131"/>
      <c r="T6" s="131"/>
      <c r="U6" s="131"/>
      <c r="V6" s="134"/>
      <c r="W6" s="131"/>
      <c r="Y6" s="131"/>
      <c r="Z6" s="131"/>
      <c r="AA6" s="145" t="s">
        <v>25</v>
      </c>
      <c r="AB6" s="132"/>
      <c r="AC6" s="151" t="s">
        <v>273</v>
      </c>
      <c r="AD6" s="131"/>
      <c r="AE6" s="131"/>
      <c r="AF6" s="131"/>
      <c r="AG6" s="134"/>
      <c r="AH6" s="131"/>
      <c r="AI6" s="136"/>
      <c r="AJ6" s="131"/>
      <c r="AK6" s="131"/>
      <c r="AL6" s="145" t="s">
        <v>25</v>
      </c>
      <c r="AM6" s="132"/>
      <c r="AN6" s="151" t="s">
        <v>273</v>
      </c>
      <c r="AO6" s="131"/>
      <c r="AP6" s="131"/>
      <c r="AQ6" s="131"/>
      <c r="AR6" s="134"/>
      <c r="AS6" s="131"/>
      <c r="AU6" s="131"/>
      <c r="AV6" s="131"/>
      <c r="AW6" s="145" t="s">
        <v>25</v>
      </c>
      <c r="AX6" s="132"/>
      <c r="AY6" s="151" t="s">
        <v>273</v>
      </c>
      <c r="AZ6" s="131"/>
      <c r="BA6" s="131"/>
      <c r="BB6" s="131"/>
      <c r="BC6" s="134"/>
      <c r="BD6" s="131"/>
      <c r="BF6" s="131"/>
      <c r="BG6" s="131"/>
      <c r="BH6" s="145" t="s">
        <v>25</v>
      </c>
      <c r="BI6" s="132"/>
      <c r="BJ6" s="151" t="s">
        <v>273</v>
      </c>
      <c r="BK6" s="131"/>
      <c r="BL6" s="131"/>
      <c r="BM6" s="131"/>
      <c r="BN6" s="134"/>
      <c r="BO6" s="131"/>
    </row>
    <row r="7" spans="1:67" ht="40.5" customHeight="1" x14ac:dyDescent="0.3">
      <c r="A7" s="131"/>
      <c r="B7" s="131"/>
      <c r="C7" s="146"/>
      <c r="D7" s="132"/>
      <c r="E7" s="151" t="s">
        <v>274</v>
      </c>
      <c r="F7" s="131"/>
      <c r="G7" s="131"/>
      <c r="H7" s="131"/>
      <c r="I7" s="131"/>
      <c r="J7" s="134"/>
      <c r="K7" s="131"/>
      <c r="L7" s="136"/>
      <c r="M7" s="131"/>
      <c r="N7" s="131"/>
      <c r="O7" s="146"/>
      <c r="P7" s="132"/>
      <c r="Q7" s="151" t="s">
        <v>274</v>
      </c>
      <c r="R7" s="131"/>
      <c r="S7" s="131"/>
      <c r="T7" s="131"/>
      <c r="U7" s="131"/>
      <c r="V7" s="134"/>
      <c r="W7" s="131"/>
      <c r="Y7" s="131"/>
      <c r="Z7" s="131"/>
      <c r="AA7" s="146"/>
      <c r="AB7" s="132"/>
      <c r="AC7" s="151" t="s">
        <v>274</v>
      </c>
      <c r="AD7" s="131"/>
      <c r="AE7" s="131"/>
      <c r="AF7" s="131"/>
      <c r="AG7" s="134"/>
      <c r="AH7" s="131"/>
      <c r="AI7" s="136"/>
      <c r="AJ7" s="131"/>
      <c r="AK7" s="131"/>
      <c r="AL7" s="146"/>
      <c r="AM7" s="132"/>
      <c r="AN7" s="151" t="s">
        <v>274</v>
      </c>
      <c r="AO7" s="131"/>
      <c r="AP7" s="131"/>
      <c r="AQ7" s="131"/>
      <c r="AR7" s="134"/>
      <c r="AS7" s="131"/>
      <c r="AU7" s="131"/>
      <c r="AV7" s="131"/>
      <c r="AW7" s="146"/>
      <c r="AX7" s="132"/>
      <c r="AY7" s="151" t="s">
        <v>274</v>
      </c>
      <c r="AZ7" s="131"/>
      <c r="BA7" s="131"/>
      <c r="BB7" s="131"/>
      <c r="BC7" s="134"/>
      <c r="BD7" s="131"/>
      <c r="BF7" s="131"/>
      <c r="BG7" s="131"/>
      <c r="BH7" s="146"/>
      <c r="BI7" s="132"/>
      <c r="BJ7" s="151" t="s">
        <v>274</v>
      </c>
      <c r="BK7" s="131"/>
      <c r="BL7" s="131"/>
      <c r="BM7" s="131"/>
      <c r="BN7" s="134"/>
      <c r="BO7" s="131"/>
    </row>
    <row r="8" spans="1:67" ht="40.5" customHeight="1" x14ac:dyDescent="0.3">
      <c r="A8" s="131"/>
      <c r="B8" s="131"/>
      <c r="C8" s="147"/>
      <c r="D8" s="132"/>
      <c r="E8" s="151"/>
      <c r="F8" s="131"/>
      <c r="G8" s="131"/>
      <c r="H8" s="131"/>
      <c r="I8" s="131"/>
      <c r="J8" s="134"/>
      <c r="K8" s="131"/>
      <c r="L8" s="136"/>
      <c r="M8" s="131"/>
      <c r="N8" s="131"/>
      <c r="O8" s="147"/>
      <c r="P8" s="132"/>
      <c r="Q8" s="151"/>
      <c r="R8" s="131"/>
      <c r="S8" s="131"/>
      <c r="T8" s="131"/>
      <c r="U8" s="131"/>
      <c r="V8" s="134"/>
      <c r="W8" s="131"/>
      <c r="Y8" s="131"/>
      <c r="Z8" s="131"/>
      <c r="AA8" s="147"/>
      <c r="AB8" s="132"/>
      <c r="AC8" s="151"/>
      <c r="AD8" s="131"/>
      <c r="AE8" s="131"/>
      <c r="AF8" s="131"/>
      <c r="AG8" s="134"/>
      <c r="AH8" s="131"/>
      <c r="AI8" s="136"/>
      <c r="AJ8" s="131"/>
      <c r="AK8" s="131"/>
      <c r="AL8" s="147"/>
      <c r="AM8" s="132"/>
      <c r="AN8" s="151"/>
      <c r="AO8" s="131"/>
      <c r="AP8" s="131"/>
      <c r="AQ8" s="131"/>
      <c r="AR8" s="134"/>
      <c r="AS8" s="131"/>
      <c r="AU8" s="131"/>
      <c r="AV8" s="131"/>
      <c r="AW8" s="147"/>
      <c r="AX8" s="132"/>
      <c r="AY8" s="151"/>
      <c r="AZ8" s="131"/>
      <c r="BA8" s="131"/>
      <c r="BB8" s="131"/>
      <c r="BC8" s="134"/>
      <c r="BD8" s="131"/>
      <c r="BF8" s="131"/>
      <c r="BG8" s="131"/>
      <c r="BH8" s="147"/>
      <c r="BI8" s="132"/>
      <c r="BJ8" s="151"/>
      <c r="BK8" s="131"/>
      <c r="BL8" s="131"/>
      <c r="BM8" s="131"/>
      <c r="BN8" s="134"/>
      <c r="BO8" s="131"/>
    </row>
    <row r="9" spans="1:67" ht="40.5" customHeight="1" x14ac:dyDescent="0.3">
      <c r="A9" s="131"/>
      <c r="B9" s="131"/>
      <c r="C9" s="148" t="s">
        <v>29</v>
      </c>
      <c r="D9" s="132"/>
      <c r="E9" s="151" t="s">
        <v>273</v>
      </c>
      <c r="F9" s="131"/>
      <c r="G9" s="131"/>
      <c r="H9" s="131"/>
      <c r="I9" s="131"/>
      <c r="J9" s="133"/>
      <c r="K9" s="131"/>
      <c r="L9" s="136"/>
      <c r="M9" s="131"/>
      <c r="N9" s="131"/>
      <c r="O9" s="148" t="s">
        <v>29</v>
      </c>
      <c r="P9" s="132"/>
      <c r="Q9" s="151" t="s">
        <v>273</v>
      </c>
      <c r="R9" s="131"/>
      <c r="S9" s="131"/>
      <c r="T9" s="131"/>
      <c r="U9" s="131"/>
      <c r="V9" s="133"/>
      <c r="W9" s="131"/>
      <c r="Y9" s="131"/>
      <c r="Z9" s="131"/>
      <c r="AA9" s="148" t="s">
        <v>29</v>
      </c>
      <c r="AB9" s="132"/>
      <c r="AC9" s="151" t="s">
        <v>273</v>
      </c>
      <c r="AD9" s="131"/>
      <c r="AE9" s="131"/>
      <c r="AF9" s="131"/>
      <c r="AG9" s="133"/>
      <c r="AH9" s="131"/>
      <c r="AI9" s="136"/>
      <c r="AJ9" s="131"/>
      <c r="AK9" s="131"/>
      <c r="AL9" s="148" t="s">
        <v>29</v>
      </c>
      <c r="AM9" s="132"/>
      <c r="AN9" s="151" t="s">
        <v>273</v>
      </c>
      <c r="AO9" s="131"/>
      <c r="AP9" s="131"/>
      <c r="AQ9" s="131"/>
      <c r="AR9" s="133"/>
      <c r="AS9" s="131"/>
      <c r="AU9" s="131"/>
      <c r="AV9" s="131"/>
      <c r="AW9" s="148" t="s">
        <v>29</v>
      </c>
      <c r="AX9" s="132"/>
      <c r="AY9" s="151" t="s">
        <v>273</v>
      </c>
      <c r="AZ9" s="131"/>
      <c r="BA9" s="131"/>
      <c r="BB9" s="131"/>
      <c r="BC9" s="133"/>
      <c r="BD9" s="131"/>
      <c r="BF9" s="131"/>
      <c r="BG9" s="131"/>
      <c r="BH9" s="148" t="s">
        <v>29</v>
      </c>
      <c r="BI9" s="132"/>
      <c r="BJ9" s="151" t="s">
        <v>273</v>
      </c>
      <c r="BK9" s="131"/>
      <c r="BL9" s="131"/>
      <c r="BM9" s="131"/>
      <c r="BN9" s="133"/>
      <c r="BO9" s="131"/>
    </row>
    <row r="10" spans="1:67" ht="40.5" customHeight="1" x14ac:dyDescent="0.3">
      <c r="A10" s="131"/>
      <c r="B10" s="131"/>
      <c r="C10" s="149"/>
      <c r="D10" s="132"/>
      <c r="E10" s="151" t="s">
        <v>274</v>
      </c>
      <c r="F10" s="131"/>
      <c r="G10" s="131"/>
      <c r="H10" s="131"/>
      <c r="I10" s="131"/>
      <c r="J10" s="133"/>
      <c r="K10" s="131"/>
      <c r="L10" s="136"/>
      <c r="M10" s="131"/>
      <c r="N10" s="131"/>
      <c r="O10" s="149"/>
      <c r="P10" s="132"/>
      <c r="Q10" s="151" t="s">
        <v>274</v>
      </c>
      <c r="R10" s="131"/>
      <c r="S10" s="131"/>
      <c r="T10" s="131"/>
      <c r="U10" s="131"/>
      <c r="V10" s="133"/>
      <c r="W10" s="131"/>
      <c r="Y10" s="131"/>
      <c r="Z10" s="131"/>
      <c r="AA10" s="149"/>
      <c r="AB10" s="132"/>
      <c r="AC10" s="151" t="s">
        <v>274</v>
      </c>
      <c r="AD10" s="131"/>
      <c r="AE10" s="131"/>
      <c r="AF10" s="131"/>
      <c r="AG10" s="133"/>
      <c r="AH10" s="131"/>
      <c r="AI10" s="136"/>
      <c r="AJ10" s="131"/>
      <c r="AK10" s="131"/>
      <c r="AL10" s="149"/>
      <c r="AM10" s="132"/>
      <c r="AN10" s="151" t="s">
        <v>274</v>
      </c>
      <c r="AO10" s="131"/>
      <c r="AP10" s="131"/>
      <c r="AQ10" s="131"/>
      <c r="AR10" s="133"/>
      <c r="AS10" s="131"/>
      <c r="AU10" s="131"/>
      <c r="AV10" s="131"/>
      <c r="AW10" s="149"/>
      <c r="AX10" s="132"/>
      <c r="AY10" s="151" t="s">
        <v>274</v>
      </c>
      <c r="AZ10" s="131"/>
      <c r="BA10" s="131"/>
      <c r="BB10" s="131"/>
      <c r="BC10" s="133"/>
      <c r="BD10" s="131"/>
      <c r="BF10" s="131"/>
      <c r="BG10" s="131"/>
      <c r="BH10" s="149"/>
      <c r="BI10" s="132"/>
      <c r="BJ10" s="151" t="s">
        <v>274</v>
      </c>
      <c r="BK10" s="131"/>
      <c r="BL10" s="131"/>
      <c r="BM10" s="131"/>
      <c r="BN10" s="133"/>
      <c r="BO10" s="131"/>
    </row>
    <row r="11" spans="1:67" ht="40.5" customHeight="1" x14ac:dyDescent="0.3">
      <c r="A11" s="131"/>
      <c r="B11" s="131"/>
      <c r="C11" s="150"/>
      <c r="D11" s="132"/>
      <c r="E11" s="151"/>
      <c r="F11" s="131"/>
      <c r="G11" s="131"/>
      <c r="H11" s="131"/>
      <c r="I11" s="131"/>
      <c r="J11" s="133"/>
      <c r="K11" s="131"/>
      <c r="L11" s="136"/>
      <c r="M11" s="131"/>
      <c r="N11" s="131"/>
      <c r="O11" s="150"/>
      <c r="P11" s="132"/>
      <c r="Q11" s="151"/>
      <c r="R11" s="131"/>
      <c r="S11" s="131"/>
      <c r="T11" s="131"/>
      <c r="U11" s="131"/>
      <c r="V11" s="133"/>
      <c r="W11" s="131"/>
      <c r="Y11" s="131"/>
      <c r="Z11" s="131"/>
      <c r="AA11" s="150"/>
      <c r="AB11" s="132"/>
      <c r="AC11" s="151"/>
      <c r="AD11" s="131"/>
      <c r="AE11" s="131"/>
      <c r="AF11" s="131"/>
      <c r="AG11" s="133"/>
      <c r="AH11" s="131"/>
      <c r="AI11" s="136"/>
      <c r="AJ11" s="131"/>
      <c r="AK11" s="131"/>
      <c r="AL11" s="150"/>
      <c r="AM11" s="132"/>
      <c r="AN11" s="151"/>
      <c r="AO11" s="131"/>
      <c r="AP11" s="131"/>
      <c r="AQ11" s="131"/>
      <c r="AR11" s="133"/>
      <c r="AS11" s="131"/>
      <c r="AU11" s="131"/>
      <c r="AV11" s="131"/>
      <c r="AW11" s="150"/>
      <c r="AX11" s="132"/>
      <c r="AY11" s="151"/>
      <c r="AZ11" s="131"/>
      <c r="BA11" s="131"/>
      <c r="BB11" s="131"/>
      <c r="BC11" s="133"/>
      <c r="BD11" s="131"/>
      <c r="BF11" s="131"/>
      <c r="BG11" s="131"/>
      <c r="BH11" s="150"/>
      <c r="BI11" s="132"/>
      <c r="BJ11" s="151"/>
      <c r="BK11" s="131"/>
      <c r="BL11" s="131"/>
      <c r="BM11" s="131"/>
      <c r="BN11" s="133"/>
      <c r="BO11" s="131"/>
    </row>
    <row r="12" spans="1:67" ht="40.5" customHeight="1" x14ac:dyDescent="0.3">
      <c r="A12" s="131"/>
      <c r="B12" s="131"/>
      <c r="C12" s="148" t="s">
        <v>30</v>
      </c>
      <c r="D12" s="132"/>
      <c r="E12" s="151" t="s">
        <v>273</v>
      </c>
      <c r="F12" s="131"/>
      <c r="G12" s="131"/>
      <c r="H12" s="131"/>
      <c r="I12" s="131"/>
      <c r="J12" s="134"/>
      <c r="K12" s="131"/>
      <c r="L12" s="136"/>
      <c r="M12" s="131"/>
      <c r="N12" s="131"/>
      <c r="O12" s="148" t="s">
        <v>30</v>
      </c>
      <c r="P12" s="132"/>
      <c r="Q12" s="151" t="s">
        <v>273</v>
      </c>
      <c r="R12" s="131"/>
      <c r="S12" s="131"/>
      <c r="T12" s="131"/>
      <c r="U12" s="131"/>
      <c r="V12" s="134"/>
      <c r="W12" s="131"/>
      <c r="Y12" s="131"/>
      <c r="Z12" s="131"/>
      <c r="AA12" s="148" t="s">
        <v>30</v>
      </c>
      <c r="AB12" s="132"/>
      <c r="AC12" s="151" t="s">
        <v>273</v>
      </c>
      <c r="AD12" s="131"/>
      <c r="AE12" s="131"/>
      <c r="AF12" s="131"/>
      <c r="AG12" s="134"/>
      <c r="AH12" s="131"/>
      <c r="AI12" s="136"/>
      <c r="AJ12" s="131"/>
      <c r="AK12" s="131"/>
      <c r="AL12" s="148" t="s">
        <v>30</v>
      </c>
      <c r="AM12" s="132"/>
      <c r="AN12" s="151" t="s">
        <v>273</v>
      </c>
      <c r="AO12" s="131"/>
      <c r="AP12" s="131"/>
      <c r="AQ12" s="131"/>
      <c r="AR12" s="134"/>
      <c r="AS12" s="131"/>
      <c r="AU12" s="131"/>
      <c r="AV12" s="131"/>
      <c r="AW12" s="148" t="s">
        <v>30</v>
      </c>
      <c r="AX12" s="132"/>
      <c r="AY12" s="151" t="s">
        <v>273</v>
      </c>
      <c r="AZ12" s="131"/>
      <c r="BA12" s="131"/>
      <c r="BB12" s="131"/>
      <c r="BC12" s="134"/>
      <c r="BD12" s="131"/>
      <c r="BF12" s="131"/>
      <c r="BG12" s="131"/>
      <c r="BH12" s="148" t="s">
        <v>30</v>
      </c>
      <c r="BI12" s="132"/>
      <c r="BJ12" s="151" t="s">
        <v>273</v>
      </c>
      <c r="BK12" s="131"/>
      <c r="BL12" s="131"/>
      <c r="BM12" s="131"/>
      <c r="BN12" s="134"/>
      <c r="BO12" s="131"/>
    </row>
    <row r="13" spans="1:67" ht="40.5" customHeight="1" x14ac:dyDescent="0.3">
      <c r="A13" s="131"/>
      <c r="B13" s="131"/>
      <c r="C13" s="149"/>
      <c r="D13" s="132"/>
      <c r="E13" s="151" t="s">
        <v>274</v>
      </c>
      <c r="F13" s="131"/>
      <c r="G13" s="131"/>
      <c r="H13" s="131"/>
      <c r="I13" s="131"/>
      <c r="J13" s="134"/>
      <c r="K13" s="131"/>
      <c r="L13" s="136"/>
      <c r="M13" s="131"/>
      <c r="N13" s="131"/>
      <c r="O13" s="149"/>
      <c r="P13" s="132"/>
      <c r="Q13" s="151" t="s">
        <v>274</v>
      </c>
      <c r="R13" s="131"/>
      <c r="S13" s="131"/>
      <c r="T13" s="131"/>
      <c r="U13" s="131"/>
      <c r="V13" s="134"/>
      <c r="W13" s="131"/>
      <c r="Y13" s="131"/>
      <c r="Z13" s="131"/>
      <c r="AA13" s="149"/>
      <c r="AB13" s="132"/>
      <c r="AC13" s="151" t="s">
        <v>274</v>
      </c>
      <c r="AD13" s="131"/>
      <c r="AE13" s="131"/>
      <c r="AF13" s="131"/>
      <c r="AG13" s="134"/>
      <c r="AH13" s="131"/>
      <c r="AI13" s="136"/>
      <c r="AJ13" s="131"/>
      <c r="AK13" s="131"/>
      <c r="AL13" s="149"/>
      <c r="AM13" s="132"/>
      <c r="AN13" s="151" t="s">
        <v>274</v>
      </c>
      <c r="AO13" s="131"/>
      <c r="AP13" s="131"/>
      <c r="AQ13" s="131"/>
      <c r="AR13" s="134"/>
      <c r="AS13" s="131"/>
      <c r="AU13" s="131"/>
      <c r="AV13" s="131"/>
      <c r="AW13" s="149"/>
      <c r="AX13" s="132"/>
      <c r="AY13" s="151" t="s">
        <v>274</v>
      </c>
      <c r="AZ13" s="131"/>
      <c r="BA13" s="131"/>
      <c r="BB13" s="131"/>
      <c r="BC13" s="134"/>
      <c r="BD13" s="131"/>
      <c r="BF13" s="131"/>
      <c r="BG13" s="131"/>
      <c r="BH13" s="149"/>
      <c r="BI13" s="132"/>
      <c r="BJ13" s="151" t="s">
        <v>274</v>
      </c>
      <c r="BK13" s="131"/>
      <c r="BL13" s="131"/>
      <c r="BM13" s="131"/>
      <c r="BN13" s="134"/>
      <c r="BO13" s="131"/>
    </row>
    <row r="14" spans="1:67" ht="40.5" customHeight="1" x14ac:dyDescent="0.3">
      <c r="A14" s="131"/>
      <c r="B14" s="131"/>
      <c r="C14" s="150"/>
      <c r="D14" s="132"/>
      <c r="E14" s="151"/>
      <c r="F14" s="131"/>
      <c r="G14" s="131"/>
      <c r="H14" s="131"/>
      <c r="I14" s="131"/>
      <c r="J14" s="134"/>
      <c r="K14" s="131"/>
      <c r="L14" s="136"/>
      <c r="M14" s="131"/>
      <c r="N14" s="131"/>
      <c r="O14" s="150"/>
      <c r="P14" s="132"/>
      <c r="Q14" s="151"/>
      <c r="R14" s="131"/>
      <c r="S14" s="131"/>
      <c r="T14" s="131"/>
      <c r="U14" s="131"/>
      <c r="V14" s="134"/>
      <c r="W14" s="131"/>
      <c r="Y14" s="131"/>
      <c r="Z14" s="131"/>
      <c r="AA14" s="150"/>
      <c r="AB14" s="132"/>
      <c r="AC14" s="151"/>
      <c r="AD14" s="131"/>
      <c r="AE14" s="131"/>
      <c r="AF14" s="131"/>
      <c r="AG14" s="134"/>
      <c r="AH14" s="131"/>
      <c r="AI14" s="136"/>
      <c r="AJ14" s="131"/>
      <c r="AK14" s="131"/>
      <c r="AL14" s="150"/>
      <c r="AM14" s="132"/>
      <c r="AN14" s="151"/>
      <c r="AO14" s="131"/>
      <c r="AP14" s="131"/>
      <c r="AQ14" s="131"/>
      <c r="AR14" s="134"/>
      <c r="AS14" s="131"/>
      <c r="AU14" s="131"/>
      <c r="AV14" s="131"/>
      <c r="AW14" s="150"/>
      <c r="AX14" s="132"/>
      <c r="AY14" s="151"/>
      <c r="AZ14" s="131"/>
      <c r="BA14" s="131"/>
      <c r="BB14" s="131"/>
      <c r="BC14" s="134"/>
      <c r="BD14" s="131"/>
      <c r="BF14" s="131"/>
      <c r="BG14" s="131"/>
      <c r="BH14" s="150"/>
      <c r="BI14" s="132"/>
      <c r="BJ14" s="151"/>
      <c r="BK14" s="131"/>
      <c r="BL14" s="131"/>
      <c r="BM14" s="131"/>
      <c r="BN14" s="134"/>
      <c r="BO14" s="131"/>
    </row>
    <row r="15" spans="1:67" ht="40.5" customHeight="1" x14ac:dyDescent="0.3">
      <c r="A15" s="131"/>
      <c r="B15" s="131"/>
      <c r="C15" s="148" t="s">
        <v>31</v>
      </c>
      <c r="D15" s="132"/>
      <c r="E15" s="151" t="s">
        <v>273</v>
      </c>
      <c r="F15" s="131"/>
      <c r="G15" s="131"/>
      <c r="H15" s="131"/>
      <c r="I15" s="131"/>
      <c r="J15" s="133"/>
      <c r="K15" s="131"/>
      <c r="L15" s="136"/>
      <c r="M15" s="131"/>
      <c r="N15" s="131"/>
      <c r="O15" s="148" t="s">
        <v>31</v>
      </c>
      <c r="P15" s="132"/>
      <c r="Q15" s="151" t="s">
        <v>273</v>
      </c>
      <c r="R15" s="131"/>
      <c r="S15" s="131"/>
      <c r="T15" s="131"/>
      <c r="U15" s="131"/>
      <c r="V15" s="133"/>
      <c r="W15" s="131"/>
      <c r="Y15" s="131"/>
      <c r="Z15" s="131"/>
      <c r="AA15" s="148" t="s">
        <v>31</v>
      </c>
      <c r="AB15" s="132"/>
      <c r="AC15" s="151" t="s">
        <v>273</v>
      </c>
      <c r="AD15" s="131"/>
      <c r="AE15" s="131"/>
      <c r="AF15" s="131"/>
      <c r="AG15" s="133"/>
      <c r="AH15" s="131"/>
      <c r="AI15" s="136"/>
      <c r="AJ15" s="131"/>
      <c r="AK15" s="131"/>
      <c r="AL15" s="148" t="s">
        <v>31</v>
      </c>
      <c r="AM15" s="132"/>
      <c r="AN15" s="151" t="s">
        <v>273</v>
      </c>
      <c r="AO15" s="131"/>
      <c r="AP15" s="131"/>
      <c r="AQ15" s="131"/>
      <c r="AR15" s="133"/>
      <c r="AS15" s="131"/>
      <c r="AU15" s="131"/>
      <c r="AV15" s="131"/>
      <c r="AW15" s="148" t="s">
        <v>31</v>
      </c>
      <c r="AX15" s="132"/>
      <c r="AY15" s="151" t="s">
        <v>273</v>
      </c>
      <c r="AZ15" s="131"/>
      <c r="BA15" s="131"/>
      <c r="BB15" s="131"/>
      <c r="BC15" s="133"/>
      <c r="BD15" s="131"/>
      <c r="BF15" s="131"/>
      <c r="BG15" s="131"/>
      <c r="BH15" s="148" t="s">
        <v>31</v>
      </c>
      <c r="BI15" s="132"/>
      <c r="BJ15" s="151" t="s">
        <v>273</v>
      </c>
      <c r="BK15" s="131"/>
      <c r="BL15" s="131"/>
      <c r="BM15" s="131"/>
      <c r="BN15" s="133"/>
      <c r="BO15" s="131"/>
    </row>
    <row r="16" spans="1:67" ht="40.5" customHeight="1" x14ac:dyDescent="0.3">
      <c r="A16" s="131"/>
      <c r="B16" s="131"/>
      <c r="C16" s="149"/>
      <c r="D16" s="132"/>
      <c r="E16" s="151" t="s">
        <v>274</v>
      </c>
      <c r="F16" s="131"/>
      <c r="G16" s="131"/>
      <c r="H16" s="131"/>
      <c r="I16" s="131"/>
      <c r="J16" s="133"/>
      <c r="K16" s="131"/>
      <c r="L16" s="136"/>
      <c r="M16" s="131"/>
      <c r="N16" s="131"/>
      <c r="O16" s="149"/>
      <c r="P16" s="132"/>
      <c r="Q16" s="151" t="s">
        <v>274</v>
      </c>
      <c r="R16" s="131"/>
      <c r="S16" s="131"/>
      <c r="T16" s="131"/>
      <c r="U16" s="131"/>
      <c r="V16" s="133"/>
      <c r="W16" s="131"/>
      <c r="Y16" s="131"/>
      <c r="Z16" s="131"/>
      <c r="AA16" s="149"/>
      <c r="AB16" s="132"/>
      <c r="AC16" s="151" t="s">
        <v>274</v>
      </c>
      <c r="AD16" s="131"/>
      <c r="AE16" s="131"/>
      <c r="AF16" s="131"/>
      <c r="AG16" s="133"/>
      <c r="AH16" s="131"/>
      <c r="AI16" s="136"/>
      <c r="AJ16" s="131"/>
      <c r="AK16" s="131"/>
      <c r="AL16" s="149"/>
      <c r="AM16" s="132"/>
      <c r="AN16" s="151" t="s">
        <v>274</v>
      </c>
      <c r="AO16" s="131"/>
      <c r="AP16" s="131"/>
      <c r="AQ16" s="131"/>
      <c r="AR16" s="133"/>
      <c r="AS16" s="131"/>
      <c r="AU16" s="131"/>
      <c r="AV16" s="131"/>
      <c r="AW16" s="149"/>
      <c r="AX16" s="132"/>
      <c r="AY16" s="151" t="s">
        <v>274</v>
      </c>
      <c r="AZ16" s="131"/>
      <c r="BA16" s="131"/>
      <c r="BB16" s="131"/>
      <c r="BC16" s="133"/>
      <c r="BD16" s="131"/>
      <c r="BF16" s="131"/>
      <c r="BG16" s="131"/>
      <c r="BH16" s="149"/>
      <c r="BI16" s="132"/>
      <c r="BJ16" s="151" t="s">
        <v>274</v>
      </c>
      <c r="BK16" s="131"/>
      <c r="BL16" s="131"/>
      <c r="BM16" s="131"/>
      <c r="BN16" s="133"/>
      <c r="BO16" s="131"/>
    </row>
    <row r="17" spans="1:67" ht="40.5" customHeight="1" x14ac:dyDescent="0.3">
      <c r="A17" s="131"/>
      <c r="B17" s="131"/>
      <c r="C17" s="150"/>
      <c r="D17" s="132"/>
      <c r="E17" s="151"/>
      <c r="F17" s="131"/>
      <c r="G17" s="131"/>
      <c r="H17" s="131"/>
      <c r="I17" s="131"/>
      <c r="J17" s="133"/>
      <c r="K17" s="131"/>
      <c r="L17" s="136"/>
      <c r="M17" s="131"/>
      <c r="N17" s="131"/>
      <c r="O17" s="150"/>
      <c r="P17" s="132"/>
      <c r="Q17" s="151"/>
      <c r="R17" s="131"/>
      <c r="S17" s="131"/>
      <c r="T17" s="131"/>
      <c r="U17" s="131"/>
      <c r="V17" s="133"/>
      <c r="W17" s="131"/>
      <c r="Y17" s="131"/>
      <c r="Z17" s="131"/>
      <c r="AA17" s="150"/>
      <c r="AB17" s="132"/>
      <c r="AC17" s="151"/>
      <c r="AD17" s="131"/>
      <c r="AE17" s="131"/>
      <c r="AF17" s="131"/>
      <c r="AG17" s="133"/>
      <c r="AH17" s="131"/>
      <c r="AI17" s="136"/>
      <c r="AJ17" s="131"/>
      <c r="AK17" s="131"/>
      <c r="AL17" s="150"/>
      <c r="AM17" s="132"/>
      <c r="AN17" s="151"/>
      <c r="AO17" s="131"/>
      <c r="AP17" s="131"/>
      <c r="AQ17" s="131"/>
      <c r="AR17" s="133"/>
      <c r="AS17" s="131"/>
      <c r="AU17" s="131"/>
      <c r="AV17" s="131"/>
      <c r="AW17" s="150"/>
      <c r="AX17" s="132"/>
      <c r="AY17" s="151"/>
      <c r="AZ17" s="131"/>
      <c r="BA17" s="131"/>
      <c r="BB17" s="131"/>
      <c r="BC17" s="133"/>
      <c r="BD17" s="131"/>
      <c r="BF17" s="131"/>
      <c r="BG17" s="131"/>
      <c r="BH17" s="150"/>
      <c r="BI17" s="132"/>
      <c r="BJ17" s="151"/>
      <c r="BK17" s="131"/>
      <c r="BL17" s="131"/>
      <c r="BM17" s="131"/>
      <c r="BN17" s="133"/>
      <c r="BO17" s="131"/>
    </row>
    <row r="18" spans="1:67" ht="40.5" customHeight="1" x14ac:dyDescent="0.3">
      <c r="A18" s="131"/>
      <c r="B18" s="131"/>
      <c r="C18" s="148" t="s">
        <v>275</v>
      </c>
      <c r="D18" s="132"/>
      <c r="E18" s="151" t="s">
        <v>273</v>
      </c>
      <c r="F18" s="131"/>
      <c r="G18" s="131"/>
      <c r="H18" s="131"/>
      <c r="I18" s="131"/>
      <c r="J18" s="134"/>
      <c r="K18" s="131"/>
      <c r="L18" s="136"/>
      <c r="M18" s="131"/>
      <c r="N18" s="131"/>
      <c r="O18" s="148" t="s">
        <v>275</v>
      </c>
      <c r="P18" s="132"/>
      <c r="Q18" s="151" t="s">
        <v>273</v>
      </c>
      <c r="R18" s="131"/>
      <c r="S18" s="131"/>
      <c r="T18" s="131"/>
      <c r="U18" s="131"/>
      <c r="V18" s="134"/>
      <c r="W18" s="131"/>
      <c r="Y18" s="131"/>
      <c r="Z18" s="131"/>
      <c r="AA18" s="148" t="s">
        <v>275</v>
      </c>
      <c r="AB18" s="132"/>
      <c r="AC18" s="151" t="s">
        <v>273</v>
      </c>
      <c r="AD18" s="131"/>
      <c r="AE18" s="131"/>
      <c r="AF18" s="131"/>
      <c r="AG18" s="134"/>
      <c r="AH18" s="131"/>
      <c r="AI18" s="136"/>
      <c r="AJ18" s="131"/>
      <c r="AK18" s="131"/>
      <c r="AL18" s="148" t="s">
        <v>275</v>
      </c>
      <c r="AM18" s="132"/>
      <c r="AN18" s="151" t="s">
        <v>273</v>
      </c>
      <c r="AO18" s="131"/>
      <c r="AP18" s="131"/>
      <c r="AQ18" s="131"/>
      <c r="AR18" s="134"/>
      <c r="AS18" s="131"/>
      <c r="AU18" s="131"/>
      <c r="AV18" s="131"/>
      <c r="AW18" s="148" t="s">
        <v>275</v>
      </c>
      <c r="AX18" s="132"/>
      <c r="AY18" s="151" t="s">
        <v>273</v>
      </c>
      <c r="AZ18" s="131"/>
      <c r="BA18" s="131"/>
      <c r="BB18" s="131"/>
      <c r="BC18" s="134"/>
      <c r="BD18" s="131"/>
      <c r="BF18" s="131"/>
      <c r="BG18" s="131"/>
      <c r="BH18" s="148" t="s">
        <v>275</v>
      </c>
      <c r="BI18" s="132"/>
      <c r="BJ18" s="151" t="s">
        <v>273</v>
      </c>
      <c r="BK18" s="131"/>
      <c r="BL18" s="131"/>
      <c r="BM18" s="131"/>
      <c r="BN18" s="134"/>
      <c r="BO18" s="131"/>
    </row>
    <row r="19" spans="1:67" ht="40.5" customHeight="1" x14ac:dyDescent="0.3">
      <c r="A19" s="131"/>
      <c r="B19" s="131"/>
      <c r="C19" s="149"/>
      <c r="D19" s="132"/>
      <c r="E19" s="151" t="s">
        <v>274</v>
      </c>
      <c r="F19" s="131"/>
      <c r="G19" s="131"/>
      <c r="H19" s="131"/>
      <c r="I19" s="131"/>
      <c r="J19" s="134"/>
      <c r="K19" s="131"/>
      <c r="L19" s="136"/>
      <c r="M19" s="131"/>
      <c r="N19" s="131"/>
      <c r="O19" s="149"/>
      <c r="P19" s="132"/>
      <c r="Q19" s="151" t="s">
        <v>274</v>
      </c>
      <c r="R19" s="131"/>
      <c r="S19" s="131"/>
      <c r="T19" s="131"/>
      <c r="U19" s="131"/>
      <c r="V19" s="134"/>
      <c r="W19" s="131"/>
      <c r="Y19" s="131"/>
      <c r="Z19" s="131"/>
      <c r="AA19" s="149"/>
      <c r="AB19" s="132"/>
      <c r="AC19" s="151" t="s">
        <v>274</v>
      </c>
      <c r="AD19" s="131"/>
      <c r="AE19" s="131"/>
      <c r="AF19" s="131"/>
      <c r="AG19" s="134"/>
      <c r="AH19" s="131"/>
      <c r="AI19" s="136"/>
      <c r="AJ19" s="131"/>
      <c r="AK19" s="131"/>
      <c r="AL19" s="149"/>
      <c r="AM19" s="132"/>
      <c r="AN19" s="151" t="s">
        <v>274</v>
      </c>
      <c r="AO19" s="131"/>
      <c r="AP19" s="131"/>
      <c r="AQ19" s="131"/>
      <c r="AR19" s="134"/>
      <c r="AS19" s="131"/>
      <c r="AU19" s="131"/>
      <c r="AV19" s="131"/>
      <c r="AW19" s="149"/>
      <c r="AX19" s="132"/>
      <c r="AY19" s="151" t="s">
        <v>274</v>
      </c>
      <c r="AZ19" s="131"/>
      <c r="BA19" s="131"/>
      <c r="BB19" s="131"/>
      <c r="BC19" s="134"/>
      <c r="BD19" s="131"/>
      <c r="BF19" s="131"/>
      <c r="BG19" s="131"/>
      <c r="BH19" s="149"/>
      <c r="BI19" s="132"/>
      <c r="BJ19" s="151" t="s">
        <v>274</v>
      </c>
      <c r="BK19" s="131"/>
      <c r="BL19" s="131"/>
      <c r="BM19" s="131"/>
      <c r="BN19" s="134"/>
      <c r="BO19" s="131"/>
    </row>
    <row r="20" spans="1:67" ht="40.5" customHeight="1" x14ac:dyDescent="0.3">
      <c r="A20" s="131"/>
      <c r="B20" s="131"/>
      <c r="C20" s="150"/>
      <c r="D20" s="132"/>
      <c r="E20" s="151"/>
      <c r="F20" s="131"/>
      <c r="G20" s="131"/>
      <c r="H20" s="131"/>
      <c r="I20" s="131"/>
      <c r="J20" s="134"/>
      <c r="K20" s="131"/>
      <c r="L20" s="136"/>
      <c r="M20" s="131"/>
      <c r="N20" s="131"/>
      <c r="O20" s="150"/>
      <c r="P20" s="132"/>
      <c r="Q20" s="151"/>
      <c r="R20" s="131"/>
      <c r="S20" s="131"/>
      <c r="T20" s="131"/>
      <c r="U20" s="131"/>
      <c r="V20" s="134"/>
      <c r="W20" s="131"/>
      <c r="Y20" s="131"/>
      <c r="Z20" s="131"/>
      <c r="AA20" s="150"/>
      <c r="AB20" s="132"/>
      <c r="AC20" s="151"/>
      <c r="AD20" s="131"/>
      <c r="AE20" s="131"/>
      <c r="AF20" s="131"/>
      <c r="AG20" s="134"/>
      <c r="AH20" s="131"/>
      <c r="AI20" s="136"/>
      <c r="AJ20" s="131"/>
      <c r="AK20" s="131"/>
      <c r="AL20" s="150"/>
      <c r="AM20" s="132"/>
      <c r="AN20" s="151"/>
      <c r="AO20" s="131"/>
      <c r="AP20" s="131"/>
      <c r="AQ20" s="131"/>
      <c r="AR20" s="134"/>
      <c r="AS20" s="131"/>
      <c r="AU20" s="131"/>
      <c r="AV20" s="131"/>
      <c r="AW20" s="150"/>
      <c r="AX20" s="132"/>
      <c r="AY20" s="151"/>
      <c r="AZ20" s="131"/>
      <c r="BA20" s="131"/>
      <c r="BB20" s="131"/>
      <c r="BC20" s="134"/>
      <c r="BD20" s="131"/>
      <c r="BF20" s="131"/>
      <c r="BG20" s="131"/>
      <c r="BH20" s="150"/>
      <c r="BI20" s="132"/>
      <c r="BJ20" s="151"/>
      <c r="BK20" s="131"/>
      <c r="BL20" s="131"/>
      <c r="BM20" s="131"/>
      <c r="BN20" s="134"/>
      <c r="BO20" s="131"/>
    </row>
    <row r="21" spans="1:67" ht="40.5" customHeight="1" x14ac:dyDescent="0.3">
      <c r="A21" s="131"/>
      <c r="B21" s="131"/>
      <c r="C21" s="148" t="s">
        <v>33</v>
      </c>
      <c r="D21" s="132"/>
      <c r="E21" s="151" t="s">
        <v>273</v>
      </c>
      <c r="F21" s="131"/>
      <c r="G21" s="131"/>
      <c r="H21" s="131"/>
      <c r="I21" s="131"/>
      <c r="J21" s="131"/>
      <c r="K21" s="131"/>
      <c r="L21" s="136"/>
      <c r="M21" s="131"/>
      <c r="N21" s="131"/>
      <c r="O21" s="148" t="s">
        <v>33</v>
      </c>
      <c r="P21" s="132"/>
      <c r="Q21" s="151" t="s">
        <v>273</v>
      </c>
      <c r="R21" s="131"/>
      <c r="S21" s="131"/>
      <c r="T21" s="131"/>
      <c r="U21" s="131"/>
      <c r="V21" s="131"/>
      <c r="W21" s="131"/>
      <c r="Y21" s="131"/>
      <c r="Z21" s="131"/>
      <c r="AA21" s="148" t="s">
        <v>33</v>
      </c>
      <c r="AB21" s="132"/>
      <c r="AC21" s="151" t="s">
        <v>273</v>
      </c>
      <c r="AD21" s="131"/>
      <c r="AE21" s="131"/>
      <c r="AF21" s="131"/>
      <c r="AG21" s="131"/>
      <c r="AH21" s="131"/>
      <c r="AI21" s="136"/>
      <c r="AJ21" s="131"/>
      <c r="AK21" s="131"/>
      <c r="AL21" s="148" t="s">
        <v>33</v>
      </c>
      <c r="AM21" s="132"/>
      <c r="AN21" s="151" t="s">
        <v>273</v>
      </c>
      <c r="AO21" s="131"/>
      <c r="AP21" s="131"/>
      <c r="AQ21" s="131"/>
      <c r="AR21" s="131"/>
      <c r="AS21" s="131"/>
      <c r="AU21" s="131"/>
      <c r="AV21" s="131"/>
      <c r="AW21" s="148" t="s">
        <v>33</v>
      </c>
      <c r="AX21" s="132"/>
      <c r="AY21" s="151" t="s">
        <v>273</v>
      </c>
      <c r="AZ21" s="131"/>
      <c r="BA21" s="131"/>
      <c r="BB21" s="131"/>
      <c r="BC21" s="131"/>
      <c r="BD21" s="131"/>
      <c r="BF21" s="131"/>
      <c r="BG21" s="131"/>
      <c r="BH21" s="148" t="s">
        <v>33</v>
      </c>
      <c r="BI21" s="132"/>
      <c r="BJ21" s="151" t="s">
        <v>273</v>
      </c>
      <c r="BK21" s="131"/>
      <c r="BL21" s="131"/>
      <c r="BM21" s="131"/>
      <c r="BN21" s="131"/>
      <c r="BO21" s="131"/>
    </row>
    <row r="22" spans="1:67" ht="40.5" customHeight="1" x14ac:dyDescent="0.3">
      <c r="A22" s="131"/>
      <c r="B22" s="131"/>
      <c r="C22" s="149"/>
      <c r="D22" s="132"/>
      <c r="E22" s="151" t="s">
        <v>274</v>
      </c>
      <c r="F22" s="131"/>
      <c r="G22" s="131"/>
      <c r="H22" s="131"/>
      <c r="I22" s="131"/>
      <c r="J22" s="131"/>
      <c r="K22" s="131"/>
      <c r="L22" s="136"/>
      <c r="M22" s="131"/>
      <c r="N22" s="131"/>
      <c r="O22" s="149"/>
      <c r="P22" s="132"/>
      <c r="Q22" s="151" t="s">
        <v>274</v>
      </c>
      <c r="R22" s="131"/>
      <c r="S22" s="131"/>
      <c r="T22" s="131"/>
      <c r="U22" s="131"/>
      <c r="V22" s="131"/>
      <c r="W22" s="131"/>
      <c r="Y22" s="131"/>
      <c r="Z22" s="131"/>
      <c r="AA22" s="149"/>
      <c r="AB22" s="132"/>
      <c r="AC22" s="151" t="s">
        <v>274</v>
      </c>
      <c r="AD22" s="131"/>
      <c r="AE22" s="131"/>
      <c r="AF22" s="131"/>
      <c r="AG22" s="131"/>
      <c r="AH22" s="131"/>
      <c r="AI22" s="136"/>
      <c r="AJ22" s="131"/>
      <c r="AK22" s="131"/>
      <c r="AL22" s="149"/>
      <c r="AM22" s="132"/>
      <c r="AN22" s="151" t="s">
        <v>274</v>
      </c>
      <c r="AO22" s="131"/>
      <c r="AP22" s="131"/>
      <c r="AQ22" s="131"/>
      <c r="AR22" s="131"/>
      <c r="AS22" s="131"/>
      <c r="AU22" s="131"/>
      <c r="AV22" s="131"/>
      <c r="AW22" s="149"/>
      <c r="AX22" s="132"/>
      <c r="AY22" s="151" t="s">
        <v>274</v>
      </c>
      <c r="AZ22" s="131"/>
      <c r="BA22" s="131"/>
      <c r="BB22" s="131"/>
      <c r="BC22" s="131"/>
      <c r="BD22" s="131"/>
      <c r="BF22" s="131"/>
      <c r="BG22" s="131"/>
      <c r="BH22" s="149"/>
      <c r="BI22" s="132"/>
      <c r="BJ22" s="151" t="s">
        <v>274</v>
      </c>
      <c r="BK22" s="131"/>
      <c r="BL22" s="131"/>
      <c r="BM22" s="131"/>
      <c r="BN22" s="131"/>
      <c r="BO22" s="131"/>
    </row>
    <row r="23" spans="1:67" ht="40.5" customHeight="1" x14ac:dyDescent="0.3">
      <c r="A23" s="131"/>
      <c r="B23" s="131"/>
      <c r="C23" s="150"/>
      <c r="D23" s="132"/>
      <c r="E23" s="151"/>
      <c r="F23" s="131"/>
      <c r="G23" s="131"/>
      <c r="H23" s="131"/>
      <c r="I23" s="131"/>
      <c r="J23" s="131"/>
      <c r="K23" s="131"/>
      <c r="L23" s="136"/>
      <c r="M23" s="131"/>
      <c r="N23" s="131"/>
      <c r="O23" s="150"/>
      <c r="P23" s="132"/>
      <c r="Q23" s="151"/>
      <c r="R23" s="131"/>
      <c r="S23" s="131"/>
      <c r="T23" s="131"/>
      <c r="U23" s="131"/>
      <c r="V23" s="131"/>
      <c r="W23" s="131"/>
      <c r="Y23" s="131"/>
      <c r="Z23" s="131"/>
      <c r="AA23" s="150"/>
      <c r="AB23" s="132"/>
      <c r="AC23" s="151"/>
      <c r="AD23" s="131"/>
      <c r="AE23" s="131"/>
      <c r="AF23" s="131"/>
      <c r="AG23" s="131"/>
      <c r="AH23" s="131"/>
      <c r="AI23" s="136"/>
      <c r="AJ23" s="131"/>
      <c r="AK23" s="131"/>
      <c r="AL23" s="150"/>
      <c r="AM23" s="132"/>
      <c r="AN23" s="151"/>
      <c r="AO23" s="131"/>
      <c r="AP23" s="131"/>
      <c r="AQ23" s="131"/>
      <c r="AR23" s="131"/>
      <c r="AS23" s="131"/>
      <c r="AU23" s="131"/>
      <c r="AV23" s="131"/>
      <c r="AW23" s="150"/>
      <c r="AX23" s="132"/>
      <c r="AY23" s="151"/>
      <c r="AZ23" s="131"/>
      <c r="BA23" s="131"/>
      <c r="BB23" s="131"/>
      <c r="BC23" s="131"/>
      <c r="BD23" s="131"/>
      <c r="BF23" s="131"/>
      <c r="BG23" s="131"/>
      <c r="BH23" s="150"/>
      <c r="BI23" s="132"/>
      <c r="BJ23" s="151"/>
      <c r="BK23" s="131"/>
      <c r="BL23" s="131"/>
      <c r="BM23" s="131"/>
      <c r="BN23" s="131"/>
      <c r="BO23" s="131"/>
    </row>
    <row r="24" spans="1:67" ht="40.5" customHeight="1" x14ac:dyDescent="0.3">
      <c r="A24" s="136"/>
      <c r="B24" s="136"/>
      <c r="C24" s="136"/>
      <c r="D24" s="137"/>
      <c r="E24" s="136"/>
      <c r="F24" s="136"/>
      <c r="G24" s="136"/>
      <c r="H24" s="136"/>
      <c r="I24" s="136"/>
      <c r="J24" s="136"/>
      <c r="K24" s="136"/>
      <c r="L24" s="136"/>
      <c r="M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  <c r="AN24" s="136"/>
      <c r="AO24" s="136"/>
      <c r="AP24" s="136"/>
      <c r="AQ24" s="136"/>
      <c r="AR24" s="136"/>
      <c r="AS24" s="136"/>
    </row>
    <row r="25" spans="1:67" ht="40.5" customHeight="1" x14ac:dyDescent="0.3">
      <c r="A25" s="242" t="s">
        <v>304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7"/>
      <c r="N25" s="153"/>
      <c r="O25" s="153"/>
      <c r="P25" s="154"/>
      <c r="Q25" s="153"/>
      <c r="R25" s="153"/>
      <c r="S25" s="242" t="s">
        <v>305</v>
      </c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7"/>
      <c r="AF25" s="153"/>
      <c r="AG25" s="153"/>
      <c r="AH25" s="153"/>
      <c r="AI25" s="153"/>
      <c r="AJ25" s="243" t="s">
        <v>306</v>
      </c>
      <c r="AK25" s="233"/>
      <c r="AL25" s="233"/>
      <c r="AM25" s="233"/>
      <c r="AN25" s="233"/>
      <c r="AO25" s="233"/>
      <c r="AP25" s="233"/>
      <c r="AQ25" s="233"/>
      <c r="AR25" s="233"/>
      <c r="AS25" s="233"/>
      <c r="AT25" s="153"/>
      <c r="AU25" s="243" t="s">
        <v>307</v>
      </c>
      <c r="AV25" s="233"/>
      <c r="AW25" s="233"/>
      <c r="AX25" s="233"/>
      <c r="AY25" s="233"/>
      <c r="AZ25" s="233"/>
      <c r="BA25" s="233"/>
      <c r="BB25" s="233"/>
      <c r="BC25" s="233"/>
      <c r="BD25" s="233"/>
    </row>
    <row r="26" spans="1:67" ht="87.5" customHeight="1" x14ac:dyDescent="0.3">
      <c r="A26" s="143" t="s">
        <v>260</v>
      </c>
      <c r="B26" s="143" t="s">
        <v>261</v>
      </c>
      <c r="C26" s="143" t="s">
        <v>262</v>
      </c>
      <c r="D26" s="144" t="s">
        <v>263</v>
      </c>
      <c r="E26" s="143" t="s">
        <v>264</v>
      </c>
      <c r="F26" s="143" t="s">
        <v>265</v>
      </c>
      <c r="G26" s="143" t="s">
        <v>266</v>
      </c>
      <c r="H26" s="143" t="s">
        <v>267</v>
      </c>
      <c r="I26" s="143" t="s">
        <v>280</v>
      </c>
      <c r="J26" s="143" t="s">
        <v>282</v>
      </c>
      <c r="K26" s="143" t="s">
        <v>270</v>
      </c>
      <c r="L26" s="143" t="s">
        <v>271</v>
      </c>
      <c r="M26" s="143" t="s">
        <v>272</v>
      </c>
      <c r="N26" s="153"/>
      <c r="O26" s="153"/>
      <c r="P26" s="154"/>
      <c r="Q26" s="153"/>
      <c r="R26" s="153"/>
      <c r="S26" s="143" t="s">
        <v>260</v>
      </c>
      <c r="T26" s="143" t="s">
        <v>261</v>
      </c>
      <c r="U26" s="143" t="s">
        <v>262</v>
      </c>
      <c r="V26" s="143" t="s">
        <v>263</v>
      </c>
      <c r="W26" s="143" t="s">
        <v>264</v>
      </c>
      <c r="X26" s="143" t="s">
        <v>265</v>
      </c>
      <c r="Y26" s="143" t="s">
        <v>266</v>
      </c>
      <c r="Z26" s="143" t="s">
        <v>267</v>
      </c>
      <c r="AA26" s="143" t="s">
        <v>280</v>
      </c>
      <c r="AB26" s="143" t="s">
        <v>282</v>
      </c>
      <c r="AC26" s="143" t="s">
        <v>270</v>
      </c>
      <c r="AD26" s="143" t="s">
        <v>271</v>
      </c>
      <c r="AE26" s="143" t="s">
        <v>272</v>
      </c>
      <c r="AF26" s="153"/>
      <c r="AG26" s="153"/>
      <c r="AH26" s="153"/>
      <c r="AI26" s="153"/>
      <c r="AJ26" s="143" t="s">
        <v>260</v>
      </c>
      <c r="AK26" s="143" t="s">
        <v>261</v>
      </c>
      <c r="AL26" s="143" t="s">
        <v>262</v>
      </c>
      <c r="AM26" s="144" t="s">
        <v>263</v>
      </c>
      <c r="AN26" s="143" t="s">
        <v>264</v>
      </c>
      <c r="AO26" s="143" t="s">
        <v>267</v>
      </c>
      <c r="AP26" s="143" t="s">
        <v>268</v>
      </c>
      <c r="AQ26" s="143" t="s">
        <v>270</v>
      </c>
      <c r="AR26" s="143" t="s">
        <v>271</v>
      </c>
      <c r="AS26" s="143" t="s">
        <v>272</v>
      </c>
      <c r="AT26" s="153"/>
      <c r="AU26" s="143" t="s">
        <v>260</v>
      </c>
      <c r="AV26" s="143" t="s">
        <v>261</v>
      </c>
      <c r="AW26" s="143" t="s">
        <v>262</v>
      </c>
      <c r="AX26" s="144" t="s">
        <v>263</v>
      </c>
      <c r="AY26" s="143" t="s">
        <v>264</v>
      </c>
      <c r="AZ26" s="143" t="s">
        <v>267</v>
      </c>
      <c r="BA26" s="143" t="s">
        <v>268</v>
      </c>
      <c r="BB26" s="143" t="s">
        <v>270</v>
      </c>
      <c r="BC26" s="143" t="s">
        <v>271</v>
      </c>
      <c r="BD26" s="143" t="s">
        <v>272</v>
      </c>
    </row>
    <row r="27" spans="1:67" ht="40.5" customHeight="1" x14ac:dyDescent="0.3">
      <c r="A27" s="131"/>
      <c r="B27" s="131"/>
      <c r="C27" s="145" t="s">
        <v>34</v>
      </c>
      <c r="D27" s="132"/>
      <c r="E27" s="151" t="s">
        <v>273</v>
      </c>
      <c r="F27" s="131"/>
      <c r="G27" s="131"/>
      <c r="H27" s="131"/>
      <c r="I27" s="131"/>
      <c r="J27" s="131"/>
      <c r="K27" s="131"/>
      <c r="L27" s="133"/>
      <c r="M27" s="131"/>
      <c r="S27" s="131"/>
      <c r="T27" s="131"/>
      <c r="U27" s="145" t="s">
        <v>34</v>
      </c>
      <c r="V27" s="132"/>
      <c r="W27" s="151" t="s">
        <v>273</v>
      </c>
      <c r="X27" s="131"/>
      <c r="Y27" s="131"/>
      <c r="Z27" s="131"/>
      <c r="AA27" s="131"/>
      <c r="AB27" s="131"/>
      <c r="AC27" s="131"/>
      <c r="AD27" s="133"/>
      <c r="AE27" s="131"/>
      <c r="AJ27" s="156"/>
      <c r="AK27" s="156"/>
      <c r="AL27" s="145" t="s">
        <v>34</v>
      </c>
      <c r="AM27" s="132"/>
      <c r="AN27" s="151" t="s">
        <v>273</v>
      </c>
      <c r="AO27" s="156"/>
      <c r="AP27" s="156"/>
      <c r="AQ27" s="156"/>
      <c r="AR27" s="133"/>
      <c r="AS27" s="156"/>
      <c r="AU27" s="131"/>
      <c r="AV27" s="131"/>
      <c r="AW27" s="145" t="s">
        <v>34</v>
      </c>
      <c r="AX27" s="132"/>
      <c r="AY27" s="151" t="s">
        <v>273</v>
      </c>
      <c r="AZ27" s="131"/>
      <c r="BA27" s="131"/>
      <c r="BB27" s="131"/>
      <c r="BC27" s="133"/>
      <c r="BD27" s="131"/>
    </row>
    <row r="28" spans="1:67" ht="40.5" customHeight="1" x14ac:dyDescent="0.3">
      <c r="A28" s="131"/>
      <c r="B28" s="131"/>
      <c r="C28" s="146"/>
      <c r="D28" s="132"/>
      <c r="E28" s="151" t="s">
        <v>274</v>
      </c>
      <c r="F28" s="131"/>
      <c r="G28" s="131"/>
      <c r="H28" s="131"/>
      <c r="I28" s="131"/>
      <c r="J28" s="131"/>
      <c r="K28" s="131"/>
      <c r="L28" s="133"/>
      <c r="M28" s="131"/>
      <c r="S28" s="131"/>
      <c r="T28" s="131"/>
      <c r="U28" s="146"/>
      <c r="V28" s="132"/>
      <c r="W28" s="151" t="s">
        <v>274</v>
      </c>
      <c r="X28" s="131"/>
      <c r="Y28" s="131"/>
      <c r="Z28" s="131"/>
      <c r="AA28" s="131"/>
      <c r="AB28" s="131"/>
      <c r="AC28" s="131"/>
      <c r="AD28" s="133"/>
      <c r="AE28" s="131"/>
      <c r="AJ28" s="156"/>
      <c r="AK28" s="156"/>
      <c r="AL28" s="146"/>
      <c r="AM28" s="132"/>
      <c r="AN28" s="151" t="s">
        <v>274</v>
      </c>
      <c r="AO28" s="156"/>
      <c r="AP28" s="156"/>
      <c r="AQ28" s="156"/>
      <c r="AR28" s="133"/>
      <c r="AS28" s="156"/>
      <c r="AU28" s="131"/>
      <c r="AV28" s="131"/>
      <c r="AW28" s="146"/>
      <c r="AX28" s="132"/>
      <c r="AY28" s="151" t="s">
        <v>274</v>
      </c>
      <c r="AZ28" s="131"/>
      <c r="BA28" s="131"/>
      <c r="BB28" s="131"/>
      <c r="BC28" s="133"/>
      <c r="BD28" s="131"/>
    </row>
    <row r="29" spans="1:67" ht="40.5" customHeight="1" x14ac:dyDescent="0.3">
      <c r="A29" s="131"/>
      <c r="B29" s="131"/>
      <c r="C29" s="147"/>
      <c r="D29" s="132"/>
      <c r="E29" s="151"/>
      <c r="F29" s="131"/>
      <c r="G29" s="131"/>
      <c r="H29" s="131"/>
      <c r="I29" s="131"/>
      <c r="J29" s="131"/>
      <c r="K29" s="131"/>
      <c r="L29" s="133"/>
      <c r="M29" s="131"/>
      <c r="S29" s="131"/>
      <c r="T29" s="131"/>
      <c r="U29" s="147"/>
      <c r="V29" s="132"/>
      <c r="W29" s="151"/>
      <c r="X29" s="131"/>
      <c r="Y29" s="131"/>
      <c r="Z29" s="131"/>
      <c r="AA29" s="131"/>
      <c r="AB29" s="131"/>
      <c r="AC29" s="131"/>
      <c r="AD29" s="133"/>
      <c r="AE29" s="131"/>
      <c r="AJ29" s="131"/>
      <c r="AK29" s="131"/>
      <c r="AL29" s="147"/>
      <c r="AM29" s="132"/>
      <c r="AN29" s="151"/>
      <c r="AO29" s="131"/>
      <c r="AP29" s="131"/>
      <c r="AQ29" s="131"/>
      <c r="AR29" s="133"/>
      <c r="AS29" s="131"/>
      <c r="AU29" s="131"/>
      <c r="AV29" s="131"/>
      <c r="AW29" s="147"/>
      <c r="AX29" s="132"/>
      <c r="AY29" s="151"/>
      <c r="AZ29" s="131"/>
      <c r="BA29" s="131"/>
      <c r="BB29" s="131"/>
      <c r="BC29" s="133"/>
      <c r="BD29" s="131"/>
    </row>
    <row r="30" spans="1:67" ht="40.5" customHeight="1" x14ac:dyDescent="0.3">
      <c r="A30" s="131"/>
      <c r="B30" s="131"/>
      <c r="C30" s="145" t="s">
        <v>25</v>
      </c>
      <c r="D30" s="132"/>
      <c r="E30" s="151" t="s">
        <v>273</v>
      </c>
      <c r="F30" s="131"/>
      <c r="G30" s="131"/>
      <c r="H30" s="131"/>
      <c r="I30" s="131"/>
      <c r="J30" s="131"/>
      <c r="K30" s="131"/>
      <c r="L30" s="134"/>
      <c r="M30" s="131"/>
      <c r="S30" s="131"/>
      <c r="T30" s="131"/>
      <c r="U30" s="145" t="s">
        <v>25</v>
      </c>
      <c r="V30" s="132"/>
      <c r="W30" s="151" t="s">
        <v>273</v>
      </c>
      <c r="X30" s="131"/>
      <c r="Y30" s="131"/>
      <c r="Z30" s="131"/>
      <c r="AA30" s="131"/>
      <c r="AB30" s="131"/>
      <c r="AC30" s="131"/>
      <c r="AD30" s="134"/>
      <c r="AE30" s="131"/>
      <c r="AJ30" s="131"/>
      <c r="AK30" s="131"/>
      <c r="AL30" s="145" t="s">
        <v>25</v>
      </c>
      <c r="AM30" s="132"/>
      <c r="AN30" s="151" t="s">
        <v>273</v>
      </c>
      <c r="AO30" s="131"/>
      <c r="AP30" s="131"/>
      <c r="AQ30" s="131"/>
      <c r="AR30" s="134"/>
      <c r="AS30" s="131"/>
      <c r="AU30" s="131"/>
      <c r="AV30" s="131"/>
      <c r="AW30" s="145" t="s">
        <v>25</v>
      </c>
      <c r="AX30" s="132"/>
      <c r="AY30" s="151" t="s">
        <v>273</v>
      </c>
      <c r="AZ30" s="131"/>
      <c r="BA30" s="131"/>
      <c r="BB30" s="131"/>
      <c r="BC30" s="134"/>
      <c r="BD30" s="131"/>
    </row>
    <row r="31" spans="1:67" ht="40.5" customHeight="1" x14ac:dyDescent="0.3">
      <c r="A31" s="131"/>
      <c r="B31" s="131"/>
      <c r="C31" s="146"/>
      <c r="D31" s="132"/>
      <c r="E31" s="151" t="s">
        <v>274</v>
      </c>
      <c r="F31" s="131"/>
      <c r="G31" s="131"/>
      <c r="H31" s="131"/>
      <c r="I31" s="131"/>
      <c r="J31" s="131"/>
      <c r="K31" s="131"/>
      <c r="L31" s="134"/>
      <c r="M31" s="131"/>
      <c r="S31" s="131"/>
      <c r="T31" s="131"/>
      <c r="U31" s="146"/>
      <c r="V31" s="132"/>
      <c r="W31" s="151" t="s">
        <v>274</v>
      </c>
      <c r="X31" s="131"/>
      <c r="Y31" s="131"/>
      <c r="Z31" s="131"/>
      <c r="AA31" s="131"/>
      <c r="AB31" s="131"/>
      <c r="AC31" s="131"/>
      <c r="AD31" s="134"/>
      <c r="AE31" s="131"/>
      <c r="AJ31" s="131"/>
      <c r="AK31" s="131"/>
      <c r="AL31" s="146"/>
      <c r="AM31" s="132"/>
      <c r="AN31" s="151" t="s">
        <v>274</v>
      </c>
      <c r="AO31" s="131"/>
      <c r="AP31" s="131"/>
      <c r="AQ31" s="131"/>
      <c r="AR31" s="134"/>
      <c r="AS31" s="131"/>
      <c r="AU31" s="131"/>
      <c r="AV31" s="131"/>
      <c r="AW31" s="146"/>
      <c r="AX31" s="132"/>
      <c r="AY31" s="151" t="s">
        <v>274</v>
      </c>
      <c r="AZ31" s="131"/>
      <c r="BA31" s="131"/>
      <c r="BB31" s="131"/>
      <c r="BC31" s="134"/>
      <c r="BD31" s="131"/>
    </row>
    <row r="32" spans="1:67" ht="40.5" customHeight="1" x14ac:dyDescent="0.3">
      <c r="A32" s="131"/>
      <c r="B32" s="131"/>
      <c r="C32" s="147"/>
      <c r="D32" s="132"/>
      <c r="E32" s="151"/>
      <c r="F32" s="131"/>
      <c r="G32" s="131"/>
      <c r="H32" s="131"/>
      <c r="I32" s="131"/>
      <c r="J32" s="131"/>
      <c r="K32" s="131"/>
      <c r="L32" s="134"/>
      <c r="M32" s="131"/>
      <c r="S32" s="131"/>
      <c r="T32" s="131"/>
      <c r="U32" s="147"/>
      <c r="V32" s="132"/>
      <c r="W32" s="151"/>
      <c r="X32" s="131"/>
      <c r="Y32" s="131"/>
      <c r="Z32" s="131"/>
      <c r="AA32" s="131"/>
      <c r="AB32" s="131"/>
      <c r="AC32" s="131"/>
      <c r="AD32" s="134"/>
      <c r="AE32" s="131"/>
      <c r="AJ32" s="131"/>
      <c r="AK32" s="131"/>
      <c r="AL32" s="147"/>
      <c r="AM32" s="132"/>
      <c r="AN32" s="151"/>
      <c r="AO32" s="131"/>
      <c r="AP32" s="131"/>
      <c r="AQ32" s="131"/>
      <c r="AR32" s="134"/>
      <c r="AS32" s="131"/>
      <c r="AU32" s="131"/>
      <c r="AV32" s="131"/>
      <c r="AW32" s="147"/>
      <c r="AX32" s="132"/>
      <c r="AY32" s="151"/>
      <c r="AZ32" s="131"/>
      <c r="BA32" s="131"/>
      <c r="BB32" s="131"/>
      <c r="BC32" s="134"/>
      <c r="BD32" s="131"/>
    </row>
    <row r="33" spans="1:56" ht="40.5" customHeight="1" x14ac:dyDescent="0.3">
      <c r="A33" s="131"/>
      <c r="B33" s="131"/>
      <c r="C33" s="148" t="s">
        <v>29</v>
      </c>
      <c r="D33" s="132"/>
      <c r="E33" s="151" t="s">
        <v>273</v>
      </c>
      <c r="F33" s="131"/>
      <c r="G33" s="131"/>
      <c r="H33" s="131"/>
      <c r="I33" s="131"/>
      <c r="J33" s="131"/>
      <c r="K33" s="131"/>
      <c r="L33" s="133"/>
      <c r="M33" s="131"/>
      <c r="S33" s="131"/>
      <c r="T33" s="131"/>
      <c r="U33" s="148" t="s">
        <v>29</v>
      </c>
      <c r="V33" s="132"/>
      <c r="W33" s="151" t="s">
        <v>273</v>
      </c>
      <c r="X33" s="131"/>
      <c r="Y33" s="131"/>
      <c r="Z33" s="131"/>
      <c r="AA33" s="131"/>
      <c r="AB33" s="131"/>
      <c r="AC33" s="131"/>
      <c r="AD33" s="133"/>
      <c r="AE33" s="131"/>
      <c r="AJ33" s="131"/>
      <c r="AK33" s="131"/>
      <c r="AL33" s="148" t="s">
        <v>29</v>
      </c>
      <c r="AM33" s="132"/>
      <c r="AN33" s="151" t="s">
        <v>273</v>
      </c>
      <c r="AO33" s="131"/>
      <c r="AP33" s="131"/>
      <c r="AQ33" s="131"/>
      <c r="AR33" s="133"/>
      <c r="AS33" s="131"/>
      <c r="AU33" s="131"/>
      <c r="AV33" s="131"/>
      <c r="AW33" s="148" t="s">
        <v>29</v>
      </c>
      <c r="AX33" s="132"/>
      <c r="AY33" s="151" t="s">
        <v>273</v>
      </c>
      <c r="AZ33" s="131"/>
      <c r="BA33" s="131"/>
      <c r="BB33" s="131"/>
      <c r="BC33" s="133"/>
      <c r="BD33" s="131"/>
    </row>
    <row r="34" spans="1:56" ht="40.5" customHeight="1" x14ac:dyDescent="0.3">
      <c r="A34" s="131"/>
      <c r="B34" s="131"/>
      <c r="C34" s="149"/>
      <c r="D34" s="132"/>
      <c r="E34" s="151" t="s">
        <v>274</v>
      </c>
      <c r="F34" s="131"/>
      <c r="G34" s="131"/>
      <c r="H34" s="131"/>
      <c r="I34" s="131"/>
      <c r="J34" s="131"/>
      <c r="K34" s="131"/>
      <c r="L34" s="133"/>
      <c r="M34" s="131"/>
      <c r="S34" s="131"/>
      <c r="T34" s="131"/>
      <c r="U34" s="149"/>
      <c r="V34" s="132"/>
      <c r="W34" s="151" t="s">
        <v>274</v>
      </c>
      <c r="X34" s="131"/>
      <c r="Y34" s="131"/>
      <c r="Z34" s="131"/>
      <c r="AA34" s="131"/>
      <c r="AB34" s="131"/>
      <c r="AC34" s="131"/>
      <c r="AD34" s="133"/>
      <c r="AE34" s="131"/>
      <c r="AJ34" s="131"/>
      <c r="AK34" s="131"/>
      <c r="AL34" s="149"/>
      <c r="AM34" s="132"/>
      <c r="AN34" s="151" t="s">
        <v>274</v>
      </c>
      <c r="AO34" s="131"/>
      <c r="AP34" s="131"/>
      <c r="AQ34" s="131"/>
      <c r="AR34" s="133"/>
      <c r="AS34" s="131"/>
      <c r="AU34" s="131"/>
      <c r="AV34" s="131"/>
      <c r="AW34" s="149"/>
      <c r="AX34" s="132"/>
      <c r="AY34" s="151" t="s">
        <v>274</v>
      </c>
      <c r="AZ34" s="131"/>
      <c r="BA34" s="131"/>
      <c r="BB34" s="131"/>
      <c r="BC34" s="133"/>
      <c r="BD34" s="131"/>
    </row>
    <row r="35" spans="1:56" ht="40.5" customHeight="1" x14ac:dyDescent="0.3">
      <c r="A35" s="131"/>
      <c r="B35" s="131"/>
      <c r="C35" s="150"/>
      <c r="D35" s="132"/>
      <c r="E35" s="151"/>
      <c r="F35" s="131"/>
      <c r="G35" s="131"/>
      <c r="H35" s="131"/>
      <c r="I35" s="131"/>
      <c r="J35" s="131"/>
      <c r="K35" s="131"/>
      <c r="L35" s="133"/>
      <c r="M35" s="131"/>
      <c r="S35" s="131"/>
      <c r="T35" s="131"/>
      <c r="U35" s="150"/>
      <c r="V35" s="132"/>
      <c r="W35" s="151"/>
      <c r="X35" s="131"/>
      <c r="Y35" s="131"/>
      <c r="Z35" s="131"/>
      <c r="AA35" s="131"/>
      <c r="AB35" s="131"/>
      <c r="AC35" s="131"/>
      <c r="AD35" s="133"/>
      <c r="AE35" s="131"/>
      <c r="AJ35" s="131"/>
      <c r="AK35" s="131"/>
      <c r="AL35" s="150"/>
      <c r="AM35" s="132"/>
      <c r="AN35" s="151"/>
      <c r="AO35" s="131"/>
      <c r="AP35" s="131"/>
      <c r="AQ35" s="131"/>
      <c r="AR35" s="133"/>
      <c r="AS35" s="131"/>
      <c r="AU35" s="131"/>
      <c r="AV35" s="131"/>
      <c r="AW35" s="150"/>
      <c r="AX35" s="132"/>
      <c r="AY35" s="151"/>
      <c r="AZ35" s="131"/>
      <c r="BA35" s="131"/>
      <c r="BB35" s="131"/>
      <c r="BC35" s="133"/>
      <c r="BD35" s="131"/>
    </row>
    <row r="36" spans="1:56" ht="40.5" customHeight="1" x14ac:dyDescent="0.3">
      <c r="A36" s="131"/>
      <c r="B36" s="131"/>
      <c r="C36" s="148" t="s">
        <v>30</v>
      </c>
      <c r="D36" s="132"/>
      <c r="E36" s="151" t="s">
        <v>273</v>
      </c>
      <c r="F36" s="131"/>
      <c r="G36" s="131"/>
      <c r="H36" s="131"/>
      <c r="I36" s="131"/>
      <c r="J36" s="131"/>
      <c r="K36" s="131"/>
      <c r="L36" s="134"/>
      <c r="M36" s="131"/>
      <c r="S36" s="131"/>
      <c r="T36" s="131"/>
      <c r="U36" s="148" t="s">
        <v>30</v>
      </c>
      <c r="V36" s="132"/>
      <c r="W36" s="151" t="s">
        <v>273</v>
      </c>
      <c r="X36" s="131"/>
      <c r="Y36" s="131"/>
      <c r="Z36" s="131"/>
      <c r="AA36" s="131"/>
      <c r="AB36" s="131"/>
      <c r="AC36" s="131"/>
      <c r="AD36" s="134"/>
      <c r="AE36" s="131"/>
      <c r="AJ36" s="131"/>
      <c r="AK36" s="131"/>
      <c r="AL36" s="148" t="s">
        <v>30</v>
      </c>
      <c r="AM36" s="132"/>
      <c r="AN36" s="151" t="s">
        <v>273</v>
      </c>
      <c r="AO36" s="131"/>
      <c r="AP36" s="131"/>
      <c r="AQ36" s="131"/>
      <c r="AR36" s="134"/>
      <c r="AS36" s="131"/>
      <c r="AU36" s="131"/>
      <c r="AV36" s="131"/>
      <c r="AW36" s="148" t="s">
        <v>30</v>
      </c>
      <c r="AX36" s="132"/>
      <c r="AY36" s="151" t="s">
        <v>273</v>
      </c>
      <c r="AZ36" s="131"/>
      <c r="BA36" s="131"/>
      <c r="BB36" s="131"/>
      <c r="BC36" s="134"/>
      <c r="BD36" s="131"/>
    </row>
    <row r="37" spans="1:56" ht="40.5" customHeight="1" x14ac:dyDescent="0.3">
      <c r="A37" s="131"/>
      <c r="B37" s="131"/>
      <c r="C37" s="149"/>
      <c r="D37" s="132"/>
      <c r="E37" s="151" t="s">
        <v>274</v>
      </c>
      <c r="F37" s="131"/>
      <c r="G37" s="131"/>
      <c r="H37" s="131"/>
      <c r="I37" s="131"/>
      <c r="J37" s="131"/>
      <c r="K37" s="131"/>
      <c r="L37" s="134"/>
      <c r="M37" s="131"/>
      <c r="S37" s="131"/>
      <c r="T37" s="131"/>
      <c r="U37" s="149"/>
      <c r="V37" s="132"/>
      <c r="W37" s="151" t="s">
        <v>274</v>
      </c>
      <c r="X37" s="131"/>
      <c r="Y37" s="131"/>
      <c r="Z37" s="131"/>
      <c r="AA37" s="131"/>
      <c r="AB37" s="131"/>
      <c r="AC37" s="131"/>
      <c r="AD37" s="134"/>
      <c r="AE37" s="131"/>
      <c r="AJ37" s="131"/>
      <c r="AK37" s="131"/>
      <c r="AL37" s="149"/>
      <c r="AM37" s="132"/>
      <c r="AN37" s="151" t="s">
        <v>274</v>
      </c>
      <c r="AO37" s="131"/>
      <c r="AP37" s="131"/>
      <c r="AQ37" s="131"/>
      <c r="AR37" s="134"/>
      <c r="AS37" s="131"/>
      <c r="AU37" s="131"/>
      <c r="AV37" s="131"/>
      <c r="AW37" s="149"/>
      <c r="AX37" s="132"/>
      <c r="AY37" s="151" t="s">
        <v>274</v>
      </c>
      <c r="AZ37" s="131"/>
      <c r="BA37" s="131"/>
      <c r="BB37" s="131"/>
      <c r="BC37" s="134"/>
      <c r="BD37" s="131"/>
    </row>
    <row r="38" spans="1:56" ht="40.5" customHeight="1" x14ac:dyDescent="0.3">
      <c r="A38" s="131"/>
      <c r="B38" s="131"/>
      <c r="C38" s="150"/>
      <c r="D38" s="132"/>
      <c r="E38" s="151"/>
      <c r="F38" s="131"/>
      <c r="G38" s="131"/>
      <c r="H38" s="131"/>
      <c r="I38" s="131"/>
      <c r="J38" s="131"/>
      <c r="K38" s="131"/>
      <c r="L38" s="134"/>
      <c r="M38" s="131"/>
      <c r="S38" s="131"/>
      <c r="T38" s="131"/>
      <c r="U38" s="150"/>
      <c r="V38" s="132"/>
      <c r="W38" s="151"/>
      <c r="X38" s="131"/>
      <c r="Y38" s="131"/>
      <c r="Z38" s="131"/>
      <c r="AA38" s="131"/>
      <c r="AB38" s="131"/>
      <c r="AC38" s="131"/>
      <c r="AD38" s="134"/>
      <c r="AE38" s="131"/>
      <c r="AJ38" s="131"/>
      <c r="AK38" s="131"/>
      <c r="AL38" s="150"/>
      <c r="AM38" s="132"/>
      <c r="AN38" s="151"/>
      <c r="AO38" s="131"/>
      <c r="AP38" s="131"/>
      <c r="AQ38" s="131"/>
      <c r="AR38" s="134"/>
      <c r="AS38" s="131"/>
      <c r="AU38" s="131"/>
      <c r="AV38" s="131"/>
      <c r="AW38" s="150"/>
      <c r="AX38" s="132"/>
      <c r="AY38" s="151"/>
      <c r="AZ38" s="131"/>
      <c r="BA38" s="131"/>
      <c r="BB38" s="131"/>
      <c r="BC38" s="134"/>
      <c r="BD38" s="131"/>
    </row>
    <row r="39" spans="1:56" ht="40.5" customHeight="1" x14ac:dyDescent="0.3">
      <c r="A39" s="131"/>
      <c r="B39" s="131"/>
      <c r="C39" s="148" t="s">
        <v>31</v>
      </c>
      <c r="D39" s="132"/>
      <c r="E39" s="151" t="s">
        <v>273</v>
      </c>
      <c r="F39" s="131"/>
      <c r="G39" s="131"/>
      <c r="H39" s="131"/>
      <c r="I39" s="131"/>
      <c r="J39" s="131"/>
      <c r="K39" s="131"/>
      <c r="L39" s="133"/>
      <c r="M39" s="131"/>
      <c r="S39" s="131"/>
      <c r="T39" s="131"/>
      <c r="U39" s="148" t="s">
        <v>31</v>
      </c>
      <c r="V39" s="132"/>
      <c r="W39" s="151" t="s">
        <v>273</v>
      </c>
      <c r="X39" s="131"/>
      <c r="Y39" s="131"/>
      <c r="Z39" s="131"/>
      <c r="AA39" s="131"/>
      <c r="AB39" s="131"/>
      <c r="AC39" s="131"/>
      <c r="AD39" s="133"/>
      <c r="AE39" s="131"/>
      <c r="AJ39" s="131"/>
      <c r="AK39" s="131"/>
      <c r="AL39" s="148" t="s">
        <v>31</v>
      </c>
      <c r="AM39" s="132"/>
      <c r="AN39" s="151" t="s">
        <v>273</v>
      </c>
      <c r="AO39" s="131"/>
      <c r="AP39" s="131"/>
      <c r="AQ39" s="131"/>
      <c r="AR39" s="133"/>
      <c r="AS39" s="131"/>
      <c r="AU39" s="131"/>
      <c r="AV39" s="131"/>
      <c r="AW39" s="148" t="s">
        <v>31</v>
      </c>
      <c r="AX39" s="132"/>
      <c r="AY39" s="151" t="s">
        <v>273</v>
      </c>
      <c r="AZ39" s="131"/>
      <c r="BA39" s="131"/>
      <c r="BB39" s="131"/>
      <c r="BC39" s="133"/>
      <c r="BD39" s="131"/>
    </row>
    <row r="40" spans="1:56" ht="40.5" customHeight="1" x14ac:dyDescent="0.3">
      <c r="A40" s="131"/>
      <c r="B40" s="131"/>
      <c r="C40" s="149"/>
      <c r="D40" s="132"/>
      <c r="E40" s="151" t="s">
        <v>274</v>
      </c>
      <c r="F40" s="131"/>
      <c r="G40" s="131"/>
      <c r="H40" s="131"/>
      <c r="I40" s="131"/>
      <c r="J40" s="131"/>
      <c r="K40" s="131"/>
      <c r="L40" s="133"/>
      <c r="M40" s="131"/>
      <c r="S40" s="131"/>
      <c r="T40" s="131"/>
      <c r="U40" s="149"/>
      <c r="V40" s="132"/>
      <c r="W40" s="151" t="s">
        <v>274</v>
      </c>
      <c r="X40" s="131"/>
      <c r="Y40" s="131"/>
      <c r="Z40" s="131"/>
      <c r="AA40" s="131"/>
      <c r="AB40" s="131"/>
      <c r="AC40" s="131"/>
      <c r="AD40" s="133"/>
      <c r="AE40" s="131"/>
      <c r="AJ40" s="131"/>
      <c r="AK40" s="131"/>
      <c r="AL40" s="149"/>
      <c r="AM40" s="132"/>
      <c r="AN40" s="151" t="s">
        <v>274</v>
      </c>
      <c r="AO40" s="131"/>
      <c r="AP40" s="131"/>
      <c r="AQ40" s="131"/>
      <c r="AR40" s="133"/>
      <c r="AS40" s="131"/>
      <c r="AU40" s="131"/>
      <c r="AV40" s="131"/>
      <c r="AW40" s="149"/>
      <c r="AX40" s="132"/>
      <c r="AY40" s="151" t="s">
        <v>274</v>
      </c>
      <c r="AZ40" s="131"/>
      <c r="BA40" s="131"/>
      <c r="BB40" s="131"/>
      <c r="BC40" s="133"/>
      <c r="BD40" s="131"/>
    </row>
    <row r="41" spans="1:56" ht="40.5" customHeight="1" x14ac:dyDescent="0.3">
      <c r="A41" s="131"/>
      <c r="B41" s="131"/>
      <c r="C41" s="150"/>
      <c r="D41" s="132"/>
      <c r="E41" s="151"/>
      <c r="F41" s="131"/>
      <c r="G41" s="131"/>
      <c r="H41" s="131"/>
      <c r="I41" s="131"/>
      <c r="J41" s="131"/>
      <c r="K41" s="131"/>
      <c r="L41" s="133"/>
      <c r="M41" s="131"/>
      <c r="S41" s="131"/>
      <c r="T41" s="131"/>
      <c r="U41" s="150"/>
      <c r="V41" s="132"/>
      <c r="W41" s="151"/>
      <c r="X41" s="131"/>
      <c r="Y41" s="131"/>
      <c r="Z41" s="131"/>
      <c r="AA41" s="131"/>
      <c r="AB41" s="131"/>
      <c r="AC41" s="131"/>
      <c r="AD41" s="133"/>
      <c r="AE41" s="131"/>
      <c r="AJ41" s="131"/>
      <c r="AK41" s="131"/>
      <c r="AL41" s="150"/>
      <c r="AM41" s="132"/>
      <c r="AN41" s="151"/>
      <c r="AO41" s="131"/>
      <c r="AP41" s="131"/>
      <c r="AQ41" s="131"/>
      <c r="AR41" s="133"/>
      <c r="AS41" s="131"/>
      <c r="AU41" s="131"/>
      <c r="AV41" s="131"/>
      <c r="AW41" s="150"/>
      <c r="AX41" s="132"/>
      <c r="AY41" s="151"/>
      <c r="AZ41" s="131"/>
      <c r="BA41" s="131"/>
      <c r="BB41" s="131"/>
      <c r="BC41" s="133"/>
      <c r="BD41" s="131"/>
    </row>
    <row r="42" spans="1:56" ht="40.5" customHeight="1" x14ac:dyDescent="0.3">
      <c r="A42" s="131"/>
      <c r="B42" s="131"/>
      <c r="C42" s="148" t="s">
        <v>275</v>
      </c>
      <c r="D42" s="132"/>
      <c r="E42" s="151" t="s">
        <v>273</v>
      </c>
      <c r="F42" s="131"/>
      <c r="G42" s="131"/>
      <c r="H42" s="131"/>
      <c r="I42" s="131"/>
      <c r="J42" s="131"/>
      <c r="K42" s="131"/>
      <c r="L42" s="134"/>
      <c r="M42" s="131"/>
      <c r="S42" s="131"/>
      <c r="T42" s="131"/>
      <c r="U42" s="148" t="s">
        <v>275</v>
      </c>
      <c r="V42" s="132"/>
      <c r="W42" s="151" t="s">
        <v>273</v>
      </c>
      <c r="X42" s="131"/>
      <c r="Y42" s="131"/>
      <c r="Z42" s="131"/>
      <c r="AA42" s="131"/>
      <c r="AB42" s="131"/>
      <c r="AC42" s="131"/>
      <c r="AD42" s="134"/>
      <c r="AE42" s="131"/>
      <c r="AJ42" s="131"/>
      <c r="AK42" s="131"/>
      <c r="AL42" s="148" t="s">
        <v>275</v>
      </c>
      <c r="AM42" s="132"/>
      <c r="AN42" s="151" t="s">
        <v>273</v>
      </c>
      <c r="AO42" s="131"/>
      <c r="AP42" s="131"/>
      <c r="AQ42" s="131"/>
      <c r="AR42" s="134"/>
      <c r="AS42" s="131"/>
      <c r="AU42" s="131"/>
      <c r="AV42" s="131"/>
      <c r="AW42" s="148" t="s">
        <v>275</v>
      </c>
      <c r="AX42" s="132"/>
      <c r="AY42" s="151" t="s">
        <v>273</v>
      </c>
      <c r="AZ42" s="131"/>
      <c r="BA42" s="131"/>
      <c r="BB42" s="131"/>
      <c r="BC42" s="134"/>
      <c r="BD42" s="131"/>
    </row>
    <row r="43" spans="1:56" ht="40.5" customHeight="1" x14ac:dyDescent="0.3">
      <c r="A43" s="131"/>
      <c r="B43" s="131"/>
      <c r="C43" s="149"/>
      <c r="D43" s="132"/>
      <c r="E43" s="151" t="s">
        <v>274</v>
      </c>
      <c r="F43" s="131"/>
      <c r="G43" s="131"/>
      <c r="H43" s="131"/>
      <c r="I43" s="131"/>
      <c r="J43" s="131"/>
      <c r="K43" s="131"/>
      <c r="L43" s="134"/>
      <c r="M43" s="131"/>
      <c r="S43" s="131"/>
      <c r="T43" s="131"/>
      <c r="U43" s="149"/>
      <c r="V43" s="132"/>
      <c r="W43" s="151" t="s">
        <v>274</v>
      </c>
      <c r="X43" s="131"/>
      <c r="Y43" s="131"/>
      <c r="Z43" s="131"/>
      <c r="AA43" s="131"/>
      <c r="AB43" s="131"/>
      <c r="AC43" s="131"/>
      <c r="AD43" s="134"/>
      <c r="AE43" s="131"/>
      <c r="AJ43" s="131"/>
      <c r="AK43" s="131"/>
      <c r="AL43" s="149"/>
      <c r="AM43" s="132"/>
      <c r="AN43" s="151" t="s">
        <v>274</v>
      </c>
      <c r="AO43" s="131"/>
      <c r="AP43" s="131"/>
      <c r="AQ43" s="131"/>
      <c r="AR43" s="134"/>
      <c r="AS43" s="131"/>
      <c r="AU43" s="131"/>
      <c r="AV43" s="131"/>
      <c r="AW43" s="149"/>
      <c r="AX43" s="132"/>
      <c r="AY43" s="151" t="s">
        <v>274</v>
      </c>
      <c r="AZ43" s="131"/>
      <c r="BA43" s="131"/>
      <c r="BB43" s="131"/>
      <c r="BC43" s="134"/>
      <c r="BD43" s="131"/>
    </row>
    <row r="44" spans="1:56" ht="40.5" customHeight="1" x14ac:dyDescent="0.3">
      <c r="A44" s="131"/>
      <c r="B44" s="131"/>
      <c r="C44" s="150"/>
      <c r="D44" s="132"/>
      <c r="E44" s="151"/>
      <c r="F44" s="131"/>
      <c r="G44" s="131"/>
      <c r="H44" s="131"/>
      <c r="I44" s="131"/>
      <c r="J44" s="131"/>
      <c r="K44" s="131"/>
      <c r="L44" s="134"/>
      <c r="M44" s="131"/>
      <c r="S44" s="131"/>
      <c r="T44" s="131"/>
      <c r="U44" s="150"/>
      <c r="V44" s="132"/>
      <c r="W44" s="151"/>
      <c r="X44" s="131"/>
      <c r="Y44" s="131"/>
      <c r="Z44" s="131"/>
      <c r="AA44" s="131"/>
      <c r="AB44" s="131"/>
      <c r="AC44" s="131"/>
      <c r="AD44" s="134"/>
      <c r="AE44" s="131"/>
      <c r="AJ44" s="131"/>
      <c r="AK44" s="131"/>
      <c r="AL44" s="150"/>
      <c r="AM44" s="132"/>
      <c r="AN44" s="151"/>
      <c r="AO44" s="131"/>
      <c r="AP44" s="131"/>
      <c r="AQ44" s="131"/>
      <c r="AR44" s="134"/>
      <c r="AS44" s="131"/>
      <c r="AU44" s="131"/>
      <c r="AV44" s="131"/>
      <c r="AW44" s="150"/>
      <c r="AX44" s="132"/>
      <c r="AY44" s="151"/>
      <c r="AZ44" s="131"/>
      <c r="BA44" s="131"/>
      <c r="BB44" s="131"/>
      <c r="BC44" s="134"/>
      <c r="BD44" s="131"/>
    </row>
    <row r="45" spans="1:56" ht="40.5" customHeight="1" x14ac:dyDescent="0.3">
      <c r="A45" s="131"/>
      <c r="B45" s="131"/>
      <c r="C45" s="148" t="s">
        <v>33</v>
      </c>
      <c r="D45" s="132"/>
      <c r="E45" s="151" t="s">
        <v>273</v>
      </c>
      <c r="F45" s="131"/>
      <c r="G45" s="131"/>
      <c r="H45" s="131"/>
      <c r="I45" s="131"/>
      <c r="J45" s="131"/>
      <c r="K45" s="131"/>
      <c r="L45" s="131"/>
      <c r="M45" s="131"/>
      <c r="S45" s="131"/>
      <c r="T45" s="131"/>
      <c r="U45" s="148" t="s">
        <v>33</v>
      </c>
      <c r="V45" s="132"/>
      <c r="W45" s="151" t="s">
        <v>273</v>
      </c>
      <c r="X45" s="131"/>
      <c r="Y45" s="131"/>
      <c r="Z45" s="131"/>
      <c r="AA45" s="131"/>
      <c r="AB45" s="131"/>
      <c r="AC45" s="131"/>
      <c r="AD45" s="131"/>
      <c r="AE45" s="131"/>
      <c r="AJ45" s="131"/>
      <c r="AK45" s="131"/>
      <c r="AL45" s="148" t="s">
        <v>33</v>
      </c>
      <c r="AM45" s="132"/>
      <c r="AN45" s="151" t="s">
        <v>273</v>
      </c>
      <c r="AO45" s="131"/>
      <c r="AP45" s="131"/>
      <c r="AQ45" s="131"/>
      <c r="AR45" s="131"/>
      <c r="AS45" s="131"/>
      <c r="AU45" s="131"/>
      <c r="AV45" s="131"/>
      <c r="AW45" s="148" t="s">
        <v>33</v>
      </c>
      <c r="AX45" s="132"/>
      <c r="AY45" s="151" t="s">
        <v>273</v>
      </c>
      <c r="AZ45" s="131"/>
      <c r="BA45" s="131"/>
      <c r="BB45" s="131"/>
      <c r="BC45" s="131"/>
      <c r="BD45" s="131"/>
    </row>
    <row r="46" spans="1:56" ht="40.5" customHeight="1" x14ac:dyDescent="0.3">
      <c r="A46" s="131"/>
      <c r="B46" s="131"/>
      <c r="C46" s="149"/>
      <c r="D46" s="132"/>
      <c r="E46" s="151" t="s">
        <v>274</v>
      </c>
      <c r="F46" s="131"/>
      <c r="G46" s="131"/>
      <c r="H46" s="131"/>
      <c r="I46" s="131"/>
      <c r="J46" s="131"/>
      <c r="K46" s="131"/>
      <c r="L46" s="131"/>
      <c r="M46" s="131"/>
      <c r="S46" s="131"/>
      <c r="T46" s="131"/>
      <c r="U46" s="149"/>
      <c r="V46" s="132"/>
      <c r="W46" s="151" t="s">
        <v>274</v>
      </c>
      <c r="X46" s="131"/>
      <c r="Y46" s="131"/>
      <c r="Z46" s="131"/>
      <c r="AA46" s="131"/>
      <c r="AB46" s="131"/>
      <c r="AC46" s="131"/>
      <c r="AD46" s="131"/>
      <c r="AE46" s="131"/>
      <c r="AJ46" s="131"/>
      <c r="AK46" s="131"/>
      <c r="AL46" s="149"/>
      <c r="AM46" s="132"/>
      <c r="AN46" s="151" t="s">
        <v>274</v>
      </c>
      <c r="AO46" s="131"/>
      <c r="AP46" s="131"/>
      <c r="AQ46" s="131"/>
      <c r="AR46" s="131"/>
      <c r="AS46" s="131"/>
      <c r="AU46" s="131"/>
      <c r="AV46" s="131"/>
      <c r="AW46" s="149"/>
      <c r="AX46" s="132"/>
      <c r="AY46" s="151" t="s">
        <v>274</v>
      </c>
      <c r="AZ46" s="131"/>
      <c r="BA46" s="131"/>
      <c r="BB46" s="131"/>
      <c r="BC46" s="131"/>
      <c r="BD46" s="131"/>
    </row>
    <row r="47" spans="1:56" ht="40.5" customHeight="1" x14ac:dyDescent="0.3">
      <c r="A47" s="131"/>
      <c r="B47" s="131"/>
      <c r="C47" s="150"/>
      <c r="D47" s="132"/>
      <c r="E47" s="151"/>
      <c r="F47" s="131"/>
      <c r="G47" s="131"/>
      <c r="H47" s="131"/>
      <c r="I47" s="131"/>
      <c r="J47" s="131"/>
      <c r="K47" s="131"/>
      <c r="L47" s="131"/>
      <c r="M47" s="131"/>
      <c r="S47" s="131"/>
      <c r="T47" s="131"/>
      <c r="U47" s="150"/>
      <c r="V47" s="132"/>
      <c r="W47" s="151"/>
      <c r="X47" s="131"/>
      <c r="Y47" s="131"/>
      <c r="Z47" s="131"/>
      <c r="AA47" s="131"/>
      <c r="AB47" s="131"/>
      <c r="AC47" s="131"/>
      <c r="AD47" s="131"/>
      <c r="AE47" s="131"/>
      <c r="AJ47" s="156"/>
      <c r="AK47" s="156"/>
      <c r="AL47" s="150"/>
      <c r="AM47" s="157"/>
      <c r="AN47" s="151"/>
      <c r="AO47" s="156"/>
      <c r="AP47" s="156"/>
      <c r="AQ47" s="156"/>
      <c r="AR47" s="156"/>
      <c r="AS47" s="156"/>
      <c r="AU47" s="156"/>
      <c r="AV47" s="156"/>
      <c r="AW47" s="150"/>
      <c r="AX47" s="156"/>
      <c r="AY47" s="151"/>
      <c r="AZ47" s="156"/>
      <c r="BA47" s="156"/>
      <c r="BB47" s="156"/>
      <c r="BC47" s="156"/>
      <c r="BD47" s="156"/>
    </row>
    <row r="48" spans="1:56" x14ac:dyDescent="0.3">
      <c r="A48" s="136"/>
      <c r="B48" s="136"/>
      <c r="C48" s="136"/>
      <c r="D48" s="137"/>
      <c r="E48" s="136"/>
      <c r="F48" s="136"/>
      <c r="G48" s="136"/>
      <c r="H48" s="136"/>
      <c r="I48" s="136"/>
      <c r="J48" s="136"/>
      <c r="K48" s="136"/>
      <c r="L48" s="136"/>
      <c r="M48" s="136"/>
    </row>
    <row r="96" spans="1:13" x14ac:dyDescent="0.3">
      <c r="A96" s="136"/>
      <c r="B96" s="136"/>
      <c r="C96" s="136"/>
      <c r="D96" s="137"/>
      <c r="E96" s="136"/>
      <c r="F96" s="136"/>
      <c r="G96" s="136"/>
      <c r="H96" s="136"/>
      <c r="I96" s="136"/>
      <c r="J96" s="136"/>
      <c r="K96" s="136"/>
      <c r="L96" s="136"/>
      <c r="M96" s="136"/>
    </row>
    <row r="97" spans="1:13" x14ac:dyDescent="0.3">
      <c r="A97" s="136"/>
      <c r="B97" s="136"/>
      <c r="C97" s="136"/>
      <c r="D97" s="137"/>
      <c r="E97" s="136"/>
      <c r="F97" s="136"/>
      <c r="G97" s="136"/>
      <c r="H97" s="136"/>
      <c r="I97" s="136"/>
      <c r="J97" s="136"/>
      <c r="K97" s="136"/>
      <c r="L97" s="136"/>
      <c r="M97" s="136"/>
    </row>
    <row r="121" spans="1:13" x14ac:dyDescent="0.3">
      <c r="A121" s="136"/>
      <c r="B121" s="136"/>
      <c r="C121" s="136"/>
      <c r="D121" s="137"/>
      <c r="E121" s="136"/>
      <c r="F121" s="136"/>
      <c r="G121" s="136"/>
      <c r="H121" s="136"/>
      <c r="I121" s="136"/>
      <c r="J121" s="136"/>
      <c r="K121" s="136"/>
      <c r="L121" s="136"/>
      <c r="M121" s="136"/>
    </row>
    <row r="122" spans="1:13" x14ac:dyDescent="0.3">
      <c r="K122" s="136"/>
      <c r="L122" s="136"/>
      <c r="M122" s="136"/>
    </row>
    <row r="123" spans="1:13" x14ac:dyDescent="0.3">
      <c r="K123" s="136"/>
      <c r="L123" s="136"/>
      <c r="M123" s="136"/>
    </row>
    <row r="124" spans="1:13" x14ac:dyDescent="0.3">
      <c r="K124" s="136"/>
      <c r="L124" s="136"/>
      <c r="M124" s="136"/>
    </row>
    <row r="125" spans="1:13" x14ac:dyDescent="0.3">
      <c r="K125" s="136"/>
      <c r="L125" s="136"/>
      <c r="M125" s="136"/>
    </row>
    <row r="126" spans="1:13" x14ac:dyDescent="0.3">
      <c r="K126" s="136"/>
      <c r="L126" s="136"/>
      <c r="M126" s="136"/>
    </row>
    <row r="127" spans="1:13" x14ac:dyDescent="0.3">
      <c r="K127" s="136"/>
      <c r="L127" s="136"/>
      <c r="M127" s="136"/>
    </row>
    <row r="128" spans="1:13" x14ac:dyDescent="0.3">
      <c r="K128" s="136"/>
      <c r="L128" s="136"/>
      <c r="M128" s="136"/>
    </row>
    <row r="129" spans="11:13" x14ac:dyDescent="0.3">
      <c r="K129" s="136"/>
      <c r="L129" s="136"/>
      <c r="M129" s="136"/>
    </row>
    <row r="130" spans="11:13" x14ac:dyDescent="0.3">
      <c r="K130" s="136"/>
      <c r="L130" s="136"/>
      <c r="M130" s="136"/>
    </row>
    <row r="131" spans="11:13" x14ac:dyDescent="0.3">
      <c r="K131" s="136"/>
      <c r="L131" s="136"/>
      <c r="M131" s="136"/>
    </row>
    <row r="132" spans="11:13" x14ac:dyDescent="0.3">
      <c r="K132" s="136"/>
      <c r="L132" s="136"/>
      <c r="M132" s="136"/>
    </row>
    <row r="133" spans="11:13" x14ac:dyDescent="0.3">
      <c r="K133" s="136"/>
      <c r="L133" s="136"/>
      <c r="M133" s="136"/>
    </row>
    <row r="134" spans="11:13" x14ac:dyDescent="0.3">
      <c r="K134" s="136"/>
      <c r="L134" s="136"/>
      <c r="M134" s="136"/>
    </row>
    <row r="135" spans="11:13" x14ac:dyDescent="0.3">
      <c r="K135" s="136"/>
      <c r="L135" s="136"/>
      <c r="M135" s="136"/>
    </row>
    <row r="136" spans="11:13" x14ac:dyDescent="0.3">
      <c r="K136" s="136"/>
      <c r="L136" s="136"/>
      <c r="M136" s="136"/>
    </row>
    <row r="137" spans="11:13" x14ac:dyDescent="0.3">
      <c r="K137" s="136"/>
      <c r="L137" s="136"/>
      <c r="M137" s="136"/>
    </row>
    <row r="138" spans="11:13" x14ac:dyDescent="0.3">
      <c r="K138" s="136"/>
      <c r="L138" s="136"/>
      <c r="M138" s="136"/>
    </row>
    <row r="139" spans="11:13" x14ac:dyDescent="0.3">
      <c r="K139" s="136"/>
      <c r="L139" s="136"/>
      <c r="M139" s="136"/>
    </row>
    <row r="140" spans="11:13" x14ac:dyDescent="0.3">
      <c r="K140" s="136"/>
      <c r="L140" s="136"/>
      <c r="M140" s="136"/>
    </row>
    <row r="141" spans="11:13" x14ac:dyDescent="0.3">
      <c r="K141" s="136"/>
      <c r="L141" s="136"/>
      <c r="M141" s="136"/>
    </row>
    <row r="142" spans="11:13" x14ac:dyDescent="0.3">
      <c r="K142" s="136"/>
      <c r="L142" s="136"/>
      <c r="M142" s="136"/>
    </row>
    <row r="143" spans="11:13" x14ac:dyDescent="0.3">
      <c r="K143" s="136"/>
      <c r="L143" s="136"/>
      <c r="M143" s="136"/>
    </row>
    <row r="144" spans="11:13" x14ac:dyDescent="0.3">
      <c r="K144" s="136"/>
      <c r="L144" s="136"/>
      <c r="M144" s="136"/>
    </row>
    <row r="145" spans="11:13" x14ac:dyDescent="0.3">
      <c r="K145" s="136"/>
      <c r="L145" s="136"/>
      <c r="M145" s="136"/>
    </row>
    <row r="146" spans="11:13" x14ac:dyDescent="0.3">
      <c r="K146" s="136"/>
      <c r="L146" s="136"/>
      <c r="M146" s="136"/>
    </row>
    <row r="147" spans="11:13" x14ac:dyDescent="0.3">
      <c r="K147" s="136"/>
      <c r="L147" s="136"/>
      <c r="M147" s="136"/>
    </row>
    <row r="148" spans="11:13" x14ac:dyDescent="0.3">
      <c r="K148" s="136"/>
      <c r="L148" s="136"/>
      <c r="M148" s="136"/>
    </row>
    <row r="149" spans="11:13" x14ac:dyDescent="0.3">
      <c r="K149" s="136"/>
      <c r="L149" s="136"/>
      <c r="M149" s="136"/>
    </row>
    <row r="150" spans="11:13" x14ac:dyDescent="0.3">
      <c r="K150" s="136"/>
      <c r="L150" s="136"/>
      <c r="M150" s="136"/>
    </row>
    <row r="151" spans="11:13" x14ac:dyDescent="0.3">
      <c r="K151" s="136"/>
      <c r="L151" s="136"/>
      <c r="M151" s="136"/>
    </row>
    <row r="152" spans="11:13" x14ac:dyDescent="0.3">
      <c r="K152" s="136"/>
      <c r="L152" s="136"/>
      <c r="M152" s="136"/>
    </row>
    <row r="153" spans="11:13" x14ac:dyDescent="0.3">
      <c r="K153" s="136"/>
      <c r="L153" s="136"/>
      <c r="M153" s="136"/>
    </row>
    <row r="154" spans="11:13" x14ac:dyDescent="0.3">
      <c r="K154" s="136"/>
      <c r="L154" s="136"/>
      <c r="M154" s="136"/>
    </row>
    <row r="155" spans="11:13" x14ac:dyDescent="0.3">
      <c r="K155" s="136"/>
      <c r="L155" s="136"/>
      <c r="M155" s="136"/>
    </row>
    <row r="156" spans="11:13" x14ac:dyDescent="0.3">
      <c r="K156" s="136"/>
      <c r="L156" s="136"/>
      <c r="M156" s="136"/>
    </row>
    <row r="157" spans="11:13" x14ac:dyDescent="0.3">
      <c r="K157" s="136"/>
      <c r="L157" s="136"/>
      <c r="M157" s="136"/>
    </row>
    <row r="158" spans="11:13" x14ac:dyDescent="0.3">
      <c r="K158" s="136"/>
      <c r="L158" s="136"/>
      <c r="M158" s="136"/>
    </row>
    <row r="159" spans="11:13" x14ac:dyDescent="0.3">
      <c r="K159" s="136"/>
      <c r="L159" s="136"/>
      <c r="M159" s="136"/>
    </row>
    <row r="160" spans="11:13" x14ac:dyDescent="0.3">
      <c r="K160" s="136"/>
      <c r="L160" s="136"/>
      <c r="M160" s="136"/>
    </row>
    <row r="161" spans="11:13" x14ac:dyDescent="0.3">
      <c r="K161" s="136"/>
      <c r="L161" s="136"/>
      <c r="M161" s="136"/>
    </row>
    <row r="162" spans="11:13" x14ac:dyDescent="0.3">
      <c r="K162" s="136"/>
      <c r="L162" s="136"/>
      <c r="M162" s="136"/>
    </row>
    <row r="163" spans="11:13" x14ac:dyDescent="0.3">
      <c r="K163" s="136"/>
      <c r="L163" s="136"/>
      <c r="M163" s="136"/>
    </row>
    <row r="164" spans="11:13" x14ac:dyDescent="0.3">
      <c r="K164" s="136"/>
      <c r="L164" s="136"/>
      <c r="M164" s="136"/>
    </row>
    <row r="165" spans="11:13" x14ac:dyDescent="0.3">
      <c r="K165" s="136"/>
      <c r="L165" s="136"/>
      <c r="M165" s="136"/>
    </row>
    <row r="166" spans="11:13" x14ac:dyDescent="0.3">
      <c r="K166" s="136"/>
      <c r="L166" s="136"/>
      <c r="M166" s="136"/>
    </row>
    <row r="167" spans="11:13" x14ac:dyDescent="0.3">
      <c r="K167" s="136"/>
      <c r="L167" s="136"/>
      <c r="M167" s="136"/>
    </row>
  </sheetData>
  <mergeCells count="10">
    <mergeCell ref="BF1:BO1"/>
    <mergeCell ref="AU1:BD1"/>
    <mergeCell ref="A25:M25"/>
    <mergeCell ref="S25:AE25"/>
    <mergeCell ref="A1:K1"/>
    <mergeCell ref="AJ1:AS1"/>
    <mergeCell ref="AJ25:AS25"/>
    <mergeCell ref="M1:W1"/>
    <mergeCell ref="Y1:AH1"/>
    <mergeCell ref="AU25:BD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D220"/>
  <sheetViews>
    <sheetView showGridLines="0" zoomScale="75" workbookViewId="0">
      <pane xSplit="64" ySplit="7" topLeftCell="BM8" activePane="bottomRight" state="frozen"/>
      <selection pane="topRight"/>
      <selection pane="bottomLeft"/>
      <selection pane="bottomRight"/>
    </sheetView>
  </sheetViews>
  <sheetFormatPr baseColWidth="10" defaultColWidth="9.1640625" defaultRowHeight="40" customHeight="1" x14ac:dyDescent="0.15"/>
  <cols>
    <col min="1" max="1" width="18.1640625" style="38" customWidth="1"/>
    <col min="2" max="2" width="63.5" style="38" customWidth="1"/>
    <col min="3" max="82" width="36.33203125" style="38" customWidth="1"/>
    <col min="83" max="83" width="9.1640625" style="38" customWidth="1"/>
    <col min="84" max="16384" width="9.1640625" style="38"/>
  </cols>
  <sheetData>
    <row r="1" spans="1:82" ht="40" customHeight="1" x14ac:dyDescent="0.15">
      <c r="C1" s="251" t="s">
        <v>317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</row>
    <row r="2" spans="1:82" ht="40" customHeight="1" x14ac:dyDescent="0.15"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</row>
    <row r="3" spans="1:82" ht="40" customHeight="1" x14ac:dyDescent="0.15">
      <c r="B3" s="39" t="s">
        <v>288</v>
      </c>
      <c r="C3" s="248" t="s">
        <v>18</v>
      </c>
      <c r="D3" s="239"/>
      <c r="E3" s="239"/>
      <c r="F3" s="239"/>
      <c r="G3" s="239"/>
      <c r="H3" s="239"/>
      <c r="I3" s="249"/>
      <c r="J3" s="40"/>
      <c r="K3" s="248" t="s">
        <v>19</v>
      </c>
      <c r="L3" s="239"/>
      <c r="M3" s="239"/>
      <c r="N3" s="239"/>
      <c r="O3" s="239"/>
      <c r="P3" s="239"/>
      <c r="Q3" s="249"/>
      <c r="R3" s="40"/>
      <c r="S3" s="248" t="s">
        <v>20</v>
      </c>
      <c r="T3" s="239"/>
      <c r="U3" s="239"/>
      <c r="V3" s="239"/>
      <c r="W3" s="239"/>
      <c r="X3" s="239"/>
      <c r="Y3" s="249"/>
      <c r="Z3" s="40"/>
      <c r="AA3" s="248" t="s">
        <v>309</v>
      </c>
      <c r="AB3" s="239"/>
      <c r="AC3" s="239"/>
      <c r="AD3" s="239"/>
      <c r="AE3" s="239"/>
      <c r="AF3" s="239"/>
      <c r="AG3" s="249"/>
      <c r="AH3" s="40"/>
      <c r="AI3" s="248" t="s">
        <v>21</v>
      </c>
      <c r="AJ3" s="239"/>
      <c r="AK3" s="239"/>
      <c r="AL3" s="239"/>
      <c r="AM3" s="239"/>
      <c r="AN3" s="239"/>
      <c r="AO3" s="249"/>
      <c r="AP3" s="40"/>
      <c r="AQ3" s="248" t="s">
        <v>22</v>
      </c>
      <c r="AR3" s="239"/>
      <c r="AS3" s="239"/>
      <c r="AT3" s="239"/>
      <c r="AU3" s="239"/>
      <c r="AV3" s="239"/>
      <c r="AW3" s="249"/>
      <c r="AX3" s="40"/>
      <c r="AY3" s="248" t="s">
        <v>23</v>
      </c>
      <c r="AZ3" s="239"/>
      <c r="BA3" s="239"/>
      <c r="BB3" s="239"/>
      <c r="BC3" s="239"/>
      <c r="BD3" s="239"/>
      <c r="BE3" s="249"/>
      <c r="BF3" s="40"/>
      <c r="BG3" s="248" t="s">
        <v>310</v>
      </c>
      <c r="BH3" s="239"/>
      <c r="BI3" s="239"/>
      <c r="BJ3" s="239"/>
      <c r="BK3" s="239"/>
      <c r="BL3" s="239"/>
      <c r="BM3" s="249"/>
      <c r="BN3" s="40"/>
      <c r="BO3" s="256" t="s">
        <v>24</v>
      </c>
      <c r="BP3" s="257"/>
      <c r="BQ3" s="257"/>
      <c r="BR3" s="257"/>
      <c r="BS3" s="257"/>
      <c r="BT3" s="257"/>
      <c r="BU3" s="257"/>
      <c r="BV3" s="257"/>
      <c r="BW3" s="256" t="s">
        <v>311</v>
      </c>
      <c r="BX3" s="257"/>
      <c r="BY3" s="257"/>
      <c r="BZ3" s="257"/>
      <c r="CA3" s="257"/>
      <c r="CB3" s="257"/>
      <c r="CC3" s="257"/>
      <c r="CD3" s="257"/>
    </row>
    <row r="4" spans="1:82" ht="40" customHeight="1" x14ac:dyDescent="0.15">
      <c r="B4" s="64" t="s">
        <v>312</v>
      </c>
      <c r="C4" s="64"/>
      <c r="D4" s="64"/>
      <c r="E4" s="64"/>
      <c r="F4" s="64"/>
      <c r="G4" s="64"/>
      <c r="H4" s="64"/>
      <c r="I4" s="64"/>
      <c r="J4" s="245" t="s">
        <v>290</v>
      </c>
      <c r="K4" s="64"/>
      <c r="L4" s="64"/>
      <c r="M4" s="64"/>
      <c r="N4" s="64"/>
      <c r="O4" s="64"/>
      <c r="P4" s="64"/>
      <c r="Q4" s="64"/>
      <c r="R4" s="253" t="s">
        <v>290</v>
      </c>
      <c r="S4" s="64"/>
      <c r="T4" s="64"/>
      <c r="U4" s="64"/>
      <c r="V4" s="64"/>
      <c r="W4" s="64"/>
      <c r="X4" s="64"/>
      <c r="Y4" s="64"/>
      <c r="Z4" s="245" t="s">
        <v>290</v>
      </c>
      <c r="AA4" s="64"/>
      <c r="AB4" s="64"/>
      <c r="AC4" s="64"/>
      <c r="AD4" s="64"/>
      <c r="AE4" s="64"/>
      <c r="AF4" s="64"/>
      <c r="AG4" s="64"/>
      <c r="AH4" s="245" t="s">
        <v>290</v>
      </c>
      <c r="AI4" s="64"/>
      <c r="AJ4" s="64"/>
      <c r="AK4" s="64"/>
      <c r="AL4" s="64"/>
      <c r="AM4" s="64"/>
      <c r="AN4" s="64"/>
      <c r="AO4" s="64"/>
      <c r="AP4" s="245" t="s">
        <v>290</v>
      </c>
      <c r="AQ4" s="64"/>
      <c r="AR4" s="64"/>
      <c r="AS4" s="64"/>
      <c r="AT4" s="64"/>
      <c r="AU4" s="64"/>
      <c r="AV4" s="64"/>
      <c r="AW4" s="64"/>
      <c r="AX4" s="245" t="s">
        <v>290</v>
      </c>
      <c r="AY4" s="64"/>
      <c r="AZ4" s="64"/>
      <c r="BA4" s="64"/>
      <c r="BB4" s="64"/>
      <c r="BC4" s="64"/>
      <c r="BD4" s="64"/>
      <c r="BE4" s="64"/>
      <c r="BF4" s="245" t="s">
        <v>290</v>
      </c>
      <c r="BG4" s="64"/>
      <c r="BH4" s="64"/>
      <c r="BI4" s="64"/>
      <c r="BJ4" s="64"/>
      <c r="BK4" s="64"/>
      <c r="BL4" s="64"/>
      <c r="BM4" s="64"/>
      <c r="BN4" s="245" t="s">
        <v>290</v>
      </c>
      <c r="BO4" s="64"/>
      <c r="BP4" s="64"/>
      <c r="BQ4" s="64"/>
      <c r="BR4" s="64"/>
      <c r="BS4" s="64"/>
      <c r="BT4" s="64"/>
      <c r="BU4" s="64"/>
      <c r="BV4" s="245" t="s">
        <v>290</v>
      </c>
      <c r="BW4" s="64"/>
      <c r="BX4" s="64"/>
      <c r="BY4" s="64"/>
      <c r="BZ4" s="64"/>
      <c r="CA4" s="64"/>
      <c r="CB4" s="64"/>
      <c r="CC4" s="64"/>
      <c r="CD4" s="245" t="s">
        <v>290</v>
      </c>
    </row>
    <row r="5" spans="1:82" s="35" customFormat="1" ht="40" customHeight="1" x14ac:dyDescent="0.15">
      <c r="B5" s="37" t="s">
        <v>263</v>
      </c>
      <c r="C5" s="37"/>
      <c r="D5" s="37"/>
      <c r="E5" s="37"/>
      <c r="F5" s="37"/>
      <c r="G5" s="37"/>
      <c r="H5" s="37"/>
      <c r="I5" s="37"/>
      <c r="J5" s="246"/>
      <c r="K5" s="37"/>
      <c r="L5" s="37"/>
      <c r="M5" s="37"/>
      <c r="N5" s="37"/>
      <c r="O5" s="37"/>
      <c r="P5" s="37"/>
      <c r="Q5" s="37"/>
      <c r="R5" s="254"/>
      <c r="S5" s="37"/>
      <c r="T5" s="37"/>
      <c r="U5" s="37"/>
      <c r="V5" s="37"/>
      <c r="W5" s="37"/>
      <c r="X5" s="37"/>
      <c r="Y5" s="37"/>
      <c r="Z5" s="246"/>
      <c r="AA5" s="37"/>
      <c r="AB5" s="37"/>
      <c r="AC5" s="37"/>
      <c r="AD5" s="37"/>
      <c r="AE5" s="37"/>
      <c r="AF5" s="37"/>
      <c r="AG5" s="37"/>
      <c r="AH5" s="246"/>
      <c r="AI5" s="37"/>
      <c r="AJ5" s="37"/>
      <c r="AK5" s="37"/>
      <c r="AL5" s="37"/>
      <c r="AM5" s="37"/>
      <c r="AN5" s="37"/>
      <c r="AO5" s="37"/>
      <c r="AP5" s="246"/>
      <c r="AQ5" s="37"/>
      <c r="AR5" s="37"/>
      <c r="AS5" s="37"/>
      <c r="AT5" s="37"/>
      <c r="AU5" s="37"/>
      <c r="AV5" s="37"/>
      <c r="AW5" s="37"/>
      <c r="AX5" s="246"/>
      <c r="AY5" s="37"/>
      <c r="AZ5" s="37"/>
      <c r="BA5" s="37"/>
      <c r="BB5" s="37"/>
      <c r="BC5" s="37"/>
      <c r="BD5" s="37"/>
      <c r="BE5" s="37"/>
      <c r="BF5" s="246"/>
      <c r="BG5" s="37"/>
      <c r="BH5" s="37"/>
      <c r="BI5" s="37"/>
      <c r="BJ5" s="37"/>
      <c r="BK5" s="37"/>
      <c r="BL5" s="37"/>
      <c r="BM5" s="37"/>
      <c r="BN5" s="246"/>
      <c r="BO5" s="37"/>
      <c r="BP5" s="37"/>
      <c r="BQ5" s="37"/>
      <c r="BR5" s="37"/>
      <c r="BS5" s="37"/>
      <c r="BT5" s="37"/>
      <c r="BU5" s="37"/>
      <c r="BV5" s="246"/>
      <c r="BW5" s="37"/>
      <c r="BX5" s="37"/>
      <c r="BY5" s="37"/>
      <c r="BZ5" s="37"/>
      <c r="CA5" s="37"/>
      <c r="CB5" s="37"/>
      <c r="CC5" s="37"/>
      <c r="CD5" s="246"/>
    </row>
    <row r="6" spans="1:82" ht="40" customHeight="1" x14ac:dyDescent="0.15">
      <c r="B6" s="64" t="s">
        <v>313</v>
      </c>
      <c r="C6" s="64"/>
      <c r="D6" s="64"/>
      <c r="E6" s="64"/>
      <c r="F6" s="64"/>
      <c r="G6" s="64"/>
      <c r="H6" s="64"/>
      <c r="I6" s="64"/>
      <c r="J6" s="246"/>
      <c r="K6" s="64"/>
      <c r="L6" s="64"/>
      <c r="M6" s="64"/>
      <c r="N6" s="64"/>
      <c r="O6" s="64"/>
      <c r="P6" s="64"/>
      <c r="Q6" s="64"/>
      <c r="R6" s="254"/>
      <c r="S6" s="64"/>
      <c r="T6" s="64"/>
      <c r="U6" s="64"/>
      <c r="V6" s="64"/>
      <c r="W6" s="64"/>
      <c r="X6" s="64"/>
      <c r="Y6" s="64"/>
      <c r="Z6" s="246"/>
      <c r="AA6" s="64"/>
      <c r="AB6" s="64"/>
      <c r="AC6" s="64"/>
      <c r="AD6" s="64"/>
      <c r="AE6" s="64"/>
      <c r="AF6" s="64"/>
      <c r="AG6" s="64"/>
      <c r="AH6" s="246"/>
      <c r="AI6" s="64"/>
      <c r="AJ6" s="64"/>
      <c r="AK6" s="64"/>
      <c r="AL6" s="64"/>
      <c r="AM6" s="64"/>
      <c r="AN6" s="64"/>
      <c r="AO6" s="64"/>
      <c r="AP6" s="246"/>
      <c r="AQ6" s="64"/>
      <c r="AR6" s="64"/>
      <c r="AS6" s="64"/>
      <c r="AT6" s="64"/>
      <c r="AU6" s="64"/>
      <c r="AV6" s="64"/>
      <c r="AW6" s="64"/>
      <c r="AX6" s="246"/>
      <c r="AY6" s="64"/>
      <c r="AZ6" s="64"/>
      <c r="BA6" s="64"/>
      <c r="BB6" s="64"/>
      <c r="BC6" s="64"/>
      <c r="BD6" s="64"/>
      <c r="BE6" s="64"/>
      <c r="BF6" s="246"/>
      <c r="BG6" s="64"/>
      <c r="BH6" s="64"/>
      <c r="BI6" s="64"/>
      <c r="BJ6" s="64"/>
      <c r="BK6" s="64"/>
      <c r="BL6" s="64"/>
      <c r="BM6" s="64"/>
      <c r="BN6" s="246"/>
      <c r="BO6" s="64"/>
      <c r="BP6" s="64"/>
      <c r="BQ6" s="64"/>
      <c r="BR6" s="64"/>
      <c r="BS6" s="64"/>
      <c r="BT6" s="64"/>
      <c r="BU6" s="64"/>
      <c r="BV6" s="246"/>
      <c r="BW6" s="64"/>
      <c r="BX6" s="64"/>
      <c r="BY6" s="64"/>
      <c r="BZ6" s="64"/>
      <c r="CA6" s="64"/>
      <c r="CB6" s="64"/>
      <c r="CC6" s="64"/>
      <c r="CD6" s="246"/>
    </row>
    <row r="7" spans="1:82" ht="40" customHeight="1" x14ac:dyDescent="0.15">
      <c r="A7" s="65" t="s">
        <v>51</v>
      </c>
      <c r="B7" s="66" t="s">
        <v>52</v>
      </c>
      <c r="C7" s="188" t="s">
        <v>25</v>
      </c>
      <c r="D7" s="189" t="s">
        <v>29</v>
      </c>
      <c r="E7" s="189" t="s">
        <v>30</v>
      </c>
      <c r="F7" s="189" t="s">
        <v>31</v>
      </c>
      <c r="G7" s="189" t="s">
        <v>32</v>
      </c>
      <c r="H7" s="189" t="s">
        <v>33</v>
      </c>
      <c r="I7" s="189" t="s">
        <v>34</v>
      </c>
      <c r="J7" s="247"/>
      <c r="K7" s="67" t="s">
        <v>25</v>
      </c>
      <c r="L7" s="43" t="s">
        <v>29</v>
      </c>
      <c r="M7" s="43" t="s">
        <v>30</v>
      </c>
      <c r="N7" s="43" t="s">
        <v>31</v>
      </c>
      <c r="O7" s="43" t="s">
        <v>32</v>
      </c>
      <c r="P7" s="43" t="s">
        <v>33</v>
      </c>
      <c r="Q7" s="43" t="s">
        <v>34</v>
      </c>
      <c r="R7" s="255"/>
      <c r="S7" s="67" t="s">
        <v>25</v>
      </c>
      <c r="T7" s="43" t="s">
        <v>29</v>
      </c>
      <c r="U7" s="43" t="s">
        <v>30</v>
      </c>
      <c r="V7" s="43" t="s">
        <v>31</v>
      </c>
      <c r="W7" s="43" t="s">
        <v>32</v>
      </c>
      <c r="X7" s="43" t="s">
        <v>33</v>
      </c>
      <c r="Y7" s="43" t="s">
        <v>34</v>
      </c>
      <c r="Z7" s="247"/>
      <c r="AA7" s="67" t="s">
        <v>25</v>
      </c>
      <c r="AB7" s="43" t="s">
        <v>29</v>
      </c>
      <c r="AC7" s="43" t="s">
        <v>30</v>
      </c>
      <c r="AD7" s="43" t="s">
        <v>31</v>
      </c>
      <c r="AE7" s="43" t="s">
        <v>32</v>
      </c>
      <c r="AF7" s="43" t="s">
        <v>33</v>
      </c>
      <c r="AG7" s="43" t="s">
        <v>34</v>
      </c>
      <c r="AH7" s="247"/>
      <c r="AI7" s="67" t="s">
        <v>25</v>
      </c>
      <c r="AJ7" s="43" t="s">
        <v>29</v>
      </c>
      <c r="AK7" s="43" t="s">
        <v>30</v>
      </c>
      <c r="AL7" s="43" t="s">
        <v>31</v>
      </c>
      <c r="AM7" s="43" t="s">
        <v>32</v>
      </c>
      <c r="AN7" s="43" t="s">
        <v>33</v>
      </c>
      <c r="AO7" s="43" t="s">
        <v>34</v>
      </c>
      <c r="AP7" s="247"/>
      <c r="AQ7" s="67" t="s">
        <v>25</v>
      </c>
      <c r="AR7" s="43" t="s">
        <v>29</v>
      </c>
      <c r="AS7" s="43" t="s">
        <v>30</v>
      </c>
      <c r="AT7" s="43" t="s">
        <v>31</v>
      </c>
      <c r="AU7" s="43" t="s">
        <v>32</v>
      </c>
      <c r="AV7" s="43" t="s">
        <v>33</v>
      </c>
      <c r="AW7" s="43" t="s">
        <v>34</v>
      </c>
      <c r="AX7" s="247"/>
      <c r="AY7" s="67" t="s">
        <v>25</v>
      </c>
      <c r="AZ7" s="43" t="s">
        <v>29</v>
      </c>
      <c r="BA7" s="43" t="s">
        <v>30</v>
      </c>
      <c r="BB7" s="43" t="s">
        <v>31</v>
      </c>
      <c r="BC7" s="43" t="s">
        <v>32</v>
      </c>
      <c r="BD7" s="43"/>
      <c r="BE7" s="43"/>
      <c r="BF7" s="247"/>
      <c r="BG7" s="67" t="s">
        <v>25</v>
      </c>
      <c r="BH7" s="43" t="s">
        <v>29</v>
      </c>
      <c r="BI7" s="43" t="s">
        <v>30</v>
      </c>
      <c r="BJ7" s="43" t="s">
        <v>31</v>
      </c>
      <c r="BK7" s="43" t="s">
        <v>32</v>
      </c>
      <c r="BL7" s="43" t="s">
        <v>33</v>
      </c>
      <c r="BM7" s="43" t="s">
        <v>34</v>
      </c>
      <c r="BN7" s="247"/>
      <c r="BO7" s="67" t="s">
        <v>25</v>
      </c>
      <c r="BP7" s="43" t="s">
        <v>29</v>
      </c>
      <c r="BQ7" s="43" t="s">
        <v>30</v>
      </c>
      <c r="BR7" s="43" t="s">
        <v>31</v>
      </c>
      <c r="BS7" s="43" t="s">
        <v>32</v>
      </c>
      <c r="BT7" s="43" t="s">
        <v>33</v>
      </c>
      <c r="BU7" s="43" t="s">
        <v>34</v>
      </c>
      <c r="BV7" s="247"/>
      <c r="BW7" s="67" t="s">
        <v>25</v>
      </c>
      <c r="BX7" s="43" t="s">
        <v>29</v>
      </c>
      <c r="BY7" s="43" t="s">
        <v>30</v>
      </c>
      <c r="BZ7" s="43" t="s">
        <v>31</v>
      </c>
      <c r="CA7" s="43" t="s">
        <v>32</v>
      </c>
      <c r="CB7" s="43" t="s">
        <v>33</v>
      </c>
      <c r="CC7" s="43" t="s">
        <v>34</v>
      </c>
      <c r="CD7" s="247"/>
    </row>
    <row r="8" spans="1:82" ht="40" customHeight="1" x14ac:dyDescent="0.15">
      <c r="A8" s="68" t="s">
        <v>55</v>
      </c>
      <c r="B8" s="69"/>
      <c r="C8" s="70"/>
      <c r="D8" s="44"/>
      <c r="E8" s="44"/>
      <c r="F8" s="44"/>
      <c r="G8" s="44"/>
      <c r="H8" s="44"/>
      <c r="I8" s="44"/>
      <c r="J8" s="48" t="str">
        <f t="shared" ref="J8:J39" si="0">IFERROR((SUM(C8:I8)/SUM($C$6:$I$6))*100,"")</f>
        <v/>
      </c>
      <c r="K8" s="44"/>
      <c r="L8" s="44"/>
      <c r="M8" s="44"/>
      <c r="N8" s="44"/>
      <c r="O8" s="44"/>
      <c r="P8" s="44"/>
      <c r="Q8" s="44"/>
      <c r="R8" s="48" t="str">
        <f t="shared" ref="R8:R39" si="1">IFERROR((SUM(K8:Q8)/SUM($K$6:$Q$6))*100,"")</f>
        <v/>
      </c>
      <c r="S8" s="47"/>
      <c r="T8" s="47"/>
      <c r="U8" s="47"/>
      <c r="V8" s="47"/>
      <c r="W8" s="47"/>
      <c r="X8" s="47"/>
      <c r="Y8" s="47"/>
      <c r="Z8" s="48" t="str">
        <f t="shared" ref="Z8:Z39" si="2">IFERROR((SUM(S8:Y8)/SUM($S$6:$Y$6))*100,"")</f>
        <v/>
      </c>
      <c r="AA8" s="44"/>
      <c r="AB8" s="44"/>
      <c r="AC8" s="44"/>
      <c r="AD8" s="44"/>
      <c r="AE8" s="44"/>
      <c r="AF8" s="44"/>
      <c r="AG8" s="44"/>
      <c r="AH8" s="48" t="str">
        <f t="shared" ref="AH8:AH39" si="3">IFERROR((SUM(AA8:AG8)/SUM($AA$6:$AG$6))*100,"")</f>
        <v/>
      </c>
      <c r="AI8" s="44"/>
      <c r="AJ8" s="44"/>
      <c r="AK8" s="44"/>
      <c r="AL8" s="44"/>
      <c r="AM8" s="44"/>
      <c r="AN8" s="44"/>
      <c r="AO8" s="44"/>
      <c r="AP8" s="48" t="str">
        <f t="shared" ref="AP8:AP39" si="4">IFERROR((SUM(AI8:AO8)/SUM($AI$6:$AO$6))*100,"")</f>
        <v/>
      </c>
      <c r="AQ8" s="44"/>
      <c r="AR8" s="44"/>
      <c r="AS8" s="44"/>
      <c r="AT8" s="44"/>
      <c r="AU8" s="44"/>
      <c r="AV8" s="44"/>
      <c r="AW8" s="44"/>
      <c r="AX8" s="48" t="str">
        <f t="shared" ref="AX8:AX39" si="5">IFERROR((SUM(AQ8:AW8)/SUM($AQ$6:$AW$6))*100,"")</f>
        <v/>
      </c>
      <c r="AY8" s="50"/>
      <c r="AZ8" s="50"/>
      <c r="BA8" s="50"/>
      <c r="BB8" s="50"/>
      <c r="BC8" s="50"/>
      <c r="BD8" s="50"/>
      <c r="BE8" s="50"/>
      <c r="BF8" s="48" t="str">
        <f t="shared" ref="BF8:BF39" si="6">IFERROR((SUM(AY8:BE8)/SUM($AY$6:$BE$6))*100,"")</f>
        <v/>
      </c>
      <c r="BG8" s="44"/>
      <c r="BH8" s="44"/>
      <c r="BI8" s="44"/>
      <c r="BJ8" s="44"/>
      <c r="BK8" s="44"/>
      <c r="BL8" s="44"/>
      <c r="BM8" s="44"/>
      <c r="BN8" s="48" t="str">
        <f t="shared" ref="BN8:BN39" si="7">IFERROR((SUM(BG8:BM8)/SUM($BG$6:$BM$6))*100,"")</f>
        <v/>
      </c>
      <c r="BO8" s="50"/>
      <c r="BP8" s="50"/>
      <c r="BQ8" s="50"/>
      <c r="BR8" s="50"/>
      <c r="BS8" s="50"/>
      <c r="BT8" s="50"/>
      <c r="BU8" s="50"/>
      <c r="BV8" s="48" t="str">
        <f t="shared" ref="BV8:BV39" si="8">IFERROR((SUM(BO8:BU8)/SUM($BP$6:$BU$6))*100,"")</f>
        <v/>
      </c>
      <c r="BW8" s="44"/>
      <c r="BX8" s="44"/>
      <c r="BY8" s="44"/>
      <c r="BZ8" s="44"/>
      <c r="CA8" s="44"/>
      <c r="CB8" s="44"/>
      <c r="CC8" s="55"/>
      <c r="CD8" s="48" t="str">
        <f t="shared" ref="CD8:CD39" si="9">IFERROR((SUM(BW8:CC8)/SUM($BW$6:$CC$6))*100,"")</f>
        <v/>
      </c>
    </row>
    <row r="9" spans="1:82" ht="40" customHeight="1" x14ac:dyDescent="0.15">
      <c r="A9" s="71" t="s">
        <v>56</v>
      </c>
      <c r="B9" s="72" t="s">
        <v>57</v>
      </c>
      <c r="C9" s="70"/>
      <c r="D9" s="44"/>
      <c r="E9" s="185"/>
      <c r="F9" s="72"/>
      <c r="G9" s="44"/>
      <c r="H9" s="44"/>
      <c r="I9" s="44"/>
      <c r="J9" s="48" t="str">
        <f t="shared" si="0"/>
        <v/>
      </c>
      <c r="K9" s="44"/>
      <c r="L9" s="44"/>
      <c r="M9" s="44"/>
      <c r="N9" s="44"/>
      <c r="O9" s="44"/>
      <c r="P9" s="44"/>
      <c r="Q9" s="44"/>
      <c r="R9" s="48" t="str">
        <f t="shared" si="1"/>
        <v/>
      </c>
      <c r="S9" s="47"/>
      <c r="T9" s="47"/>
      <c r="U9" s="47"/>
      <c r="V9" s="47"/>
      <c r="W9" s="47"/>
      <c r="X9" s="47"/>
      <c r="Y9" s="47"/>
      <c r="Z9" s="48" t="str">
        <f t="shared" si="2"/>
        <v/>
      </c>
      <c r="AA9" s="44"/>
      <c r="AB9" s="44"/>
      <c r="AC9" s="44"/>
      <c r="AD9" s="44"/>
      <c r="AE9" s="44"/>
      <c r="AF9" s="44"/>
      <c r="AG9" s="44"/>
      <c r="AH9" s="48" t="str">
        <f t="shared" si="3"/>
        <v/>
      </c>
      <c r="AI9" s="44"/>
      <c r="AJ9" s="44"/>
      <c r="AK9" s="44"/>
      <c r="AL9" s="44"/>
      <c r="AM9" s="44"/>
      <c r="AN9" s="44"/>
      <c r="AO9" s="44"/>
      <c r="AP9" s="48" t="str">
        <f t="shared" si="4"/>
        <v/>
      </c>
      <c r="AQ9" s="44"/>
      <c r="AR9" s="44"/>
      <c r="AS9" s="44"/>
      <c r="AT9" s="44"/>
      <c r="AU9" s="44"/>
      <c r="AV9" s="44"/>
      <c r="AW9" s="44"/>
      <c r="AX9" s="48" t="str">
        <f t="shared" si="5"/>
        <v/>
      </c>
      <c r="AY9" s="50"/>
      <c r="AZ9" s="50"/>
      <c r="BA9" s="50"/>
      <c r="BB9" s="50"/>
      <c r="BC9" s="50"/>
      <c r="BD9" s="50"/>
      <c r="BE9" s="50"/>
      <c r="BF9" s="48" t="str">
        <f t="shared" si="6"/>
        <v/>
      </c>
      <c r="BG9" s="44"/>
      <c r="BH9" s="44"/>
      <c r="BI9" s="44"/>
      <c r="BJ9" s="44"/>
      <c r="BK9" s="44"/>
      <c r="BL9" s="44"/>
      <c r="BM9" s="44"/>
      <c r="BN9" s="48" t="str">
        <f t="shared" si="7"/>
        <v/>
      </c>
      <c r="BO9" s="50"/>
      <c r="BP9" s="50"/>
      <c r="BQ9" s="50"/>
      <c r="BR9" s="50"/>
      <c r="BS9" s="50"/>
      <c r="BT9" s="50"/>
      <c r="BU9" s="50"/>
      <c r="BV9" s="48" t="str">
        <f t="shared" si="8"/>
        <v/>
      </c>
      <c r="BW9" s="44"/>
      <c r="BX9" s="44"/>
      <c r="BY9" s="44"/>
      <c r="BZ9" s="44"/>
      <c r="CA9" s="44"/>
      <c r="CB9" s="44"/>
      <c r="CC9" s="55"/>
      <c r="CD9" s="48" t="str">
        <f t="shared" si="9"/>
        <v/>
      </c>
    </row>
    <row r="10" spans="1:82" ht="40" customHeight="1" x14ac:dyDescent="0.15">
      <c r="A10" s="73" t="s">
        <v>58</v>
      </c>
      <c r="B10" s="74" t="s">
        <v>59</v>
      </c>
      <c r="C10" s="70"/>
      <c r="D10" s="44"/>
      <c r="E10" s="44"/>
      <c r="F10" s="44"/>
      <c r="G10" s="44"/>
      <c r="H10" s="44"/>
      <c r="I10" s="44"/>
      <c r="J10" s="48" t="str">
        <f t="shared" si="0"/>
        <v/>
      </c>
      <c r="K10" s="44"/>
      <c r="L10" s="44"/>
      <c r="M10" s="44"/>
      <c r="N10" s="44"/>
      <c r="O10" s="44"/>
      <c r="P10" s="44"/>
      <c r="Q10" s="44"/>
      <c r="R10" s="48" t="str">
        <f t="shared" si="1"/>
        <v/>
      </c>
      <c r="S10" s="47"/>
      <c r="T10" s="47"/>
      <c r="U10" s="47"/>
      <c r="V10" s="47"/>
      <c r="W10" s="47"/>
      <c r="X10" s="47"/>
      <c r="Y10" s="47"/>
      <c r="Z10" s="48" t="str">
        <f t="shared" si="2"/>
        <v/>
      </c>
      <c r="AA10" s="44"/>
      <c r="AB10" s="44"/>
      <c r="AC10" s="44"/>
      <c r="AD10" s="44"/>
      <c r="AE10" s="44"/>
      <c r="AF10" s="44"/>
      <c r="AG10" s="44"/>
      <c r="AH10" s="48" t="str">
        <f t="shared" si="3"/>
        <v/>
      </c>
      <c r="AI10" s="44"/>
      <c r="AJ10" s="44"/>
      <c r="AK10" s="44"/>
      <c r="AL10" s="44"/>
      <c r="AM10" s="44"/>
      <c r="AN10" s="44"/>
      <c r="AO10" s="44"/>
      <c r="AP10" s="48" t="str">
        <f t="shared" si="4"/>
        <v/>
      </c>
      <c r="AQ10" s="44"/>
      <c r="AR10" s="44"/>
      <c r="AS10" s="44"/>
      <c r="AT10" s="44"/>
      <c r="AU10" s="44"/>
      <c r="AV10" s="44"/>
      <c r="AW10" s="44"/>
      <c r="AX10" s="48" t="str">
        <f t="shared" si="5"/>
        <v/>
      </c>
      <c r="AY10" s="50"/>
      <c r="AZ10" s="50"/>
      <c r="BA10" s="50"/>
      <c r="BB10" s="50"/>
      <c r="BC10" s="50"/>
      <c r="BD10" s="50"/>
      <c r="BE10" s="50"/>
      <c r="BF10" s="48" t="str">
        <f t="shared" si="6"/>
        <v/>
      </c>
      <c r="BG10" s="44"/>
      <c r="BH10" s="44"/>
      <c r="BI10" s="44"/>
      <c r="BJ10" s="44"/>
      <c r="BK10" s="44"/>
      <c r="BL10" s="44"/>
      <c r="BM10" s="44"/>
      <c r="BN10" s="48" t="str">
        <f t="shared" si="7"/>
        <v/>
      </c>
      <c r="BO10" s="50"/>
      <c r="BP10" s="50"/>
      <c r="BQ10" s="50"/>
      <c r="BR10" s="50"/>
      <c r="BS10" s="50"/>
      <c r="BT10" s="50"/>
      <c r="BU10" s="50"/>
      <c r="BV10" s="48" t="str">
        <f t="shared" si="8"/>
        <v/>
      </c>
      <c r="BW10" s="44"/>
      <c r="BX10" s="44"/>
      <c r="BY10" s="44"/>
      <c r="BZ10" s="44"/>
      <c r="CA10" s="44"/>
      <c r="CB10" s="44"/>
      <c r="CC10" s="55"/>
      <c r="CD10" s="48" t="str">
        <f t="shared" si="9"/>
        <v/>
      </c>
    </row>
    <row r="11" spans="1:82" ht="40" customHeight="1" x14ac:dyDescent="0.15">
      <c r="A11" s="71" t="s">
        <v>60</v>
      </c>
      <c r="B11" s="72" t="s">
        <v>61</v>
      </c>
      <c r="C11" s="70"/>
      <c r="D11" s="44"/>
      <c r="E11" s="44"/>
      <c r="F11" s="44"/>
      <c r="G11" s="44"/>
      <c r="H11" s="44"/>
      <c r="I11" s="44"/>
      <c r="J11" s="48" t="str">
        <f t="shared" si="0"/>
        <v/>
      </c>
      <c r="K11" s="44"/>
      <c r="L11" s="44"/>
      <c r="M11" s="44"/>
      <c r="N11" s="44"/>
      <c r="O11" s="44"/>
      <c r="P11" s="44"/>
      <c r="Q11" s="44"/>
      <c r="R11" s="48" t="str">
        <f t="shared" si="1"/>
        <v/>
      </c>
      <c r="S11" s="47"/>
      <c r="T11" s="47"/>
      <c r="U11" s="47"/>
      <c r="V11" s="47"/>
      <c r="W11" s="47"/>
      <c r="X11" s="47"/>
      <c r="Y11" s="47"/>
      <c r="Z11" s="48" t="str">
        <f t="shared" si="2"/>
        <v/>
      </c>
      <c r="AA11" s="44"/>
      <c r="AB11" s="44"/>
      <c r="AC11" s="44"/>
      <c r="AD11" s="44"/>
      <c r="AE11" s="44"/>
      <c r="AF11" s="44"/>
      <c r="AG11" s="44"/>
      <c r="AH11" s="48" t="str">
        <f t="shared" si="3"/>
        <v/>
      </c>
      <c r="AI11" s="44"/>
      <c r="AJ11" s="44"/>
      <c r="AK11" s="44"/>
      <c r="AL11" s="44"/>
      <c r="AM11" s="44"/>
      <c r="AN11" s="44"/>
      <c r="AO11" s="44"/>
      <c r="AP11" s="48" t="str">
        <f t="shared" si="4"/>
        <v/>
      </c>
      <c r="AQ11" s="44"/>
      <c r="AR11" s="44"/>
      <c r="AS11" s="44"/>
      <c r="AT11" s="44"/>
      <c r="AU11" s="44"/>
      <c r="AV11" s="44"/>
      <c r="AW11" s="44"/>
      <c r="AX11" s="48" t="str">
        <f t="shared" si="5"/>
        <v/>
      </c>
      <c r="AY11" s="50"/>
      <c r="AZ11" s="50"/>
      <c r="BA11" s="50"/>
      <c r="BB11" s="50"/>
      <c r="BC11" s="50"/>
      <c r="BD11" s="50"/>
      <c r="BE11" s="50"/>
      <c r="BF11" s="48" t="str">
        <f t="shared" si="6"/>
        <v/>
      </c>
      <c r="BG11" s="44"/>
      <c r="BH11" s="44"/>
      <c r="BI11" s="44"/>
      <c r="BJ11" s="44"/>
      <c r="BK11" s="44"/>
      <c r="BL11" s="44"/>
      <c r="BM11" s="44"/>
      <c r="BN11" s="48" t="str">
        <f t="shared" si="7"/>
        <v/>
      </c>
      <c r="BO11" s="50"/>
      <c r="BP11" s="50"/>
      <c r="BQ11" s="50"/>
      <c r="BR11" s="50"/>
      <c r="BS11" s="50"/>
      <c r="BT11" s="50"/>
      <c r="BU11" s="50"/>
      <c r="BV11" s="48" t="str">
        <f t="shared" si="8"/>
        <v/>
      </c>
      <c r="BW11" s="44"/>
      <c r="BX11" s="44"/>
      <c r="BY11" s="44"/>
      <c r="BZ11" s="44"/>
      <c r="CA11" s="44"/>
      <c r="CB11" s="44"/>
      <c r="CC11" s="55"/>
      <c r="CD11" s="48" t="str">
        <f t="shared" si="9"/>
        <v/>
      </c>
    </row>
    <row r="12" spans="1:82" ht="40" customHeight="1" x14ac:dyDescent="0.15">
      <c r="A12" s="73" t="s">
        <v>62</v>
      </c>
      <c r="B12" s="74" t="s">
        <v>63</v>
      </c>
      <c r="C12" s="70"/>
      <c r="D12" s="44"/>
      <c r="E12" s="44"/>
      <c r="F12" s="44"/>
      <c r="G12" s="44"/>
      <c r="H12" s="44"/>
      <c r="I12" s="44"/>
      <c r="J12" s="48" t="str">
        <f t="shared" si="0"/>
        <v/>
      </c>
      <c r="K12" s="44"/>
      <c r="L12" s="44"/>
      <c r="M12" s="44"/>
      <c r="N12" s="44"/>
      <c r="O12" s="44"/>
      <c r="P12" s="44"/>
      <c r="Q12" s="44"/>
      <c r="R12" s="48" t="str">
        <f t="shared" si="1"/>
        <v/>
      </c>
      <c r="S12" s="47"/>
      <c r="T12" s="47"/>
      <c r="U12" s="47"/>
      <c r="V12" s="47"/>
      <c r="W12" s="47"/>
      <c r="X12" s="47"/>
      <c r="Y12" s="47"/>
      <c r="Z12" s="48" t="str">
        <f t="shared" si="2"/>
        <v/>
      </c>
      <c r="AA12" s="44"/>
      <c r="AB12" s="44"/>
      <c r="AC12" s="44"/>
      <c r="AD12" s="44"/>
      <c r="AE12" s="44"/>
      <c r="AF12" s="44"/>
      <c r="AG12" s="44"/>
      <c r="AH12" s="48" t="str">
        <f t="shared" si="3"/>
        <v/>
      </c>
      <c r="AI12" s="44"/>
      <c r="AJ12" s="44"/>
      <c r="AK12" s="44"/>
      <c r="AL12" s="44"/>
      <c r="AM12" s="44"/>
      <c r="AN12" s="44"/>
      <c r="AO12" s="44"/>
      <c r="AP12" s="48" t="str">
        <f t="shared" si="4"/>
        <v/>
      </c>
      <c r="AQ12" s="44"/>
      <c r="AR12" s="44"/>
      <c r="AS12" s="44"/>
      <c r="AT12" s="44"/>
      <c r="AU12" s="44"/>
      <c r="AV12" s="44"/>
      <c r="AW12" s="44"/>
      <c r="AX12" s="48" t="str">
        <f t="shared" si="5"/>
        <v/>
      </c>
      <c r="AY12" s="50"/>
      <c r="AZ12" s="50"/>
      <c r="BA12" s="50"/>
      <c r="BB12" s="50"/>
      <c r="BC12" s="50"/>
      <c r="BD12" s="50"/>
      <c r="BE12" s="50"/>
      <c r="BF12" s="48" t="str">
        <f t="shared" si="6"/>
        <v/>
      </c>
      <c r="BG12" s="44"/>
      <c r="BH12" s="44"/>
      <c r="BI12" s="44"/>
      <c r="BJ12" s="44"/>
      <c r="BK12" s="44"/>
      <c r="BL12" s="44"/>
      <c r="BM12" s="44"/>
      <c r="BN12" s="48" t="str">
        <f t="shared" si="7"/>
        <v/>
      </c>
      <c r="BO12" s="50"/>
      <c r="BP12" s="50"/>
      <c r="BQ12" s="50"/>
      <c r="BR12" s="50"/>
      <c r="BS12" s="50"/>
      <c r="BT12" s="50"/>
      <c r="BU12" s="50"/>
      <c r="BV12" s="48" t="str">
        <f t="shared" si="8"/>
        <v/>
      </c>
      <c r="BW12" s="44"/>
      <c r="BX12" s="44"/>
      <c r="BY12" s="44"/>
      <c r="BZ12" s="44"/>
      <c r="CA12" s="44"/>
      <c r="CB12" s="44"/>
      <c r="CC12" s="55"/>
      <c r="CD12" s="48" t="str">
        <f t="shared" si="9"/>
        <v/>
      </c>
    </row>
    <row r="13" spans="1:82" ht="40" customHeight="1" x14ac:dyDescent="0.15">
      <c r="A13" s="71" t="s">
        <v>64</v>
      </c>
      <c r="B13" s="72" t="s">
        <v>65</v>
      </c>
      <c r="C13" s="70"/>
      <c r="D13" s="44"/>
      <c r="E13" s="44"/>
      <c r="F13" s="44"/>
      <c r="G13" s="44"/>
      <c r="H13" s="44"/>
      <c r="I13" s="44"/>
      <c r="J13" s="48" t="str">
        <f t="shared" si="0"/>
        <v/>
      </c>
      <c r="K13" s="44"/>
      <c r="L13" s="44"/>
      <c r="M13" s="44"/>
      <c r="N13" s="44"/>
      <c r="O13" s="44"/>
      <c r="P13" s="44"/>
      <c r="Q13" s="44"/>
      <c r="R13" s="48" t="str">
        <f t="shared" si="1"/>
        <v/>
      </c>
      <c r="S13" s="47"/>
      <c r="T13" s="47"/>
      <c r="U13" s="47"/>
      <c r="V13" s="47"/>
      <c r="W13" s="47"/>
      <c r="X13" s="47"/>
      <c r="Y13" s="47"/>
      <c r="Z13" s="48" t="str">
        <f t="shared" si="2"/>
        <v/>
      </c>
      <c r="AA13" s="44"/>
      <c r="AB13" s="44"/>
      <c r="AC13" s="44"/>
      <c r="AD13" s="44"/>
      <c r="AE13" s="44"/>
      <c r="AF13" s="44"/>
      <c r="AG13" s="44"/>
      <c r="AH13" s="48" t="str">
        <f t="shared" si="3"/>
        <v/>
      </c>
      <c r="AI13" s="44"/>
      <c r="AJ13" s="44"/>
      <c r="AK13" s="44"/>
      <c r="AL13" s="44"/>
      <c r="AM13" s="44"/>
      <c r="AN13" s="44"/>
      <c r="AO13" s="44"/>
      <c r="AP13" s="48" t="str">
        <f t="shared" si="4"/>
        <v/>
      </c>
      <c r="AQ13" s="44"/>
      <c r="AR13" s="44"/>
      <c r="AS13" s="44"/>
      <c r="AT13" s="44"/>
      <c r="AU13" s="44"/>
      <c r="AV13" s="44"/>
      <c r="AW13" s="44"/>
      <c r="AX13" s="48" t="str">
        <f t="shared" si="5"/>
        <v/>
      </c>
      <c r="AY13" s="50"/>
      <c r="AZ13" s="50"/>
      <c r="BA13" s="50"/>
      <c r="BB13" s="50"/>
      <c r="BC13" s="50"/>
      <c r="BD13" s="50"/>
      <c r="BE13" s="50"/>
      <c r="BF13" s="48" t="str">
        <f t="shared" si="6"/>
        <v/>
      </c>
      <c r="BG13" s="44"/>
      <c r="BH13" s="44"/>
      <c r="BI13" s="44"/>
      <c r="BJ13" s="44"/>
      <c r="BK13" s="44"/>
      <c r="BL13" s="44"/>
      <c r="BM13" s="44"/>
      <c r="BN13" s="48" t="str">
        <f t="shared" si="7"/>
        <v/>
      </c>
      <c r="BO13" s="50"/>
      <c r="BP13" s="50"/>
      <c r="BQ13" s="50"/>
      <c r="BR13" s="50"/>
      <c r="BS13" s="50"/>
      <c r="BT13" s="50"/>
      <c r="BU13" s="50"/>
      <c r="BV13" s="48" t="str">
        <f t="shared" si="8"/>
        <v/>
      </c>
      <c r="BW13" s="44"/>
      <c r="BX13" s="44"/>
      <c r="BY13" s="44"/>
      <c r="BZ13" s="44"/>
      <c r="CA13" s="44"/>
      <c r="CB13" s="44"/>
      <c r="CC13" s="55"/>
      <c r="CD13" s="48" t="str">
        <f t="shared" si="9"/>
        <v/>
      </c>
    </row>
    <row r="14" spans="1:82" ht="40" customHeight="1" x14ac:dyDescent="0.15">
      <c r="A14" s="68" t="s">
        <v>66</v>
      </c>
      <c r="B14" s="69"/>
      <c r="C14" s="70"/>
      <c r="D14" s="44"/>
      <c r="E14" s="44"/>
      <c r="F14" s="44"/>
      <c r="G14" s="44"/>
      <c r="H14" s="44"/>
      <c r="I14" s="44"/>
      <c r="J14" s="48" t="str">
        <f t="shared" si="0"/>
        <v/>
      </c>
      <c r="K14" s="44"/>
      <c r="L14" s="44"/>
      <c r="M14" s="44"/>
      <c r="N14" s="44"/>
      <c r="O14" s="44"/>
      <c r="P14" s="44"/>
      <c r="Q14" s="44"/>
      <c r="R14" s="48" t="str">
        <f t="shared" si="1"/>
        <v/>
      </c>
      <c r="S14" s="47"/>
      <c r="T14" s="47"/>
      <c r="U14" s="47"/>
      <c r="V14" s="47"/>
      <c r="W14" s="47"/>
      <c r="X14" s="47"/>
      <c r="Y14" s="47"/>
      <c r="Z14" s="48" t="str">
        <f t="shared" si="2"/>
        <v/>
      </c>
      <c r="AA14" s="44"/>
      <c r="AB14" s="44"/>
      <c r="AC14" s="44"/>
      <c r="AD14" s="44"/>
      <c r="AE14" s="44"/>
      <c r="AF14" s="44"/>
      <c r="AG14" s="44"/>
      <c r="AH14" s="48" t="str">
        <f t="shared" si="3"/>
        <v/>
      </c>
      <c r="AI14" s="44"/>
      <c r="AJ14" s="44"/>
      <c r="AK14" s="44"/>
      <c r="AL14" s="44"/>
      <c r="AM14" s="44"/>
      <c r="AN14" s="44"/>
      <c r="AO14" s="44"/>
      <c r="AP14" s="48" t="str">
        <f t="shared" si="4"/>
        <v/>
      </c>
      <c r="AQ14" s="44"/>
      <c r="AR14" s="44"/>
      <c r="AS14" s="44"/>
      <c r="AT14" s="44"/>
      <c r="AU14" s="44"/>
      <c r="AV14" s="44"/>
      <c r="AW14" s="44"/>
      <c r="AX14" s="48" t="str">
        <f t="shared" si="5"/>
        <v/>
      </c>
      <c r="AY14" s="50"/>
      <c r="AZ14" s="50"/>
      <c r="BA14" s="50"/>
      <c r="BB14" s="50"/>
      <c r="BC14" s="50"/>
      <c r="BD14" s="50"/>
      <c r="BE14" s="50"/>
      <c r="BF14" s="48" t="str">
        <f t="shared" si="6"/>
        <v/>
      </c>
      <c r="BG14" s="44"/>
      <c r="BH14" s="44"/>
      <c r="BI14" s="44"/>
      <c r="BJ14" s="44"/>
      <c r="BK14" s="44"/>
      <c r="BL14" s="44"/>
      <c r="BM14" s="44"/>
      <c r="BN14" s="48" t="str">
        <f t="shared" si="7"/>
        <v/>
      </c>
      <c r="BO14" s="50"/>
      <c r="BP14" s="50"/>
      <c r="BQ14" s="50"/>
      <c r="BR14" s="50"/>
      <c r="BS14" s="50"/>
      <c r="BT14" s="50"/>
      <c r="BU14" s="50"/>
      <c r="BV14" s="48" t="str">
        <f t="shared" si="8"/>
        <v/>
      </c>
      <c r="BW14" s="44"/>
      <c r="BX14" s="44"/>
      <c r="BY14" s="44"/>
      <c r="BZ14" s="44"/>
      <c r="CA14" s="44"/>
      <c r="CB14" s="44"/>
      <c r="CC14" s="55"/>
      <c r="CD14" s="48" t="str">
        <f t="shared" si="9"/>
        <v/>
      </c>
    </row>
    <row r="15" spans="1:82" ht="40" customHeight="1" x14ac:dyDescent="0.15">
      <c r="A15" s="73" t="s">
        <v>67</v>
      </c>
      <c r="B15" s="74" t="s">
        <v>66</v>
      </c>
      <c r="C15" s="70"/>
      <c r="D15" s="44"/>
      <c r="E15" s="44"/>
      <c r="F15" s="44"/>
      <c r="G15" s="44"/>
      <c r="H15" s="44"/>
      <c r="I15" s="44"/>
      <c r="J15" s="48" t="str">
        <f t="shared" si="0"/>
        <v/>
      </c>
      <c r="K15" s="44"/>
      <c r="L15" s="44"/>
      <c r="M15" s="44"/>
      <c r="N15" s="44"/>
      <c r="O15" s="44"/>
      <c r="P15" s="44"/>
      <c r="Q15" s="44"/>
      <c r="R15" s="48" t="str">
        <f t="shared" si="1"/>
        <v/>
      </c>
      <c r="S15" s="47"/>
      <c r="T15" s="47"/>
      <c r="U15" s="47"/>
      <c r="V15" s="47"/>
      <c r="W15" s="47"/>
      <c r="X15" s="47"/>
      <c r="Y15" s="47"/>
      <c r="Z15" s="48" t="str">
        <f t="shared" si="2"/>
        <v/>
      </c>
      <c r="AA15" s="44"/>
      <c r="AB15" s="44"/>
      <c r="AC15" s="44"/>
      <c r="AD15" s="44"/>
      <c r="AE15" s="44"/>
      <c r="AF15" s="44"/>
      <c r="AG15" s="44"/>
      <c r="AH15" s="48" t="str">
        <f t="shared" si="3"/>
        <v/>
      </c>
      <c r="AI15" s="44"/>
      <c r="AJ15" s="44"/>
      <c r="AK15" s="44"/>
      <c r="AL15" s="44"/>
      <c r="AM15" s="44"/>
      <c r="AN15" s="44"/>
      <c r="AO15" s="44"/>
      <c r="AP15" s="48" t="str">
        <f t="shared" si="4"/>
        <v/>
      </c>
      <c r="AQ15" s="44"/>
      <c r="AR15" s="44"/>
      <c r="AS15" s="44"/>
      <c r="AT15" s="44"/>
      <c r="AU15" s="44"/>
      <c r="AV15" s="44"/>
      <c r="AW15" s="44"/>
      <c r="AX15" s="48" t="str">
        <f t="shared" si="5"/>
        <v/>
      </c>
      <c r="AY15" s="50"/>
      <c r="AZ15" s="50"/>
      <c r="BA15" s="50"/>
      <c r="BB15" s="50"/>
      <c r="BC15" s="50"/>
      <c r="BD15" s="50"/>
      <c r="BE15" s="50"/>
      <c r="BF15" s="48" t="str">
        <f t="shared" si="6"/>
        <v/>
      </c>
      <c r="BG15" s="44"/>
      <c r="BH15" s="44"/>
      <c r="BI15" s="44"/>
      <c r="BJ15" s="44"/>
      <c r="BK15" s="44"/>
      <c r="BL15" s="44"/>
      <c r="BM15" s="44"/>
      <c r="BN15" s="48" t="str">
        <f t="shared" si="7"/>
        <v/>
      </c>
      <c r="BO15" s="50"/>
      <c r="BP15" s="50"/>
      <c r="BQ15" s="50"/>
      <c r="BR15" s="50"/>
      <c r="BS15" s="50"/>
      <c r="BT15" s="50"/>
      <c r="BU15" s="50"/>
      <c r="BV15" s="48" t="str">
        <f t="shared" si="8"/>
        <v/>
      </c>
      <c r="BW15" s="44"/>
      <c r="BX15" s="44"/>
      <c r="BY15" s="44"/>
      <c r="BZ15" s="44"/>
      <c r="CA15" s="44"/>
      <c r="CB15" s="44"/>
      <c r="CC15" s="55"/>
      <c r="CD15" s="48" t="str">
        <f t="shared" si="9"/>
        <v/>
      </c>
    </row>
    <row r="16" spans="1:82" ht="40" customHeight="1" x14ac:dyDescent="0.15">
      <c r="A16" s="68" t="s">
        <v>68</v>
      </c>
      <c r="B16" s="69"/>
      <c r="C16" s="70"/>
      <c r="D16" s="44"/>
      <c r="E16" s="44"/>
      <c r="F16" s="44"/>
      <c r="G16" s="44"/>
      <c r="H16" s="44"/>
      <c r="I16" s="44"/>
      <c r="J16" s="48" t="str">
        <f t="shared" si="0"/>
        <v/>
      </c>
      <c r="K16" s="44"/>
      <c r="L16" s="44"/>
      <c r="M16" s="44"/>
      <c r="N16" s="44"/>
      <c r="O16" s="44"/>
      <c r="P16" s="44"/>
      <c r="Q16" s="44"/>
      <c r="R16" s="48" t="str">
        <f t="shared" si="1"/>
        <v/>
      </c>
      <c r="S16" s="47"/>
      <c r="T16" s="47"/>
      <c r="U16" s="47"/>
      <c r="V16" s="47"/>
      <c r="W16" s="47"/>
      <c r="X16" s="47"/>
      <c r="Y16" s="47"/>
      <c r="Z16" s="48" t="str">
        <f t="shared" si="2"/>
        <v/>
      </c>
      <c r="AA16" s="44"/>
      <c r="AB16" s="44"/>
      <c r="AC16" s="44"/>
      <c r="AD16" s="44"/>
      <c r="AE16" s="44"/>
      <c r="AF16" s="44"/>
      <c r="AG16" s="44"/>
      <c r="AH16" s="48" t="str">
        <f t="shared" si="3"/>
        <v/>
      </c>
      <c r="AI16" s="44"/>
      <c r="AJ16" s="44"/>
      <c r="AK16" s="44"/>
      <c r="AL16" s="44"/>
      <c r="AM16" s="44"/>
      <c r="AN16" s="44"/>
      <c r="AO16" s="44"/>
      <c r="AP16" s="48" t="str">
        <f t="shared" si="4"/>
        <v/>
      </c>
      <c r="AQ16" s="44"/>
      <c r="AR16" s="44"/>
      <c r="AS16" s="44"/>
      <c r="AT16" s="44"/>
      <c r="AU16" s="44"/>
      <c r="AV16" s="44"/>
      <c r="AW16" s="44"/>
      <c r="AX16" s="48" t="str">
        <f t="shared" si="5"/>
        <v/>
      </c>
      <c r="AY16" s="50"/>
      <c r="AZ16" s="50"/>
      <c r="BA16" s="50"/>
      <c r="BB16" s="50"/>
      <c r="BC16" s="50"/>
      <c r="BD16" s="50"/>
      <c r="BE16" s="50"/>
      <c r="BF16" s="48" t="str">
        <f t="shared" si="6"/>
        <v/>
      </c>
      <c r="BG16" s="44"/>
      <c r="BH16" s="44"/>
      <c r="BI16" s="44"/>
      <c r="BJ16" s="44"/>
      <c r="BK16" s="44"/>
      <c r="BL16" s="44"/>
      <c r="BM16" s="44"/>
      <c r="BN16" s="48" t="str">
        <f t="shared" si="7"/>
        <v/>
      </c>
      <c r="BO16" s="50"/>
      <c r="BP16" s="50"/>
      <c r="BQ16" s="50"/>
      <c r="BR16" s="50"/>
      <c r="BS16" s="50"/>
      <c r="BT16" s="50"/>
      <c r="BU16" s="50"/>
      <c r="BV16" s="48" t="str">
        <f t="shared" si="8"/>
        <v/>
      </c>
      <c r="BW16" s="44"/>
      <c r="BX16" s="44"/>
      <c r="BY16" s="44"/>
      <c r="BZ16" s="44"/>
      <c r="CA16" s="44"/>
      <c r="CB16" s="44"/>
      <c r="CC16" s="55"/>
      <c r="CD16" s="48" t="str">
        <f t="shared" si="9"/>
        <v/>
      </c>
    </row>
    <row r="17" spans="1:82" ht="40" customHeight="1" x14ac:dyDescent="0.15">
      <c r="A17" s="73" t="s">
        <v>69</v>
      </c>
      <c r="B17" s="74" t="s">
        <v>70</v>
      </c>
      <c r="C17" s="70"/>
      <c r="D17" s="44"/>
      <c r="E17" s="44"/>
      <c r="F17" s="44"/>
      <c r="G17" s="44"/>
      <c r="H17" s="44"/>
      <c r="I17" s="44"/>
      <c r="J17" s="48" t="str">
        <f t="shared" si="0"/>
        <v/>
      </c>
      <c r="K17" s="44"/>
      <c r="L17" s="44"/>
      <c r="M17" s="44"/>
      <c r="N17" s="44"/>
      <c r="O17" s="44"/>
      <c r="P17" s="44"/>
      <c r="Q17" s="44"/>
      <c r="R17" s="48" t="str">
        <f t="shared" si="1"/>
        <v/>
      </c>
      <c r="S17" s="47"/>
      <c r="T17" s="47"/>
      <c r="U17" s="47"/>
      <c r="V17" s="47"/>
      <c r="W17" s="47"/>
      <c r="X17" s="47"/>
      <c r="Y17" s="47"/>
      <c r="Z17" s="48" t="str">
        <f t="shared" si="2"/>
        <v/>
      </c>
      <c r="AA17" s="44"/>
      <c r="AB17" s="44"/>
      <c r="AC17" s="44"/>
      <c r="AD17" s="44"/>
      <c r="AE17" s="44"/>
      <c r="AF17" s="44"/>
      <c r="AG17" s="44"/>
      <c r="AH17" s="48" t="str">
        <f t="shared" si="3"/>
        <v/>
      </c>
      <c r="AI17" s="44"/>
      <c r="AJ17" s="44"/>
      <c r="AK17" s="44"/>
      <c r="AL17" s="44"/>
      <c r="AM17" s="44"/>
      <c r="AN17" s="44"/>
      <c r="AO17" s="44"/>
      <c r="AP17" s="48" t="str">
        <f t="shared" si="4"/>
        <v/>
      </c>
      <c r="AQ17" s="44"/>
      <c r="AR17" s="44"/>
      <c r="AS17" s="44"/>
      <c r="AT17" s="44"/>
      <c r="AU17" s="44"/>
      <c r="AV17" s="44"/>
      <c r="AW17" s="44"/>
      <c r="AX17" s="48" t="str">
        <f t="shared" si="5"/>
        <v/>
      </c>
      <c r="AY17" s="50"/>
      <c r="AZ17" s="50"/>
      <c r="BA17" s="50"/>
      <c r="BB17" s="50"/>
      <c r="BC17" s="50"/>
      <c r="BD17" s="50"/>
      <c r="BE17" s="50"/>
      <c r="BF17" s="48" t="str">
        <f t="shared" si="6"/>
        <v/>
      </c>
      <c r="BG17" s="44"/>
      <c r="BH17" s="44"/>
      <c r="BI17" s="44"/>
      <c r="BJ17" s="44"/>
      <c r="BK17" s="44"/>
      <c r="BL17" s="44"/>
      <c r="BM17" s="44"/>
      <c r="BN17" s="48" t="str">
        <f t="shared" si="7"/>
        <v/>
      </c>
      <c r="BO17" s="50"/>
      <c r="BP17" s="50"/>
      <c r="BQ17" s="50"/>
      <c r="BR17" s="50"/>
      <c r="BS17" s="50"/>
      <c r="BT17" s="50"/>
      <c r="BU17" s="50"/>
      <c r="BV17" s="48" t="str">
        <f t="shared" si="8"/>
        <v/>
      </c>
      <c r="BW17" s="44"/>
      <c r="BX17" s="44"/>
      <c r="BY17" s="44"/>
      <c r="BZ17" s="44"/>
      <c r="CA17" s="44"/>
      <c r="CB17" s="44"/>
      <c r="CC17" s="55"/>
      <c r="CD17" s="48" t="str">
        <f t="shared" si="9"/>
        <v/>
      </c>
    </row>
    <row r="18" spans="1:82" ht="40" customHeight="1" x14ac:dyDescent="0.15">
      <c r="A18" s="71" t="s">
        <v>71</v>
      </c>
      <c r="B18" s="72" t="s">
        <v>72</v>
      </c>
      <c r="C18" s="70"/>
      <c r="D18" s="44"/>
      <c r="E18" s="44"/>
      <c r="F18" s="44"/>
      <c r="G18" s="44"/>
      <c r="H18" s="44"/>
      <c r="I18" s="44"/>
      <c r="J18" s="48" t="str">
        <f t="shared" si="0"/>
        <v/>
      </c>
      <c r="K18" s="44"/>
      <c r="L18" s="44"/>
      <c r="M18" s="44"/>
      <c r="N18" s="44"/>
      <c r="O18" s="44"/>
      <c r="P18" s="44"/>
      <c r="Q18" s="44"/>
      <c r="R18" s="48" t="str">
        <f t="shared" si="1"/>
        <v/>
      </c>
      <c r="S18" s="47"/>
      <c r="T18" s="47"/>
      <c r="U18" s="47"/>
      <c r="V18" s="47"/>
      <c r="W18" s="47"/>
      <c r="X18" s="47"/>
      <c r="Y18" s="47"/>
      <c r="Z18" s="48" t="str">
        <f t="shared" si="2"/>
        <v/>
      </c>
      <c r="AA18" s="44"/>
      <c r="AB18" s="44"/>
      <c r="AC18" s="44"/>
      <c r="AD18" s="44"/>
      <c r="AE18" s="44"/>
      <c r="AF18" s="44"/>
      <c r="AG18" s="44"/>
      <c r="AH18" s="48" t="str">
        <f t="shared" si="3"/>
        <v/>
      </c>
      <c r="AI18" s="44"/>
      <c r="AJ18" s="44"/>
      <c r="AK18" s="44"/>
      <c r="AL18" s="44"/>
      <c r="AM18" s="44"/>
      <c r="AN18" s="44"/>
      <c r="AO18" s="44"/>
      <c r="AP18" s="48" t="str">
        <f t="shared" si="4"/>
        <v/>
      </c>
      <c r="AQ18" s="44"/>
      <c r="AR18" s="44"/>
      <c r="AS18" s="44"/>
      <c r="AT18" s="44"/>
      <c r="AU18" s="44"/>
      <c r="AV18" s="44"/>
      <c r="AW18" s="44"/>
      <c r="AX18" s="48" t="str">
        <f t="shared" si="5"/>
        <v/>
      </c>
      <c r="AY18" s="50"/>
      <c r="AZ18" s="50"/>
      <c r="BA18" s="50"/>
      <c r="BB18" s="50"/>
      <c r="BC18" s="50"/>
      <c r="BD18" s="50"/>
      <c r="BE18" s="50"/>
      <c r="BF18" s="48" t="str">
        <f t="shared" si="6"/>
        <v/>
      </c>
      <c r="BG18" s="44"/>
      <c r="BH18" s="44"/>
      <c r="BI18" s="44"/>
      <c r="BJ18" s="44"/>
      <c r="BK18" s="44"/>
      <c r="BL18" s="44"/>
      <c r="BM18" s="44"/>
      <c r="BN18" s="48" t="str">
        <f t="shared" si="7"/>
        <v/>
      </c>
      <c r="BO18" s="50"/>
      <c r="BP18" s="50"/>
      <c r="BQ18" s="50"/>
      <c r="BR18" s="50"/>
      <c r="BS18" s="50"/>
      <c r="BT18" s="50"/>
      <c r="BU18" s="50"/>
      <c r="BV18" s="48" t="str">
        <f t="shared" si="8"/>
        <v/>
      </c>
      <c r="BW18" s="44"/>
      <c r="BX18" s="44"/>
      <c r="BY18" s="44"/>
      <c r="BZ18" s="44"/>
      <c r="CA18" s="44"/>
      <c r="CB18" s="44"/>
      <c r="CC18" s="55"/>
      <c r="CD18" s="48" t="str">
        <f t="shared" si="9"/>
        <v/>
      </c>
    </row>
    <row r="19" spans="1:82" ht="40" customHeight="1" x14ac:dyDescent="0.15">
      <c r="A19" s="73" t="s">
        <v>73</v>
      </c>
      <c r="B19" s="74" t="s">
        <v>74</v>
      </c>
      <c r="C19" s="70"/>
      <c r="D19" s="44"/>
      <c r="E19" s="44"/>
      <c r="F19" s="44"/>
      <c r="G19" s="44"/>
      <c r="H19" s="44"/>
      <c r="I19" s="44"/>
      <c r="J19" s="48" t="str">
        <f t="shared" si="0"/>
        <v/>
      </c>
      <c r="K19" s="44"/>
      <c r="L19" s="44"/>
      <c r="M19" s="44"/>
      <c r="N19" s="44"/>
      <c r="O19" s="44"/>
      <c r="P19" s="44"/>
      <c r="Q19" s="44"/>
      <c r="R19" s="48" t="str">
        <f t="shared" si="1"/>
        <v/>
      </c>
      <c r="S19" s="47"/>
      <c r="T19" s="47"/>
      <c r="U19" s="47"/>
      <c r="V19" s="47"/>
      <c r="W19" s="47"/>
      <c r="X19" s="47"/>
      <c r="Y19" s="47"/>
      <c r="Z19" s="48" t="str">
        <f t="shared" si="2"/>
        <v/>
      </c>
      <c r="AA19" s="44"/>
      <c r="AB19" s="44"/>
      <c r="AC19" s="44"/>
      <c r="AD19" s="44"/>
      <c r="AE19" s="44"/>
      <c r="AF19" s="44"/>
      <c r="AG19" s="44"/>
      <c r="AH19" s="48" t="str">
        <f t="shared" si="3"/>
        <v/>
      </c>
      <c r="AI19" s="44"/>
      <c r="AJ19" s="44"/>
      <c r="AK19" s="44"/>
      <c r="AL19" s="44"/>
      <c r="AM19" s="44"/>
      <c r="AN19" s="44"/>
      <c r="AO19" s="44"/>
      <c r="AP19" s="48" t="str">
        <f t="shared" si="4"/>
        <v/>
      </c>
      <c r="AQ19" s="44"/>
      <c r="AR19" s="44"/>
      <c r="AS19" s="44"/>
      <c r="AT19" s="44"/>
      <c r="AU19" s="44"/>
      <c r="AV19" s="44"/>
      <c r="AW19" s="44"/>
      <c r="AX19" s="48" t="str">
        <f t="shared" si="5"/>
        <v/>
      </c>
      <c r="AY19" s="50"/>
      <c r="AZ19" s="50"/>
      <c r="BA19" s="50"/>
      <c r="BB19" s="50"/>
      <c r="BC19" s="50"/>
      <c r="BD19" s="50"/>
      <c r="BE19" s="50"/>
      <c r="BF19" s="48" t="str">
        <f t="shared" si="6"/>
        <v/>
      </c>
      <c r="BG19" s="44"/>
      <c r="BH19" s="44"/>
      <c r="BI19" s="44"/>
      <c r="BJ19" s="44"/>
      <c r="BK19" s="44"/>
      <c r="BL19" s="44"/>
      <c r="BM19" s="44"/>
      <c r="BN19" s="48" t="str">
        <f t="shared" si="7"/>
        <v/>
      </c>
      <c r="BO19" s="50"/>
      <c r="BP19" s="50"/>
      <c r="BQ19" s="50"/>
      <c r="BR19" s="50"/>
      <c r="BS19" s="50"/>
      <c r="BT19" s="50"/>
      <c r="BU19" s="50"/>
      <c r="BV19" s="48" t="str">
        <f t="shared" si="8"/>
        <v/>
      </c>
      <c r="BW19" s="44"/>
      <c r="BX19" s="44"/>
      <c r="BY19" s="44"/>
      <c r="BZ19" s="44"/>
      <c r="CA19" s="44"/>
      <c r="CB19" s="44"/>
      <c r="CC19" s="55"/>
      <c r="CD19" s="48" t="str">
        <f t="shared" si="9"/>
        <v/>
      </c>
    </row>
    <row r="20" spans="1:82" ht="40" customHeight="1" x14ac:dyDescent="0.15">
      <c r="A20" s="71" t="s">
        <v>75</v>
      </c>
      <c r="B20" s="72" t="s">
        <v>76</v>
      </c>
      <c r="C20" s="70"/>
      <c r="D20" s="44"/>
      <c r="E20" s="44"/>
      <c r="F20" s="44"/>
      <c r="G20" s="44"/>
      <c r="H20" s="44"/>
      <c r="I20" s="44"/>
      <c r="J20" s="48" t="str">
        <f t="shared" si="0"/>
        <v/>
      </c>
      <c r="K20" s="44"/>
      <c r="L20" s="44"/>
      <c r="M20" s="44"/>
      <c r="N20" s="44"/>
      <c r="O20" s="44"/>
      <c r="P20" s="44"/>
      <c r="Q20" s="44"/>
      <c r="R20" s="48" t="str">
        <f t="shared" si="1"/>
        <v/>
      </c>
      <c r="S20" s="47"/>
      <c r="T20" s="47"/>
      <c r="U20" s="47"/>
      <c r="V20" s="47"/>
      <c r="W20" s="47"/>
      <c r="X20" s="47"/>
      <c r="Y20" s="47"/>
      <c r="Z20" s="48" t="str">
        <f t="shared" si="2"/>
        <v/>
      </c>
      <c r="AA20" s="44"/>
      <c r="AB20" s="44"/>
      <c r="AC20" s="44"/>
      <c r="AD20" s="44"/>
      <c r="AE20" s="44"/>
      <c r="AF20" s="44"/>
      <c r="AG20" s="44"/>
      <c r="AH20" s="48" t="str">
        <f t="shared" si="3"/>
        <v/>
      </c>
      <c r="AI20" s="44"/>
      <c r="AJ20" s="44"/>
      <c r="AK20" s="44"/>
      <c r="AL20" s="44"/>
      <c r="AM20" s="44"/>
      <c r="AN20" s="44"/>
      <c r="AO20" s="44"/>
      <c r="AP20" s="48" t="str">
        <f t="shared" si="4"/>
        <v/>
      </c>
      <c r="AQ20" s="44"/>
      <c r="AR20" s="44"/>
      <c r="AS20" s="44"/>
      <c r="AT20" s="44"/>
      <c r="AU20" s="44"/>
      <c r="AV20" s="44"/>
      <c r="AW20" s="44"/>
      <c r="AX20" s="48" t="str">
        <f t="shared" si="5"/>
        <v/>
      </c>
      <c r="AY20" s="50"/>
      <c r="AZ20" s="50"/>
      <c r="BA20" s="50"/>
      <c r="BB20" s="50"/>
      <c r="BC20" s="50"/>
      <c r="BD20" s="50"/>
      <c r="BE20" s="50"/>
      <c r="BF20" s="48" t="str">
        <f t="shared" si="6"/>
        <v/>
      </c>
      <c r="BG20" s="44"/>
      <c r="BH20" s="44"/>
      <c r="BI20" s="44"/>
      <c r="BJ20" s="44"/>
      <c r="BK20" s="44"/>
      <c r="BL20" s="44"/>
      <c r="BM20" s="44"/>
      <c r="BN20" s="48" t="str">
        <f t="shared" si="7"/>
        <v/>
      </c>
      <c r="BO20" s="50"/>
      <c r="BP20" s="50"/>
      <c r="BQ20" s="50"/>
      <c r="BR20" s="50"/>
      <c r="BS20" s="50"/>
      <c r="BT20" s="50"/>
      <c r="BU20" s="50"/>
      <c r="BV20" s="48" t="str">
        <f t="shared" si="8"/>
        <v/>
      </c>
      <c r="BW20" s="44"/>
      <c r="BX20" s="44"/>
      <c r="BY20" s="44"/>
      <c r="BZ20" s="44"/>
      <c r="CA20" s="44"/>
      <c r="CB20" s="44"/>
      <c r="CC20" s="55"/>
      <c r="CD20" s="48" t="str">
        <f t="shared" si="9"/>
        <v/>
      </c>
    </row>
    <row r="21" spans="1:82" ht="40" customHeight="1" x14ac:dyDescent="0.15">
      <c r="A21" s="71" t="s">
        <v>77</v>
      </c>
      <c r="B21" s="72" t="s">
        <v>78</v>
      </c>
      <c r="C21" s="70"/>
      <c r="D21" s="44"/>
      <c r="E21" s="44"/>
      <c r="F21" s="44"/>
      <c r="G21" s="44"/>
      <c r="H21" s="44"/>
      <c r="I21" s="44"/>
      <c r="J21" s="48" t="str">
        <f t="shared" si="0"/>
        <v/>
      </c>
      <c r="K21" s="44"/>
      <c r="L21" s="44"/>
      <c r="M21" s="44"/>
      <c r="N21" s="44"/>
      <c r="O21" s="44"/>
      <c r="P21" s="44"/>
      <c r="Q21" s="44"/>
      <c r="R21" s="48" t="str">
        <f t="shared" si="1"/>
        <v/>
      </c>
      <c r="S21" s="47"/>
      <c r="T21" s="47"/>
      <c r="U21" s="47"/>
      <c r="V21" s="47"/>
      <c r="W21" s="47"/>
      <c r="X21" s="47"/>
      <c r="Y21" s="47"/>
      <c r="Z21" s="48" t="str">
        <f t="shared" si="2"/>
        <v/>
      </c>
      <c r="AA21" s="44"/>
      <c r="AB21" s="44"/>
      <c r="AC21" s="44"/>
      <c r="AD21" s="44"/>
      <c r="AE21" s="44"/>
      <c r="AF21" s="44"/>
      <c r="AG21" s="44"/>
      <c r="AH21" s="48" t="str">
        <f t="shared" si="3"/>
        <v/>
      </c>
      <c r="AI21" s="44"/>
      <c r="AJ21" s="44"/>
      <c r="AK21" s="44"/>
      <c r="AL21" s="44"/>
      <c r="AM21" s="44"/>
      <c r="AN21" s="44"/>
      <c r="AO21" s="44"/>
      <c r="AP21" s="48" t="str">
        <f t="shared" si="4"/>
        <v/>
      </c>
      <c r="AQ21" s="44"/>
      <c r="AR21" s="44"/>
      <c r="AS21" s="44"/>
      <c r="AT21" s="44"/>
      <c r="AU21" s="44"/>
      <c r="AV21" s="44"/>
      <c r="AW21" s="44"/>
      <c r="AX21" s="48" t="str">
        <f t="shared" si="5"/>
        <v/>
      </c>
      <c r="AY21" s="50"/>
      <c r="AZ21" s="50"/>
      <c r="BA21" s="50"/>
      <c r="BB21" s="50"/>
      <c r="BC21" s="50"/>
      <c r="BD21" s="50"/>
      <c r="BE21" s="50"/>
      <c r="BF21" s="48" t="str">
        <f t="shared" si="6"/>
        <v/>
      </c>
      <c r="BG21" s="44"/>
      <c r="BH21" s="44"/>
      <c r="BI21" s="44"/>
      <c r="BJ21" s="44"/>
      <c r="BK21" s="44"/>
      <c r="BL21" s="44"/>
      <c r="BM21" s="44"/>
      <c r="BN21" s="48" t="str">
        <f t="shared" si="7"/>
        <v/>
      </c>
      <c r="BO21" s="50"/>
      <c r="BP21" s="50"/>
      <c r="BQ21" s="50"/>
      <c r="BR21" s="50"/>
      <c r="BS21" s="50"/>
      <c r="BT21" s="50"/>
      <c r="BU21" s="50"/>
      <c r="BV21" s="48" t="str">
        <f t="shared" si="8"/>
        <v/>
      </c>
      <c r="BW21" s="44"/>
      <c r="BX21" s="44"/>
      <c r="BY21" s="44"/>
      <c r="BZ21" s="44"/>
      <c r="CA21" s="44"/>
      <c r="CB21" s="44"/>
      <c r="CC21" s="55"/>
      <c r="CD21" s="48" t="str">
        <f t="shared" si="9"/>
        <v/>
      </c>
    </row>
    <row r="22" spans="1:82" ht="40" customHeight="1" x14ac:dyDescent="0.15">
      <c r="A22" s="73" t="s">
        <v>79</v>
      </c>
      <c r="B22" s="74" t="s">
        <v>80</v>
      </c>
      <c r="C22" s="70"/>
      <c r="D22" s="44"/>
      <c r="E22" s="44"/>
      <c r="F22" s="44"/>
      <c r="G22" s="44"/>
      <c r="H22" s="44"/>
      <c r="I22" s="44"/>
      <c r="J22" s="48" t="str">
        <f t="shared" si="0"/>
        <v/>
      </c>
      <c r="K22" s="44"/>
      <c r="L22" s="44"/>
      <c r="M22" s="44"/>
      <c r="N22" s="44"/>
      <c r="O22" s="44"/>
      <c r="P22" s="44"/>
      <c r="Q22" s="44"/>
      <c r="R22" s="48" t="str">
        <f t="shared" si="1"/>
        <v/>
      </c>
      <c r="S22" s="47"/>
      <c r="T22" s="47"/>
      <c r="U22" s="47"/>
      <c r="V22" s="47"/>
      <c r="W22" s="47"/>
      <c r="X22" s="47"/>
      <c r="Y22" s="47"/>
      <c r="Z22" s="48" t="str">
        <f t="shared" si="2"/>
        <v/>
      </c>
      <c r="AA22" s="44"/>
      <c r="AB22" s="44"/>
      <c r="AC22" s="44"/>
      <c r="AD22" s="44"/>
      <c r="AE22" s="44"/>
      <c r="AF22" s="44"/>
      <c r="AG22" s="44"/>
      <c r="AH22" s="48" t="str">
        <f t="shared" si="3"/>
        <v/>
      </c>
      <c r="AI22" s="44"/>
      <c r="AJ22" s="44"/>
      <c r="AK22" s="44"/>
      <c r="AL22" s="44"/>
      <c r="AM22" s="44"/>
      <c r="AN22" s="44"/>
      <c r="AO22" s="44"/>
      <c r="AP22" s="48" t="str">
        <f t="shared" si="4"/>
        <v/>
      </c>
      <c r="AQ22" s="44"/>
      <c r="AR22" s="44"/>
      <c r="AS22" s="44"/>
      <c r="AT22" s="44"/>
      <c r="AU22" s="44"/>
      <c r="AV22" s="44"/>
      <c r="AW22" s="44"/>
      <c r="AX22" s="48" t="str">
        <f t="shared" si="5"/>
        <v/>
      </c>
      <c r="AY22" s="50"/>
      <c r="AZ22" s="50"/>
      <c r="BA22" s="50"/>
      <c r="BB22" s="50"/>
      <c r="BC22" s="50"/>
      <c r="BD22" s="50"/>
      <c r="BE22" s="50"/>
      <c r="BF22" s="48" t="str">
        <f t="shared" si="6"/>
        <v/>
      </c>
      <c r="BG22" s="44"/>
      <c r="BH22" s="44"/>
      <c r="BI22" s="44"/>
      <c r="BJ22" s="44"/>
      <c r="BK22" s="44"/>
      <c r="BL22" s="44"/>
      <c r="BM22" s="44"/>
      <c r="BN22" s="48" t="str">
        <f t="shared" si="7"/>
        <v/>
      </c>
      <c r="BO22" s="50"/>
      <c r="BP22" s="50"/>
      <c r="BQ22" s="50"/>
      <c r="BR22" s="50"/>
      <c r="BS22" s="50"/>
      <c r="BT22" s="50"/>
      <c r="BU22" s="50"/>
      <c r="BV22" s="48" t="str">
        <f t="shared" si="8"/>
        <v/>
      </c>
      <c r="BW22" s="44"/>
      <c r="BX22" s="44"/>
      <c r="BY22" s="44"/>
      <c r="BZ22" s="44"/>
      <c r="CA22" s="44"/>
      <c r="CB22" s="44"/>
      <c r="CC22" s="55"/>
      <c r="CD22" s="48" t="str">
        <f t="shared" si="9"/>
        <v/>
      </c>
    </row>
    <row r="23" spans="1:82" ht="40" customHeight="1" x14ac:dyDescent="0.15">
      <c r="A23" s="68" t="s">
        <v>81</v>
      </c>
      <c r="B23" s="69"/>
      <c r="C23" s="70"/>
      <c r="D23" s="44"/>
      <c r="E23" s="44"/>
      <c r="F23" s="44"/>
      <c r="G23" s="44"/>
      <c r="H23" s="44"/>
      <c r="I23" s="44"/>
      <c r="J23" s="48" t="str">
        <f t="shared" si="0"/>
        <v/>
      </c>
      <c r="K23" s="44"/>
      <c r="L23" s="44"/>
      <c r="M23" s="44"/>
      <c r="N23" s="44"/>
      <c r="O23" s="44"/>
      <c r="P23" s="44"/>
      <c r="Q23" s="44"/>
      <c r="R23" s="48" t="str">
        <f t="shared" si="1"/>
        <v/>
      </c>
      <c r="S23" s="47"/>
      <c r="T23" s="47"/>
      <c r="U23" s="47"/>
      <c r="V23" s="47"/>
      <c r="W23" s="47"/>
      <c r="X23" s="47"/>
      <c r="Y23" s="47"/>
      <c r="Z23" s="48" t="str">
        <f t="shared" si="2"/>
        <v/>
      </c>
      <c r="AA23" s="44"/>
      <c r="AB23" s="44"/>
      <c r="AC23" s="44"/>
      <c r="AD23" s="44"/>
      <c r="AE23" s="44"/>
      <c r="AF23" s="44"/>
      <c r="AG23" s="44"/>
      <c r="AH23" s="48" t="str">
        <f t="shared" si="3"/>
        <v/>
      </c>
      <c r="AI23" s="44"/>
      <c r="AJ23" s="44"/>
      <c r="AK23" s="44"/>
      <c r="AL23" s="44"/>
      <c r="AM23" s="44"/>
      <c r="AN23" s="44"/>
      <c r="AO23" s="44"/>
      <c r="AP23" s="48" t="str">
        <f t="shared" si="4"/>
        <v/>
      </c>
      <c r="AQ23" s="44"/>
      <c r="AR23" s="44"/>
      <c r="AS23" s="44"/>
      <c r="AT23" s="44"/>
      <c r="AU23" s="44"/>
      <c r="AV23" s="44"/>
      <c r="AW23" s="44"/>
      <c r="AX23" s="48" t="str">
        <f t="shared" si="5"/>
        <v/>
      </c>
      <c r="AY23" s="50"/>
      <c r="AZ23" s="50"/>
      <c r="BA23" s="50"/>
      <c r="BB23" s="50"/>
      <c r="BC23" s="50"/>
      <c r="BD23" s="50"/>
      <c r="BE23" s="50"/>
      <c r="BF23" s="48" t="str">
        <f t="shared" si="6"/>
        <v/>
      </c>
      <c r="BG23" s="44"/>
      <c r="BH23" s="44"/>
      <c r="BI23" s="44"/>
      <c r="BJ23" s="44"/>
      <c r="BK23" s="44"/>
      <c r="BL23" s="44"/>
      <c r="BM23" s="44"/>
      <c r="BN23" s="48" t="str">
        <f t="shared" si="7"/>
        <v/>
      </c>
      <c r="BO23" s="50"/>
      <c r="BP23" s="50"/>
      <c r="BQ23" s="50"/>
      <c r="BR23" s="50"/>
      <c r="BS23" s="50"/>
      <c r="BT23" s="50"/>
      <c r="BU23" s="50"/>
      <c r="BV23" s="48" t="str">
        <f t="shared" si="8"/>
        <v/>
      </c>
      <c r="BW23" s="44"/>
      <c r="BX23" s="44"/>
      <c r="BY23" s="44"/>
      <c r="BZ23" s="44"/>
      <c r="CA23" s="44"/>
      <c r="CB23" s="44"/>
      <c r="CC23" s="55"/>
      <c r="CD23" s="48" t="str">
        <f t="shared" si="9"/>
        <v/>
      </c>
    </row>
    <row r="24" spans="1:82" ht="40" customHeight="1" x14ac:dyDescent="0.15">
      <c r="A24" s="71" t="s">
        <v>82</v>
      </c>
      <c r="B24" s="72" t="s">
        <v>83</v>
      </c>
      <c r="C24" s="70"/>
      <c r="D24" s="44"/>
      <c r="E24" s="44"/>
      <c r="F24" s="44"/>
      <c r="G24" s="44"/>
      <c r="H24" s="44"/>
      <c r="I24" s="44"/>
      <c r="J24" s="48" t="str">
        <f t="shared" si="0"/>
        <v/>
      </c>
      <c r="K24" s="44"/>
      <c r="L24" s="44"/>
      <c r="M24" s="44"/>
      <c r="N24" s="44"/>
      <c r="O24" s="44"/>
      <c r="P24" s="44"/>
      <c r="Q24" s="44"/>
      <c r="R24" s="48" t="str">
        <f t="shared" si="1"/>
        <v/>
      </c>
      <c r="S24" s="47"/>
      <c r="T24" s="47"/>
      <c r="U24" s="47"/>
      <c r="V24" s="47"/>
      <c r="W24" s="47"/>
      <c r="X24" s="47"/>
      <c r="Y24" s="47"/>
      <c r="Z24" s="48" t="str">
        <f t="shared" si="2"/>
        <v/>
      </c>
      <c r="AA24" s="44"/>
      <c r="AB24" s="44"/>
      <c r="AC24" s="44"/>
      <c r="AD24" s="44"/>
      <c r="AE24" s="44"/>
      <c r="AF24" s="44"/>
      <c r="AG24" s="44"/>
      <c r="AH24" s="48" t="str">
        <f t="shared" si="3"/>
        <v/>
      </c>
      <c r="AI24" s="44"/>
      <c r="AJ24" s="44"/>
      <c r="AK24" s="44"/>
      <c r="AL24" s="44"/>
      <c r="AM24" s="44"/>
      <c r="AN24" s="44"/>
      <c r="AO24" s="44"/>
      <c r="AP24" s="48" t="str">
        <f t="shared" si="4"/>
        <v/>
      </c>
      <c r="AQ24" s="44"/>
      <c r="AR24" s="44"/>
      <c r="AS24" s="44"/>
      <c r="AT24" s="44"/>
      <c r="AU24" s="44"/>
      <c r="AV24" s="44"/>
      <c r="AW24" s="44"/>
      <c r="AX24" s="48" t="str">
        <f t="shared" si="5"/>
        <v/>
      </c>
      <c r="AY24" s="50"/>
      <c r="AZ24" s="50"/>
      <c r="BA24" s="50"/>
      <c r="BB24" s="50"/>
      <c r="BC24" s="50"/>
      <c r="BD24" s="50"/>
      <c r="BE24" s="50"/>
      <c r="BF24" s="48" t="str">
        <f t="shared" si="6"/>
        <v/>
      </c>
      <c r="BG24" s="44"/>
      <c r="BH24" s="44"/>
      <c r="BI24" s="44"/>
      <c r="BJ24" s="44"/>
      <c r="BK24" s="44"/>
      <c r="BL24" s="44"/>
      <c r="BM24" s="44"/>
      <c r="BN24" s="48" t="str">
        <f t="shared" si="7"/>
        <v/>
      </c>
      <c r="BO24" s="50"/>
      <c r="BP24" s="50"/>
      <c r="BQ24" s="50"/>
      <c r="BR24" s="50"/>
      <c r="BS24" s="50"/>
      <c r="BT24" s="50"/>
      <c r="BU24" s="50"/>
      <c r="BV24" s="48" t="str">
        <f t="shared" si="8"/>
        <v/>
      </c>
      <c r="BW24" s="44"/>
      <c r="BX24" s="44"/>
      <c r="BY24" s="44"/>
      <c r="BZ24" s="44"/>
      <c r="CA24" s="44"/>
      <c r="CB24" s="44"/>
      <c r="CC24" s="55"/>
      <c r="CD24" s="48" t="str">
        <f t="shared" si="9"/>
        <v/>
      </c>
    </row>
    <row r="25" spans="1:82" ht="40" customHeight="1" x14ac:dyDescent="0.15">
      <c r="A25" s="68" t="s">
        <v>84</v>
      </c>
      <c r="B25" s="69"/>
      <c r="C25" s="70"/>
      <c r="D25" s="44"/>
      <c r="E25" s="44"/>
      <c r="F25" s="44"/>
      <c r="G25" s="44"/>
      <c r="H25" s="44"/>
      <c r="I25" s="44"/>
      <c r="J25" s="48" t="str">
        <f t="shared" si="0"/>
        <v/>
      </c>
      <c r="K25" s="44"/>
      <c r="L25" s="44"/>
      <c r="M25" s="44"/>
      <c r="N25" s="44"/>
      <c r="O25" s="44"/>
      <c r="P25" s="44"/>
      <c r="Q25" s="44"/>
      <c r="R25" s="48" t="str">
        <f t="shared" si="1"/>
        <v/>
      </c>
      <c r="S25" s="47"/>
      <c r="T25" s="47"/>
      <c r="U25" s="47"/>
      <c r="V25" s="47"/>
      <c r="W25" s="47"/>
      <c r="X25" s="47"/>
      <c r="Y25" s="47"/>
      <c r="Z25" s="48" t="str">
        <f t="shared" si="2"/>
        <v/>
      </c>
      <c r="AA25" s="44"/>
      <c r="AB25" s="44"/>
      <c r="AC25" s="44"/>
      <c r="AD25" s="44"/>
      <c r="AE25" s="44"/>
      <c r="AF25" s="44"/>
      <c r="AG25" s="44"/>
      <c r="AH25" s="48" t="str">
        <f t="shared" si="3"/>
        <v/>
      </c>
      <c r="AI25" s="44"/>
      <c r="AJ25" s="44"/>
      <c r="AK25" s="44"/>
      <c r="AL25" s="44"/>
      <c r="AM25" s="44"/>
      <c r="AN25" s="44"/>
      <c r="AO25" s="44"/>
      <c r="AP25" s="48" t="str">
        <f t="shared" si="4"/>
        <v/>
      </c>
      <c r="AQ25" s="44"/>
      <c r="AR25" s="44"/>
      <c r="AS25" s="44"/>
      <c r="AT25" s="44"/>
      <c r="AU25" s="44"/>
      <c r="AV25" s="44"/>
      <c r="AW25" s="44"/>
      <c r="AX25" s="48" t="str">
        <f t="shared" si="5"/>
        <v/>
      </c>
      <c r="AY25" s="50"/>
      <c r="AZ25" s="50"/>
      <c r="BA25" s="50"/>
      <c r="BB25" s="50"/>
      <c r="BC25" s="50"/>
      <c r="BD25" s="50"/>
      <c r="BE25" s="50"/>
      <c r="BF25" s="48" t="str">
        <f t="shared" si="6"/>
        <v/>
      </c>
      <c r="BG25" s="44"/>
      <c r="BH25" s="44"/>
      <c r="BI25" s="44"/>
      <c r="BJ25" s="44"/>
      <c r="BK25" s="44"/>
      <c r="BL25" s="44"/>
      <c r="BM25" s="44"/>
      <c r="BN25" s="48" t="str">
        <f t="shared" si="7"/>
        <v/>
      </c>
      <c r="BO25" s="50"/>
      <c r="BP25" s="50"/>
      <c r="BQ25" s="50"/>
      <c r="BR25" s="50"/>
      <c r="BS25" s="50"/>
      <c r="BT25" s="50"/>
      <c r="BU25" s="50"/>
      <c r="BV25" s="48" t="str">
        <f t="shared" si="8"/>
        <v/>
      </c>
      <c r="BW25" s="44"/>
      <c r="BX25" s="44"/>
      <c r="BY25" s="44"/>
      <c r="BZ25" s="44"/>
      <c r="CA25" s="44"/>
      <c r="CB25" s="44"/>
      <c r="CC25" s="55"/>
      <c r="CD25" s="48" t="str">
        <f t="shared" si="9"/>
        <v/>
      </c>
    </row>
    <row r="26" spans="1:82" ht="40" customHeight="1" x14ac:dyDescent="0.15">
      <c r="A26" s="71" t="s">
        <v>85</v>
      </c>
      <c r="B26" s="72" t="s">
        <v>86</v>
      </c>
      <c r="C26" s="70"/>
      <c r="D26" s="44"/>
      <c r="E26" s="44"/>
      <c r="F26" s="44"/>
      <c r="G26" s="44"/>
      <c r="H26" s="44"/>
      <c r="I26" s="44"/>
      <c r="J26" s="48" t="str">
        <f t="shared" si="0"/>
        <v/>
      </c>
      <c r="K26" s="44"/>
      <c r="L26" s="44"/>
      <c r="M26" s="44"/>
      <c r="N26" s="44"/>
      <c r="O26" s="44"/>
      <c r="P26" s="44"/>
      <c r="Q26" s="44"/>
      <c r="R26" s="48" t="str">
        <f t="shared" si="1"/>
        <v/>
      </c>
      <c r="S26" s="47"/>
      <c r="T26" s="47"/>
      <c r="U26" s="47"/>
      <c r="V26" s="47"/>
      <c r="W26" s="47"/>
      <c r="X26" s="47"/>
      <c r="Y26" s="47"/>
      <c r="Z26" s="48" t="str">
        <f t="shared" si="2"/>
        <v/>
      </c>
      <c r="AA26" s="44"/>
      <c r="AB26" s="44"/>
      <c r="AC26" s="44"/>
      <c r="AD26" s="44"/>
      <c r="AE26" s="44"/>
      <c r="AF26" s="44"/>
      <c r="AG26" s="44"/>
      <c r="AH26" s="48" t="str">
        <f t="shared" si="3"/>
        <v/>
      </c>
      <c r="AI26" s="44"/>
      <c r="AJ26" s="44"/>
      <c r="AK26" s="44"/>
      <c r="AL26" s="44"/>
      <c r="AM26" s="44"/>
      <c r="AN26" s="44"/>
      <c r="AO26" s="44"/>
      <c r="AP26" s="48" t="str">
        <f t="shared" si="4"/>
        <v/>
      </c>
      <c r="AQ26" s="44"/>
      <c r="AR26" s="44"/>
      <c r="AS26" s="44"/>
      <c r="AT26" s="44"/>
      <c r="AU26" s="44"/>
      <c r="AV26" s="44"/>
      <c r="AW26" s="44"/>
      <c r="AX26" s="48" t="str">
        <f t="shared" si="5"/>
        <v/>
      </c>
      <c r="AY26" s="50"/>
      <c r="AZ26" s="50"/>
      <c r="BA26" s="50"/>
      <c r="BB26" s="50"/>
      <c r="BC26" s="50"/>
      <c r="BD26" s="50"/>
      <c r="BE26" s="50"/>
      <c r="BF26" s="48" t="str">
        <f t="shared" si="6"/>
        <v/>
      </c>
      <c r="BG26" s="44"/>
      <c r="BH26" s="44"/>
      <c r="BI26" s="44"/>
      <c r="BJ26" s="44"/>
      <c r="BK26" s="44"/>
      <c r="BL26" s="44"/>
      <c r="BM26" s="44"/>
      <c r="BN26" s="48" t="str">
        <f t="shared" si="7"/>
        <v/>
      </c>
      <c r="BO26" s="50"/>
      <c r="BP26" s="50"/>
      <c r="BQ26" s="50"/>
      <c r="BR26" s="50"/>
      <c r="BS26" s="50"/>
      <c r="BT26" s="50"/>
      <c r="BU26" s="50"/>
      <c r="BV26" s="48" t="str">
        <f t="shared" si="8"/>
        <v/>
      </c>
      <c r="BW26" s="44"/>
      <c r="BX26" s="44"/>
      <c r="BY26" s="44"/>
      <c r="BZ26" s="44"/>
      <c r="CA26" s="44"/>
      <c r="CB26" s="44"/>
      <c r="CC26" s="55"/>
      <c r="CD26" s="48" t="str">
        <f t="shared" si="9"/>
        <v/>
      </c>
    </row>
    <row r="27" spans="1:82" ht="40" customHeight="1" x14ac:dyDescent="0.15">
      <c r="A27" s="73" t="s">
        <v>87</v>
      </c>
      <c r="B27" s="74" t="s">
        <v>88</v>
      </c>
      <c r="C27" s="70"/>
      <c r="D27" s="44"/>
      <c r="E27" s="44"/>
      <c r="F27" s="44"/>
      <c r="G27" s="44"/>
      <c r="H27" s="44"/>
      <c r="I27" s="44"/>
      <c r="J27" s="48" t="str">
        <f t="shared" si="0"/>
        <v/>
      </c>
      <c r="K27" s="44"/>
      <c r="L27" s="44"/>
      <c r="M27" s="44"/>
      <c r="N27" s="44"/>
      <c r="O27" s="44"/>
      <c r="P27" s="44"/>
      <c r="Q27" s="44"/>
      <c r="R27" s="48" t="str">
        <f t="shared" si="1"/>
        <v/>
      </c>
      <c r="S27" s="47"/>
      <c r="T27" s="47"/>
      <c r="U27" s="47"/>
      <c r="V27" s="47"/>
      <c r="W27" s="47"/>
      <c r="X27" s="47"/>
      <c r="Y27" s="47"/>
      <c r="Z27" s="48" t="str">
        <f t="shared" si="2"/>
        <v/>
      </c>
      <c r="AA27" s="44"/>
      <c r="AB27" s="44"/>
      <c r="AC27" s="44"/>
      <c r="AD27" s="44"/>
      <c r="AE27" s="44"/>
      <c r="AF27" s="44"/>
      <c r="AG27" s="44"/>
      <c r="AH27" s="48" t="str">
        <f t="shared" si="3"/>
        <v/>
      </c>
      <c r="AI27" s="44"/>
      <c r="AJ27" s="44"/>
      <c r="AK27" s="44"/>
      <c r="AL27" s="44"/>
      <c r="AM27" s="44"/>
      <c r="AN27" s="44"/>
      <c r="AO27" s="44"/>
      <c r="AP27" s="48" t="str">
        <f t="shared" si="4"/>
        <v/>
      </c>
      <c r="AQ27" s="44"/>
      <c r="AR27" s="44"/>
      <c r="AS27" s="44"/>
      <c r="AT27" s="44"/>
      <c r="AU27" s="44"/>
      <c r="AV27" s="44"/>
      <c r="AW27" s="44"/>
      <c r="AX27" s="48" t="str">
        <f t="shared" si="5"/>
        <v/>
      </c>
      <c r="AY27" s="50"/>
      <c r="AZ27" s="50"/>
      <c r="BA27" s="50"/>
      <c r="BB27" s="50"/>
      <c r="BC27" s="50"/>
      <c r="BD27" s="50"/>
      <c r="BE27" s="50"/>
      <c r="BF27" s="48" t="str">
        <f t="shared" si="6"/>
        <v/>
      </c>
      <c r="BG27" s="44"/>
      <c r="BH27" s="44"/>
      <c r="BI27" s="44"/>
      <c r="BJ27" s="44"/>
      <c r="BK27" s="44"/>
      <c r="BL27" s="44"/>
      <c r="BM27" s="44"/>
      <c r="BN27" s="48" t="str">
        <f t="shared" si="7"/>
        <v/>
      </c>
      <c r="BO27" s="50"/>
      <c r="BP27" s="50"/>
      <c r="BQ27" s="50"/>
      <c r="BR27" s="50"/>
      <c r="BS27" s="50"/>
      <c r="BT27" s="50"/>
      <c r="BU27" s="50"/>
      <c r="BV27" s="48" t="str">
        <f t="shared" si="8"/>
        <v/>
      </c>
      <c r="BW27" s="44"/>
      <c r="BX27" s="44"/>
      <c r="BY27" s="44"/>
      <c r="BZ27" s="44"/>
      <c r="CA27" s="44"/>
      <c r="CB27" s="44"/>
      <c r="CC27" s="55"/>
      <c r="CD27" s="48" t="str">
        <f t="shared" si="9"/>
        <v/>
      </c>
    </row>
    <row r="28" spans="1:82" ht="40" customHeight="1" x14ac:dyDescent="0.15">
      <c r="A28" s="71" t="s">
        <v>89</v>
      </c>
      <c r="B28" s="72" t="s">
        <v>90</v>
      </c>
      <c r="C28" s="70"/>
      <c r="D28" s="44"/>
      <c r="E28" s="44"/>
      <c r="F28" s="44"/>
      <c r="G28" s="44"/>
      <c r="H28" s="44"/>
      <c r="I28" s="44"/>
      <c r="J28" s="48" t="str">
        <f t="shared" si="0"/>
        <v/>
      </c>
      <c r="K28" s="44"/>
      <c r="L28" s="44"/>
      <c r="M28" s="44"/>
      <c r="N28" s="44"/>
      <c r="O28" s="44"/>
      <c r="P28" s="44"/>
      <c r="Q28" s="44"/>
      <c r="R28" s="48" t="str">
        <f t="shared" si="1"/>
        <v/>
      </c>
      <c r="S28" s="47"/>
      <c r="T28" s="47"/>
      <c r="U28" s="47"/>
      <c r="V28" s="47"/>
      <c r="W28" s="47"/>
      <c r="X28" s="47"/>
      <c r="Y28" s="47"/>
      <c r="Z28" s="48" t="str">
        <f t="shared" si="2"/>
        <v/>
      </c>
      <c r="AA28" s="44"/>
      <c r="AB28" s="44"/>
      <c r="AC28" s="44"/>
      <c r="AD28" s="44"/>
      <c r="AE28" s="44"/>
      <c r="AF28" s="44"/>
      <c r="AG28" s="44"/>
      <c r="AH28" s="48" t="str">
        <f t="shared" si="3"/>
        <v/>
      </c>
      <c r="AI28" s="44"/>
      <c r="AJ28" s="44"/>
      <c r="AK28" s="44"/>
      <c r="AL28" s="44"/>
      <c r="AM28" s="44"/>
      <c r="AN28" s="44"/>
      <c r="AO28" s="44"/>
      <c r="AP28" s="48" t="str">
        <f t="shared" si="4"/>
        <v/>
      </c>
      <c r="AQ28" s="44"/>
      <c r="AR28" s="44"/>
      <c r="AS28" s="44"/>
      <c r="AT28" s="44"/>
      <c r="AU28" s="44"/>
      <c r="AV28" s="44"/>
      <c r="AW28" s="44"/>
      <c r="AX28" s="48" t="str">
        <f t="shared" si="5"/>
        <v/>
      </c>
      <c r="AY28" s="50"/>
      <c r="AZ28" s="50"/>
      <c r="BA28" s="50"/>
      <c r="BB28" s="50"/>
      <c r="BC28" s="50"/>
      <c r="BD28" s="50"/>
      <c r="BE28" s="50"/>
      <c r="BF28" s="48" t="str">
        <f t="shared" si="6"/>
        <v/>
      </c>
      <c r="BG28" s="44"/>
      <c r="BH28" s="44"/>
      <c r="BI28" s="44"/>
      <c r="BJ28" s="44"/>
      <c r="BK28" s="44"/>
      <c r="BL28" s="44"/>
      <c r="BM28" s="44"/>
      <c r="BN28" s="48" t="str">
        <f t="shared" si="7"/>
        <v/>
      </c>
      <c r="BO28" s="50"/>
      <c r="BP28" s="50"/>
      <c r="BQ28" s="50"/>
      <c r="BR28" s="50"/>
      <c r="BS28" s="50"/>
      <c r="BT28" s="50"/>
      <c r="BU28" s="50"/>
      <c r="BV28" s="48" t="str">
        <f t="shared" si="8"/>
        <v/>
      </c>
      <c r="BW28" s="44"/>
      <c r="BX28" s="44"/>
      <c r="BY28" s="44"/>
      <c r="BZ28" s="44"/>
      <c r="CA28" s="44"/>
      <c r="CB28" s="44"/>
      <c r="CC28" s="55"/>
      <c r="CD28" s="48" t="str">
        <f t="shared" si="9"/>
        <v/>
      </c>
    </row>
    <row r="29" spans="1:82" ht="40" customHeight="1" x14ac:dyDescent="0.15">
      <c r="A29" s="73" t="s">
        <v>91</v>
      </c>
      <c r="B29" s="74" t="s">
        <v>92</v>
      </c>
      <c r="C29" s="70"/>
      <c r="D29" s="44"/>
      <c r="E29" s="44"/>
      <c r="F29" s="44"/>
      <c r="G29" s="44"/>
      <c r="H29" s="44"/>
      <c r="I29" s="44"/>
      <c r="J29" s="48" t="str">
        <f t="shared" si="0"/>
        <v/>
      </c>
      <c r="K29" s="44"/>
      <c r="L29" s="44"/>
      <c r="M29" s="44"/>
      <c r="N29" s="44"/>
      <c r="O29" s="44"/>
      <c r="P29" s="44"/>
      <c r="Q29" s="44"/>
      <c r="R29" s="48" t="str">
        <f t="shared" si="1"/>
        <v/>
      </c>
      <c r="S29" s="47"/>
      <c r="T29" s="47"/>
      <c r="U29" s="47"/>
      <c r="V29" s="47"/>
      <c r="W29" s="47"/>
      <c r="X29" s="47"/>
      <c r="Y29" s="47"/>
      <c r="Z29" s="48" t="str">
        <f t="shared" si="2"/>
        <v/>
      </c>
      <c r="AA29" s="44"/>
      <c r="AB29" s="44"/>
      <c r="AC29" s="44"/>
      <c r="AD29" s="44"/>
      <c r="AE29" s="44"/>
      <c r="AF29" s="44"/>
      <c r="AG29" s="44"/>
      <c r="AH29" s="48" t="str">
        <f t="shared" si="3"/>
        <v/>
      </c>
      <c r="AI29" s="44"/>
      <c r="AJ29" s="44"/>
      <c r="AK29" s="44"/>
      <c r="AL29" s="44"/>
      <c r="AM29" s="44"/>
      <c r="AN29" s="44"/>
      <c r="AO29" s="44"/>
      <c r="AP29" s="48" t="str">
        <f t="shared" si="4"/>
        <v/>
      </c>
      <c r="AQ29" s="44"/>
      <c r="AR29" s="44"/>
      <c r="AS29" s="44"/>
      <c r="AT29" s="44"/>
      <c r="AU29" s="44"/>
      <c r="AV29" s="44"/>
      <c r="AW29" s="44"/>
      <c r="AX29" s="48" t="str">
        <f t="shared" si="5"/>
        <v/>
      </c>
      <c r="AY29" s="50"/>
      <c r="AZ29" s="50"/>
      <c r="BA29" s="50"/>
      <c r="BB29" s="50"/>
      <c r="BC29" s="50"/>
      <c r="BD29" s="50"/>
      <c r="BE29" s="50"/>
      <c r="BF29" s="48" t="str">
        <f t="shared" si="6"/>
        <v/>
      </c>
      <c r="BG29" s="44"/>
      <c r="BH29" s="44"/>
      <c r="BI29" s="44"/>
      <c r="BJ29" s="44"/>
      <c r="BK29" s="44"/>
      <c r="BL29" s="44"/>
      <c r="BM29" s="44"/>
      <c r="BN29" s="48" t="str">
        <f t="shared" si="7"/>
        <v/>
      </c>
      <c r="BO29" s="50"/>
      <c r="BP29" s="50"/>
      <c r="BQ29" s="50"/>
      <c r="BR29" s="50"/>
      <c r="BS29" s="50"/>
      <c r="BT29" s="50"/>
      <c r="BU29" s="50"/>
      <c r="BV29" s="48" t="str">
        <f t="shared" si="8"/>
        <v/>
      </c>
      <c r="BW29" s="44"/>
      <c r="BX29" s="44"/>
      <c r="BY29" s="44"/>
      <c r="BZ29" s="44"/>
      <c r="CA29" s="44"/>
      <c r="CB29" s="44"/>
      <c r="CC29" s="55"/>
      <c r="CD29" s="48" t="str">
        <f t="shared" si="9"/>
        <v/>
      </c>
    </row>
    <row r="30" spans="1:82" ht="40" customHeight="1" x14ac:dyDescent="0.15">
      <c r="A30" s="71" t="s">
        <v>93</v>
      </c>
      <c r="B30" s="72" t="s">
        <v>94</v>
      </c>
      <c r="C30" s="70"/>
      <c r="D30" s="44"/>
      <c r="E30" s="44"/>
      <c r="F30" s="44"/>
      <c r="G30" s="44"/>
      <c r="H30" s="44"/>
      <c r="I30" s="44"/>
      <c r="J30" s="48" t="str">
        <f t="shared" si="0"/>
        <v/>
      </c>
      <c r="K30" s="44"/>
      <c r="L30" s="44"/>
      <c r="M30" s="44"/>
      <c r="N30" s="44"/>
      <c r="O30" s="44"/>
      <c r="P30" s="44"/>
      <c r="Q30" s="44"/>
      <c r="R30" s="48" t="str">
        <f t="shared" si="1"/>
        <v/>
      </c>
      <c r="S30" s="47"/>
      <c r="T30" s="47"/>
      <c r="U30" s="47"/>
      <c r="V30" s="47"/>
      <c r="W30" s="47"/>
      <c r="X30" s="47"/>
      <c r="Y30" s="47"/>
      <c r="Z30" s="48" t="str">
        <f t="shared" si="2"/>
        <v/>
      </c>
      <c r="AA30" s="44"/>
      <c r="AB30" s="44"/>
      <c r="AC30" s="44"/>
      <c r="AD30" s="44"/>
      <c r="AE30" s="44"/>
      <c r="AF30" s="44"/>
      <c r="AG30" s="44"/>
      <c r="AH30" s="48" t="str">
        <f t="shared" si="3"/>
        <v/>
      </c>
      <c r="AI30" s="44"/>
      <c r="AJ30" s="44"/>
      <c r="AK30" s="44"/>
      <c r="AL30" s="44"/>
      <c r="AM30" s="44"/>
      <c r="AN30" s="44"/>
      <c r="AO30" s="44"/>
      <c r="AP30" s="48" t="str">
        <f t="shared" si="4"/>
        <v/>
      </c>
      <c r="AQ30" s="44"/>
      <c r="AR30" s="44"/>
      <c r="AS30" s="44"/>
      <c r="AT30" s="44"/>
      <c r="AU30" s="44"/>
      <c r="AV30" s="44"/>
      <c r="AW30" s="44"/>
      <c r="AX30" s="48" t="str">
        <f t="shared" si="5"/>
        <v/>
      </c>
      <c r="AY30" s="50"/>
      <c r="AZ30" s="50"/>
      <c r="BA30" s="50"/>
      <c r="BB30" s="50"/>
      <c r="BC30" s="50"/>
      <c r="BD30" s="50"/>
      <c r="BE30" s="50"/>
      <c r="BF30" s="48" t="str">
        <f t="shared" si="6"/>
        <v/>
      </c>
      <c r="BG30" s="44"/>
      <c r="BH30" s="44"/>
      <c r="BI30" s="44"/>
      <c r="BJ30" s="44"/>
      <c r="BK30" s="44"/>
      <c r="BL30" s="44"/>
      <c r="BM30" s="44"/>
      <c r="BN30" s="48" t="str">
        <f t="shared" si="7"/>
        <v/>
      </c>
      <c r="BO30" s="50"/>
      <c r="BP30" s="50"/>
      <c r="BQ30" s="50"/>
      <c r="BR30" s="50"/>
      <c r="BS30" s="50"/>
      <c r="BT30" s="50"/>
      <c r="BU30" s="50"/>
      <c r="BV30" s="48" t="str">
        <f t="shared" si="8"/>
        <v/>
      </c>
      <c r="BW30" s="44"/>
      <c r="BX30" s="44"/>
      <c r="BY30" s="44"/>
      <c r="BZ30" s="44"/>
      <c r="CA30" s="44"/>
      <c r="CB30" s="44"/>
      <c r="CC30" s="55"/>
      <c r="CD30" s="48" t="str">
        <f t="shared" si="9"/>
        <v/>
      </c>
    </row>
    <row r="31" spans="1:82" ht="40" customHeight="1" x14ac:dyDescent="0.15">
      <c r="A31" s="73" t="s">
        <v>95</v>
      </c>
      <c r="B31" s="74" t="s">
        <v>96</v>
      </c>
      <c r="C31" s="70"/>
      <c r="D31" s="44"/>
      <c r="E31" s="44"/>
      <c r="F31" s="44"/>
      <c r="G31" s="44"/>
      <c r="H31" s="44"/>
      <c r="I31" s="44"/>
      <c r="J31" s="48" t="str">
        <f t="shared" si="0"/>
        <v/>
      </c>
      <c r="K31" s="44"/>
      <c r="L31" s="44"/>
      <c r="M31" s="44"/>
      <c r="N31" s="44"/>
      <c r="O31" s="44"/>
      <c r="P31" s="44"/>
      <c r="Q31" s="44"/>
      <c r="R31" s="48" t="str">
        <f t="shared" si="1"/>
        <v/>
      </c>
      <c r="S31" s="47"/>
      <c r="T31" s="47"/>
      <c r="U31" s="47"/>
      <c r="V31" s="47"/>
      <c r="W31" s="47"/>
      <c r="X31" s="47"/>
      <c r="Y31" s="47"/>
      <c r="Z31" s="48" t="str">
        <f t="shared" si="2"/>
        <v/>
      </c>
      <c r="AA31" s="44"/>
      <c r="AB31" s="44"/>
      <c r="AC31" s="44"/>
      <c r="AD31" s="44"/>
      <c r="AE31" s="44"/>
      <c r="AF31" s="44"/>
      <c r="AG31" s="44"/>
      <c r="AH31" s="48" t="str">
        <f t="shared" si="3"/>
        <v/>
      </c>
      <c r="AI31" s="44"/>
      <c r="AJ31" s="44"/>
      <c r="AK31" s="44"/>
      <c r="AL31" s="44"/>
      <c r="AM31" s="44"/>
      <c r="AN31" s="44"/>
      <c r="AO31" s="44"/>
      <c r="AP31" s="48" t="str">
        <f t="shared" si="4"/>
        <v/>
      </c>
      <c r="AQ31" s="44"/>
      <c r="AR31" s="44"/>
      <c r="AS31" s="44"/>
      <c r="AT31" s="44"/>
      <c r="AU31" s="44"/>
      <c r="AV31" s="44"/>
      <c r="AW31" s="44"/>
      <c r="AX31" s="48" t="str">
        <f t="shared" si="5"/>
        <v/>
      </c>
      <c r="AY31" s="50"/>
      <c r="AZ31" s="50"/>
      <c r="BA31" s="50"/>
      <c r="BB31" s="50"/>
      <c r="BC31" s="50"/>
      <c r="BD31" s="50"/>
      <c r="BE31" s="50"/>
      <c r="BF31" s="48" t="str">
        <f t="shared" si="6"/>
        <v/>
      </c>
      <c r="BG31" s="44"/>
      <c r="BH31" s="44"/>
      <c r="BI31" s="44"/>
      <c r="BJ31" s="44"/>
      <c r="BK31" s="44"/>
      <c r="BL31" s="44"/>
      <c r="BM31" s="44"/>
      <c r="BN31" s="48" t="str">
        <f t="shared" si="7"/>
        <v/>
      </c>
      <c r="BO31" s="50"/>
      <c r="BP31" s="50"/>
      <c r="BQ31" s="50"/>
      <c r="BR31" s="50"/>
      <c r="BS31" s="50"/>
      <c r="BT31" s="50"/>
      <c r="BU31" s="50"/>
      <c r="BV31" s="48" t="str">
        <f t="shared" si="8"/>
        <v/>
      </c>
      <c r="BW31" s="44"/>
      <c r="BX31" s="44"/>
      <c r="BY31" s="44"/>
      <c r="BZ31" s="44"/>
      <c r="CA31" s="44"/>
      <c r="CB31" s="44"/>
      <c r="CC31" s="55"/>
      <c r="CD31" s="48" t="str">
        <f t="shared" si="9"/>
        <v/>
      </c>
    </row>
    <row r="32" spans="1:82" ht="40" customHeight="1" x14ac:dyDescent="0.15">
      <c r="A32" s="71" t="s">
        <v>97</v>
      </c>
      <c r="B32" s="72" t="s">
        <v>98</v>
      </c>
      <c r="C32" s="70"/>
      <c r="D32" s="44"/>
      <c r="E32" s="44"/>
      <c r="F32" s="44"/>
      <c r="G32" s="44"/>
      <c r="H32" s="44"/>
      <c r="I32" s="44"/>
      <c r="J32" s="48" t="str">
        <f t="shared" si="0"/>
        <v/>
      </c>
      <c r="K32" s="44"/>
      <c r="L32" s="44"/>
      <c r="M32" s="44"/>
      <c r="N32" s="44"/>
      <c r="O32" s="44"/>
      <c r="P32" s="44"/>
      <c r="Q32" s="44"/>
      <c r="R32" s="48" t="str">
        <f t="shared" si="1"/>
        <v/>
      </c>
      <c r="S32" s="47"/>
      <c r="T32" s="47"/>
      <c r="U32" s="47"/>
      <c r="V32" s="47"/>
      <c r="W32" s="47"/>
      <c r="X32" s="47"/>
      <c r="Y32" s="47"/>
      <c r="Z32" s="48" t="str">
        <f t="shared" si="2"/>
        <v/>
      </c>
      <c r="AA32" s="44"/>
      <c r="AB32" s="44"/>
      <c r="AC32" s="44"/>
      <c r="AD32" s="44"/>
      <c r="AE32" s="44"/>
      <c r="AF32" s="44"/>
      <c r="AG32" s="44"/>
      <c r="AH32" s="48" t="str">
        <f t="shared" si="3"/>
        <v/>
      </c>
      <c r="AI32" s="44"/>
      <c r="AJ32" s="44"/>
      <c r="AK32" s="44"/>
      <c r="AL32" s="44"/>
      <c r="AM32" s="44"/>
      <c r="AN32" s="44"/>
      <c r="AO32" s="44"/>
      <c r="AP32" s="48" t="str">
        <f t="shared" si="4"/>
        <v/>
      </c>
      <c r="AQ32" s="44"/>
      <c r="AR32" s="44"/>
      <c r="AS32" s="44"/>
      <c r="AT32" s="44"/>
      <c r="AU32" s="44"/>
      <c r="AV32" s="44"/>
      <c r="AW32" s="44"/>
      <c r="AX32" s="48" t="str">
        <f t="shared" si="5"/>
        <v/>
      </c>
      <c r="AY32" s="50"/>
      <c r="AZ32" s="50"/>
      <c r="BA32" s="50"/>
      <c r="BB32" s="50"/>
      <c r="BC32" s="50"/>
      <c r="BD32" s="50"/>
      <c r="BE32" s="50"/>
      <c r="BF32" s="48" t="str">
        <f t="shared" si="6"/>
        <v/>
      </c>
      <c r="BG32" s="44"/>
      <c r="BH32" s="44"/>
      <c r="BI32" s="44"/>
      <c r="BJ32" s="44"/>
      <c r="BK32" s="44"/>
      <c r="BL32" s="44"/>
      <c r="BM32" s="44"/>
      <c r="BN32" s="48" t="str">
        <f t="shared" si="7"/>
        <v/>
      </c>
      <c r="BO32" s="50"/>
      <c r="BP32" s="50"/>
      <c r="BQ32" s="50"/>
      <c r="BR32" s="50"/>
      <c r="BS32" s="50"/>
      <c r="BT32" s="50"/>
      <c r="BU32" s="50"/>
      <c r="BV32" s="48" t="str">
        <f t="shared" si="8"/>
        <v/>
      </c>
      <c r="BW32" s="44"/>
      <c r="BX32" s="44"/>
      <c r="BY32" s="44"/>
      <c r="BZ32" s="44"/>
      <c r="CA32" s="44"/>
      <c r="CB32" s="44"/>
      <c r="CC32" s="55"/>
      <c r="CD32" s="48" t="str">
        <f t="shared" si="9"/>
        <v/>
      </c>
    </row>
    <row r="33" spans="1:82" ht="40" customHeight="1" x14ac:dyDescent="0.15">
      <c r="A33" s="71" t="s">
        <v>99</v>
      </c>
      <c r="B33" s="72" t="s">
        <v>100</v>
      </c>
      <c r="C33" s="70"/>
      <c r="D33" s="44"/>
      <c r="E33" s="44"/>
      <c r="F33" s="44"/>
      <c r="G33" s="44"/>
      <c r="H33" s="44"/>
      <c r="I33" s="44"/>
      <c r="J33" s="48" t="str">
        <f t="shared" si="0"/>
        <v/>
      </c>
      <c r="K33" s="44"/>
      <c r="L33" s="44"/>
      <c r="M33" s="44"/>
      <c r="N33" s="44"/>
      <c r="O33" s="44"/>
      <c r="P33" s="44"/>
      <c r="Q33" s="44"/>
      <c r="R33" s="48" t="str">
        <f t="shared" si="1"/>
        <v/>
      </c>
      <c r="S33" s="47"/>
      <c r="T33" s="47"/>
      <c r="U33" s="47"/>
      <c r="V33" s="47"/>
      <c r="W33" s="47"/>
      <c r="X33" s="47"/>
      <c r="Y33" s="47"/>
      <c r="Z33" s="48" t="str">
        <f t="shared" si="2"/>
        <v/>
      </c>
      <c r="AA33" s="44"/>
      <c r="AB33" s="44"/>
      <c r="AC33" s="44"/>
      <c r="AD33" s="44"/>
      <c r="AE33" s="44"/>
      <c r="AF33" s="44"/>
      <c r="AG33" s="44"/>
      <c r="AH33" s="48" t="str">
        <f t="shared" si="3"/>
        <v/>
      </c>
      <c r="AI33" s="44"/>
      <c r="AJ33" s="44"/>
      <c r="AK33" s="44"/>
      <c r="AL33" s="44"/>
      <c r="AM33" s="44"/>
      <c r="AN33" s="44"/>
      <c r="AO33" s="44"/>
      <c r="AP33" s="48" t="str">
        <f t="shared" si="4"/>
        <v/>
      </c>
      <c r="AQ33" s="44"/>
      <c r="AR33" s="44"/>
      <c r="AS33" s="44"/>
      <c r="AT33" s="44"/>
      <c r="AU33" s="44"/>
      <c r="AV33" s="44"/>
      <c r="AW33" s="44"/>
      <c r="AX33" s="48" t="str">
        <f t="shared" si="5"/>
        <v/>
      </c>
      <c r="AY33" s="50"/>
      <c r="AZ33" s="50"/>
      <c r="BA33" s="50"/>
      <c r="BB33" s="50"/>
      <c r="BC33" s="50"/>
      <c r="BD33" s="50"/>
      <c r="BE33" s="50"/>
      <c r="BF33" s="48" t="str">
        <f t="shared" si="6"/>
        <v/>
      </c>
      <c r="BG33" s="44"/>
      <c r="BH33" s="44"/>
      <c r="BI33" s="44"/>
      <c r="BJ33" s="44"/>
      <c r="BK33" s="44"/>
      <c r="BL33" s="44"/>
      <c r="BM33" s="44"/>
      <c r="BN33" s="48" t="str">
        <f t="shared" si="7"/>
        <v/>
      </c>
      <c r="BO33" s="50"/>
      <c r="BP33" s="50"/>
      <c r="BQ33" s="50"/>
      <c r="BR33" s="50"/>
      <c r="BS33" s="50"/>
      <c r="BT33" s="50"/>
      <c r="BU33" s="50"/>
      <c r="BV33" s="48" t="str">
        <f t="shared" si="8"/>
        <v/>
      </c>
      <c r="BW33" s="44"/>
      <c r="BX33" s="44"/>
      <c r="BY33" s="44"/>
      <c r="BZ33" s="44"/>
      <c r="CA33" s="44"/>
      <c r="CB33" s="44"/>
      <c r="CC33" s="55"/>
      <c r="CD33" s="48" t="str">
        <f t="shared" si="9"/>
        <v/>
      </c>
    </row>
    <row r="34" spans="1:82" ht="40" customHeight="1" x14ac:dyDescent="0.15">
      <c r="A34" s="73" t="s">
        <v>101</v>
      </c>
      <c r="B34" s="74" t="s">
        <v>102</v>
      </c>
      <c r="C34" s="70"/>
      <c r="D34" s="44"/>
      <c r="E34" s="44"/>
      <c r="F34" s="44"/>
      <c r="G34" s="44"/>
      <c r="H34" s="44"/>
      <c r="I34" s="44"/>
      <c r="J34" s="48" t="str">
        <f t="shared" si="0"/>
        <v/>
      </c>
      <c r="K34" s="44"/>
      <c r="L34" s="44"/>
      <c r="M34" s="44"/>
      <c r="N34" s="44"/>
      <c r="O34" s="44"/>
      <c r="P34" s="44"/>
      <c r="Q34" s="44"/>
      <c r="R34" s="48" t="str">
        <f t="shared" si="1"/>
        <v/>
      </c>
      <c r="S34" s="47"/>
      <c r="T34" s="47"/>
      <c r="U34" s="47"/>
      <c r="V34" s="47"/>
      <c r="W34" s="47"/>
      <c r="X34" s="47"/>
      <c r="Y34" s="47"/>
      <c r="Z34" s="48" t="str">
        <f t="shared" si="2"/>
        <v/>
      </c>
      <c r="AA34" s="44"/>
      <c r="AB34" s="44"/>
      <c r="AC34" s="44"/>
      <c r="AD34" s="44"/>
      <c r="AE34" s="44"/>
      <c r="AF34" s="44"/>
      <c r="AG34" s="44"/>
      <c r="AH34" s="48" t="str">
        <f t="shared" si="3"/>
        <v/>
      </c>
      <c r="AI34" s="44"/>
      <c r="AJ34" s="44"/>
      <c r="AK34" s="44"/>
      <c r="AL34" s="44"/>
      <c r="AM34" s="44"/>
      <c r="AN34" s="44"/>
      <c r="AO34" s="44"/>
      <c r="AP34" s="48" t="str">
        <f t="shared" si="4"/>
        <v/>
      </c>
      <c r="AQ34" s="44"/>
      <c r="AR34" s="44"/>
      <c r="AS34" s="44"/>
      <c r="AT34" s="44"/>
      <c r="AU34" s="44"/>
      <c r="AV34" s="44"/>
      <c r="AW34" s="44"/>
      <c r="AX34" s="48" t="str">
        <f t="shared" si="5"/>
        <v/>
      </c>
      <c r="AY34" s="50"/>
      <c r="AZ34" s="50"/>
      <c r="BA34" s="50"/>
      <c r="BB34" s="50"/>
      <c r="BC34" s="50"/>
      <c r="BD34" s="50"/>
      <c r="BE34" s="50"/>
      <c r="BF34" s="48" t="str">
        <f t="shared" si="6"/>
        <v/>
      </c>
      <c r="BG34" s="44"/>
      <c r="BH34" s="44"/>
      <c r="BI34" s="44"/>
      <c r="BJ34" s="44"/>
      <c r="BK34" s="44"/>
      <c r="BL34" s="44"/>
      <c r="BM34" s="44"/>
      <c r="BN34" s="48" t="str">
        <f t="shared" si="7"/>
        <v/>
      </c>
      <c r="BO34" s="50"/>
      <c r="BP34" s="50"/>
      <c r="BQ34" s="50"/>
      <c r="BR34" s="50"/>
      <c r="BS34" s="50"/>
      <c r="BT34" s="50"/>
      <c r="BU34" s="50"/>
      <c r="BV34" s="48" t="str">
        <f t="shared" si="8"/>
        <v/>
      </c>
      <c r="BW34" s="44"/>
      <c r="BX34" s="44"/>
      <c r="BY34" s="44"/>
      <c r="BZ34" s="44"/>
      <c r="CA34" s="44"/>
      <c r="CB34" s="44"/>
      <c r="CC34" s="55"/>
      <c r="CD34" s="48" t="str">
        <f t="shared" si="9"/>
        <v/>
      </c>
    </row>
    <row r="35" spans="1:82" ht="40" customHeight="1" x14ac:dyDescent="0.15">
      <c r="A35" s="68" t="s">
        <v>103</v>
      </c>
      <c r="B35" s="69"/>
      <c r="C35" s="70"/>
      <c r="D35" s="44"/>
      <c r="E35" s="44"/>
      <c r="F35" s="44"/>
      <c r="G35" s="44"/>
      <c r="H35" s="44"/>
      <c r="I35" s="44"/>
      <c r="J35" s="48" t="str">
        <f t="shared" si="0"/>
        <v/>
      </c>
      <c r="K35" s="44"/>
      <c r="L35" s="44"/>
      <c r="M35" s="44"/>
      <c r="N35" s="44"/>
      <c r="O35" s="44"/>
      <c r="P35" s="44"/>
      <c r="Q35" s="44"/>
      <c r="R35" s="48" t="str">
        <f t="shared" si="1"/>
        <v/>
      </c>
      <c r="S35" s="47"/>
      <c r="T35" s="47"/>
      <c r="U35" s="47"/>
      <c r="V35" s="47"/>
      <c r="W35" s="47"/>
      <c r="X35" s="47"/>
      <c r="Y35" s="47"/>
      <c r="Z35" s="48" t="str">
        <f t="shared" si="2"/>
        <v/>
      </c>
      <c r="AA35" s="44"/>
      <c r="AB35" s="44"/>
      <c r="AC35" s="44"/>
      <c r="AD35" s="44"/>
      <c r="AE35" s="44"/>
      <c r="AF35" s="44"/>
      <c r="AG35" s="44"/>
      <c r="AH35" s="48" t="str">
        <f t="shared" si="3"/>
        <v/>
      </c>
      <c r="AI35" s="44"/>
      <c r="AJ35" s="44"/>
      <c r="AK35" s="44"/>
      <c r="AL35" s="44"/>
      <c r="AM35" s="44"/>
      <c r="AN35" s="44"/>
      <c r="AO35" s="44"/>
      <c r="AP35" s="48" t="str">
        <f t="shared" si="4"/>
        <v/>
      </c>
      <c r="AQ35" s="44"/>
      <c r="AR35" s="44"/>
      <c r="AS35" s="44"/>
      <c r="AT35" s="44"/>
      <c r="AU35" s="44"/>
      <c r="AV35" s="44"/>
      <c r="AW35" s="44"/>
      <c r="AX35" s="48" t="str">
        <f t="shared" si="5"/>
        <v/>
      </c>
      <c r="AY35" s="50"/>
      <c r="AZ35" s="50"/>
      <c r="BA35" s="50"/>
      <c r="BB35" s="50"/>
      <c r="BC35" s="50"/>
      <c r="BD35" s="50"/>
      <c r="BE35" s="50"/>
      <c r="BF35" s="48" t="str">
        <f t="shared" si="6"/>
        <v/>
      </c>
      <c r="BG35" s="44"/>
      <c r="BH35" s="44"/>
      <c r="BI35" s="44"/>
      <c r="BJ35" s="44"/>
      <c r="BK35" s="44"/>
      <c r="BL35" s="44"/>
      <c r="BM35" s="44"/>
      <c r="BN35" s="48" t="str">
        <f t="shared" si="7"/>
        <v/>
      </c>
      <c r="BO35" s="50"/>
      <c r="BP35" s="50"/>
      <c r="BQ35" s="50"/>
      <c r="BR35" s="50"/>
      <c r="BS35" s="50"/>
      <c r="BT35" s="50"/>
      <c r="BU35" s="50"/>
      <c r="BV35" s="48" t="str">
        <f t="shared" si="8"/>
        <v/>
      </c>
      <c r="BW35" s="44"/>
      <c r="BX35" s="44"/>
      <c r="BY35" s="44"/>
      <c r="BZ35" s="44"/>
      <c r="CA35" s="44"/>
      <c r="CB35" s="44"/>
      <c r="CC35" s="55"/>
      <c r="CD35" s="48" t="str">
        <f t="shared" si="9"/>
        <v/>
      </c>
    </row>
    <row r="36" spans="1:82" ht="40" customHeight="1" x14ac:dyDescent="0.15">
      <c r="A36" s="71" t="s">
        <v>104</v>
      </c>
      <c r="B36" s="72" t="s">
        <v>105</v>
      </c>
      <c r="C36" s="70"/>
      <c r="D36" s="44"/>
      <c r="E36" s="44"/>
      <c r="F36" s="44"/>
      <c r="G36" s="44"/>
      <c r="H36" s="44"/>
      <c r="I36" s="44"/>
      <c r="J36" s="48" t="str">
        <f t="shared" si="0"/>
        <v/>
      </c>
      <c r="K36" s="44"/>
      <c r="L36" s="44"/>
      <c r="M36" s="44"/>
      <c r="N36" s="44"/>
      <c r="O36" s="44"/>
      <c r="P36" s="44"/>
      <c r="Q36" s="44"/>
      <c r="R36" s="48" t="str">
        <f t="shared" si="1"/>
        <v/>
      </c>
      <c r="S36" s="47"/>
      <c r="T36" s="47"/>
      <c r="U36" s="47"/>
      <c r="V36" s="47"/>
      <c r="W36" s="47"/>
      <c r="X36" s="47"/>
      <c r="Y36" s="47"/>
      <c r="Z36" s="48" t="str">
        <f t="shared" si="2"/>
        <v/>
      </c>
      <c r="AA36" s="44"/>
      <c r="AB36" s="44"/>
      <c r="AC36" s="44"/>
      <c r="AD36" s="44"/>
      <c r="AE36" s="44"/>
      <c r="AF36" s="44"/>
      <c r="AG36" s="44"/>
      <c r="AH36" s="48" t="str">
        <f t="shared" si="3"/>
        <v/>
      </c>
      <c r="AI36" s="44"/>
      <c r="AJ36" s="44"/>
      <c r="AK36" s="44"/>
      <c r="AL36" s="44"/>
      <c r="AM36" s="44"/>
      <c r="AN36" s="44"/>
      <c r="AO36" s="44"/>
      <c r="AP36" s="48" t="str">
        <f t="shared" si="4"/>
        <v/>
      </c>
      <c r="AQ36" s="44"/>
      <c r="AR36" s="44"/>
      <c r="AS36" s="44"/>
      <c r="AT36" s="44"/>
      <c r="AU36" s="44"/>
      <c r="AV36" s="44"/>
      <c r="AW36" s="44"/>
      <c r="AX36" s="48" t="str">
        <f t="shared" si="5"/>
        <v/>
      </c>
      <c r="AY36" s="50"/>
      <c r="AZ36" s="50"/>
      <c r="BA36" s="50"/>
      <c r="BB36" s="50"/>
      <c r="BC36" s="50"/>
      <c r="BD36" s="50"/>
      <c r="BE36" s="50"/>
      <c r="BF36" s="48" t="str">
        <f t="shared" si="6"/>
        <v/>
      </c>
      <c r="BG36" s="44"/>
      <c r="BH36" s="44"/>
      <c r="BI36" s="44"/>
      <c r="BJ36" s="44"/>
      <c r="BK36" s="44"/>
      <c r="BL36" s="44"/>
      <c r="BM36" s="44"/>
      <c r="BN36" s="48" t="str">
        <f t="shared" si="7"/>
        <v/>
      </c>
      <c r="BO36" s="50"/>
      <c r="BP36" s="50"/>
      <c r="BQ36" s="50"/>
      <c r="BR36" s="50"/>
      <c r="BS36" s="50"/>
      <c r="BT36" s="50"/>
      <c r="BU36" s="50"/>
      <c r="BV36" s="48" t="str">
        <f t="shared" si="8"/>
        <v/>
      </c>
      <c r="BW36" s="44"/>
      <c r="BX36" s="44"/>
      <c r="BY36" s="44"/>
      <c r="BZ36" s="44"/>
      <c r="CA36" s="44"/>
      <c r="CB36" s="44"/>
      <c r="CC36" s="55"/>
      <c r="CD36" s="48" t="str">
        <f t="shared" si="9"/>
        <v/>
      </c>
    </row>
    <row r="37" spans="1:82" ht="40" customHeight="1" x14ac:dyDescent="0.15">
      <c r="A37" s="71" t="s">
        <v>106</v>
      </c>
      <c r="B37" s="72" t="s">
        <v>107</v>
      </c>
      <c r="C37" s="70"/>
      <c r="D37" s="44"/>
      <c r="E37" s="44"/>
      <c r="F37" s="44"/>
      <c r="G37" s="44"/>
      <c r="H37" s="44"/>
      <c r="I37" s="44"/>
      <c r="J37" s="48" t="str">
        <f t="shared" si="0"/>
        <v/>
      </c>
      <c r="K37" s="44"/>
      <c r="L37" s="44"/>
      <c r="M37" s="44"/>
      <c r="N37" s="44"/>
      <c r="O37" s="44"/>
      <c r="P37" s="44"/>
      <c r="Q37" s="44"/>
      <c r="R37" s="48" t="str">
        <f t="shared" si="1"/>
        <v/>
      </c>
      <c r="S37" s="47"/>
      <c r="T37" s="47"/>
      <c r="U37" s="47"/>
      <c r="V37" s="47"/>
      <c r="W37" s="47"/>
      <c r="X37" s="47"/>
      <c r="Y37" s="47"/>
      <c r="Z37" s="48" t="str">
        <f t="shared" si="2"/>
        <v/>
      </c>
      <c r="AA37" s="44"/>
      <c r="AB37" s="44"/>
      <c r="AC37" s="44"/>
      <c r="AD37" s="44"/>
      <c r="AE37" s="44"/>
      <c r="AF37" s="44"/>
      <c r="AG37" s="44"/>
      <c r="AH37" s="48" t="str">
        <f t="shared" si="3"/>
        <v/>
      </c>
      <c r="AI37" s="44"/>
      <c r="AJ37" s="44"/>
      <c r="AK37" s="44"/>
      <c r="AL37" s="44"/>
      <c r="AM37" s="44"/>
      <c r="AN37" s="44"/>
      <c r="AO37" s="44"/>
      <c r="AP37" s="48" t="str">
        <f t="shared" si="4"/>
        <v/>
      </c>
      <c r="AQ37" s="44"/>
      <c r="AR37" s="44"/>
      <c r="AS37" s="44"/>
      <c r="AT37" s="44"/>
      <c r="AU37" s="44"/>
      <c r="AV37" s="44"/>
      <c r="AW37" s="44"/>
      <c r="AX37" s="48" t="str">
        <f t="shared" si="5"/>
        <v/>
      </c>
      <c r="AY37" s="50"/>
      <c r="AZ37" s="50"/>
      <c r="BA37" s="50"/>
      <c r="BB37" s="50"/>
      <c r="BC37" s="50"/>
      <c r="BD37" s="50"/>
      <c r="BE37" s="50"/>
      <c r="BF37" s="48" t="str">
        <f t="shared" si="6"/>
        <v/>
      </c>
      <c r="BG37" s="44"/>
      <c r="BH37" s="44"/>
      <c r="BI37" s="44"/>
      <c r="BJ37" s="44"/>
      <c r="BK37" s="44"/>
      <c r="BL37" s="44"/>
      <c r="BM37" s="44"/>
      <c r="BN37" s="48" t="str">
        <f t="shared" si="7"/>
        <v/>
      </c>
      <c r="BO37" s="50"/>
      <c r="BP37" s="50"/>
      <c r="BQ37" s="50"/>
      <c r="BR37" s="50"/>
      <c r="BS37" s="50"/>
      <c r="BT37" s="50"/>
      <c r="BU37" s="50"/>
      <c r="BV37" s="48" t="str">
        <f t="shared" si="8"/>
        <v/>
      </c>
      <c r="BW37" s="44"/>
      <c r="BX37" s="44"/>
      <c r="BY37" s="44"/>
      <c r="BZ37" s="44"/>
      <c r="CA37" s="44"/>
      <c r="CB37" s="44"/>
      <c r="CC37" s="55"/>
      <c r="CD37" s="48" t="str">
        <f t="shared" si="9"/>
        <v/>
      </c>
    </row>
    <row r="38" spans="1:82" ht="40" customHeight="1" x14ac:dyDescent="0.15">
      <c r="A38" s="71" t="s">
        <v>108</v>
      </c>
      <c r="B38" s="72" t="s">
        <v>109</v>
      </c>
      <c r="C38" s="70"/>
      <c r="D38" s="44"/>
      <c r="E38" s="44"/>
      <c r="F38" s="44"/>
      <c r="G38" s="44"/>
      <c r="H38" s="44"/>
      <c r="I38" s="44"/>
      <c r="J38" s="48" t="str">
        <f t="shared" si="0"/>
        <v/>
      </c>
      <c r="K38" s="44"/>
      <c r="L38" s="44"/>
      <c r="M38" s="44"/>
      <c r="N38" s="44"/>
      <c r="O38" s="44"/>
      <c r="P38" s="44"/>
      <c r="Q38" s="44"/>
      <c r="R38" s="48" t="str">
        <f t="shared" si="1"/>
        <v/>
      </c>
      <c r="S38" s="47"/>
      <c r="T38" s="47"/>
      <c r="U38" s="47"/>
      <c r="V38" s="47"/>
      <c r="W38" s="47"/>
      <c r="X38" s="47"/>
      <c r="Y38" s="47"/>
      <c r="Z38" s="48" t="str">
        <f t="shared" si="2"/>
        <v/>
      </c>
      <c r="AA38" s="44"/>
      <c r="AB38" s="44"/>
      <c r="AC38" s="44"/>
      <c r="AD38" s="44"/>
      <c r="AE38" s="44"/>
      <c r="AF38" s="44"/>
      <c r="AG38" s="44"/>
      <c r="AH38" s="48" t="str">
        <f t="shared" si="3"/>
        <v/>
      </c>
      <c r="AI38" s="44"/>
      <c r="AJ38" s="44"/>
      <c r="AK38" s="44"/>
      <c r="AL38" s="44"/>
      <c r="AM38" s="44"/>
      <c r="AN38" s="44"/>
      <c r="AO38" s="44"/>
      <c r="AP38" s="48" t="str">
        <f t="shared" si="4"/>
        <v/>
      </c>
      <c r="AQ38" s="44"/>
      <c r="AR38" s="44"/>
      <c r="AS38" s="44"/>
      <c r="AT38" s="44"/>
      <c r="AU38" s="44"/>
      <c r="AV38" s="44"/>
      <c r="AW38" s="44"/>
      <c r="AX38" s="48" t="str">
        <f t="shared" si="5"/>
        <v/>
      </c>
      <c r="AY38" s="50"/>
      <c r="AZ38" s="50"/>
      <c r="BA38" s="50"/>
      <c r="BB38" s="50"/>
      <c r="BC38" s="50"/>
      <c r="BD38" s="50"/>
      <c r="BE38" s="50"/>
      <c r="BF38" s="48" t="str">
        <f t="shared" si="6"/>
        <v/>
      </c>
      <c r="BG38" s="44"/>
      <c r="BH38" s="44"/>
      <c r="BI38" s="44"/>
      <c r="BJ38" s="44"/>
      <c r="BK38" s="44"/>
      <c r="BL38" s="44"/>
      <c r="BM38" s="44"/>
      <c r="BN38" s="48" t="str">
        <f t="shared" si="7"/>
        <v/>
      </c>
      <c r="BO38" s="50"/>
      <c r="BP38" s="50"/>
      <c r="BQ38" s="50"/>
      <c r="BR38" s="50"/>
      <c r="BS38" s="50"/>
      <c r="BT38" s="50"/>
      <c r="BU38" s="50"/>
      <c r="BV38" s="48" t="str">
        <f t="shared" si="8"/>
        <v/>
      </c>
      <c r="BW38" s="44"/>
      <c r="BX38" s="44"/>
      <c r="BY38" s="44"/>
      <c r="BZ38" s="44"/>
      <c r="CA38" s="44"/>
      <c r="CB38" s="44"/>
      <c r="CC38" s="55"/>
      <c r="CD38" s="48" t="str">
        <f t="shared" si="9"/>
        <v/>
      </c>
    </row>
    <row r="39" spans="1:82" ht="40" customHeight="1" x14ac:dyDescent="0.15">
      <c r="A39" s="73" t="s">
        <v>110</v>
      </c>
      <c r="B39" s="74" t="s">
        <v>111</v>
      </c>
      <c r="C39" s="70"/>
      <c r="D39" s="44"/>
      <c r="E39" s="44"/>
      <c r="F39" s="44"/>
      <c r="G39" s="44"/>
      <c r="H39" s="44"/>
      <c r="I39" s="44"/>
      <c r="J39" s="48" t="str">
        <f t="shared" si="0"/>
        <v/>
      </c>
      <c r="K39" s="44"/>
      <c r="L39" s="44"/>
      <c r="M39" s="44"/>
      <c r="N39" s="44"/>
      <c r="O39" s="44"/>
      <c r="P39" s="44"/>
      <c r="Q39" s="44"/>
      <c r="R39" s="48" t="str">
        <f t="shared" si="1"/>
        <v/>
      </c>
      <c r="S39" s="47"/>
      <c r="T39" s="47"/>
      <c r="U39" s="47"/>
      <c r="V39" s="47"/>
      <c r="W39" s="47"/>
      <c r="X39" s="47"/>
      <c r="Y39" s="47"/>
      <c r="Z39" s="48" t="str">
        <f t="shared" si="2"/>
        <v/>
      </c>
      <c r="AA39" s="44"/>
      <c r="AB39" s="44"/>
      <c r="AC39" s="44"/>
      <c r="AD39" s="44"/>
      <c r="AE39" s="44"/>
      <c r="AF39" s="44"/>
      <c r="AG39" s="44"/>
      <c r="AH39" s="48" t="str">
        <f t="shared" si="3"/>
        <v/>
      </c>
      <c r="AI39" s="44"/>
      <c r="AJ39" s="44"/>
      <c r="AK39" s="44"/>
      <c r="AL39" s="44"/>
      <c r="AM39" s="44"/>
      <c r="AN39" s="44"/>
      <c r="AO39" s="44"/>
      <c r="AP39" s="48" t="str">
        <f t="shared" si="4"/>
        <v/>
      </c>
      <c r="AQ39" s="44"/>
      <c r="AR39" s="44"/>
      <c r="AS39" s="44"/>
      <c r="AT39" s="44"/>
      <c r="AU39" s="44"/>
      <c r="AV39" s="44"/>
      <c r="AW39" s="44"/>
      <c r="AX39" s="48" t="str">
        <f t="shared" si="5"/>
        <v/>
      </c>
      <c r="AY39" s="50"/>
      <c r="AZ39" s="50"/>
      <c r="BA39" s="50"/>
      <c r="BB39" s="50"/>
      <c r="BC39" s="50"/>
      <c r="BD39" s="50"/>
      <c r="BE39" s="50"/>
      <c r="BF39" s="48" t="str">
        <f t="shared" si="6"/>
        <v/>
      </c>
      <c r="BG39" s="44"/>
      <c r="BH39" s="44"/>
      <c r="BI39" s="44"/>
      <c r="BJ39" s="44"/>
      <c r="BK39" s="44"/>
      <c r="BL39" s="44"/>
      <c r="BM39" s="44"/>
      <c r="BN39" s="48" t="str">
        <f t="shared" si="7"/>
        <v/>
      </c>
      <c r="BO39" s="50"/>
      <c r="BP39" s="50"/>
      <c r="BQ39" s="50"/>
      <c r="BR39" s="50"/>
      <c r="BS39" s="50"/>
      <c r="BT39" s="50"/>
      <c r="BU39" s="50"/>
      <c r="BV39" s="48" t="str">
        <f t="shared" si="8"/>
        <v/>
      </c>
      <c r="BW39" s="44"/>
      <c r="BX39" s="44"/>
      <c r="BY39" s="44"/>
      <c r="BZ39" s="44"/>
      <c r="CA39" s="44"/>
      <c r="CB39" s="44"/>
      <c r="CC39" s="55"/>
      <c r="CD39" s="48" t="str">
        <f t="shared" si="9"/>
        <v/>
      </c>
    </row>
    <row r="40" spans="1:82" ht="40" customHeight="1" x14ac:dyDescent="0.15">
      <c r="A40" s="71" t="s">
        <v>112</v>
      </c>
      <c r="B40" s="72" t="s">
        <v>113</v>
      </c>
      <c r="C40" s="70"/>
      <c r="D40" s="44"/>
      <c r="E40" s="44"/>
      <c r="F40" s="44"/>
      <c r="G40" s="44"/>
      <c r="H40" s="44"/>
      <c r="I40" s="44"/>
      <c r="J40" s="48" t="str">
        <f t="shared" ref="J40:J71" si="10">IFERROR((SUM(C40:I40)/SUM($C$6:$I$6))*100,"")</f>
        <v/>
      </c>
      <c r="K40" s="44"/>
      <c r="L40" s="44"/>
      <c r="M40" s="44"/>
      <c r="N40" s="44"/>
      <c r="O40" s="44"/>
      <c r="P40" s="44"/>
      <c r="Q40" s="44"/>
      <c r="R40" s="48" t="str">
        <f t="shared" ref="R40:R71" si="11">IFERROR((SUM(K40:Q40)/SUM($K$6:$Q$6))*100,"")</f>
        <v/>
      </c>
      <c r="S40" s="47"/>
      <c r="T40" s="47"/>
      <c r="U40" s="47"/>
      <c r="V40" s="47"/>
      <c r="W40" s="47"/>
      <c r="X40" s="47"/>
      <c r="Y40" s="47"/>
      <c r="Z40" s="48" t="str">
        <f t="shared" ref="Z40:Z71" si="12">IFERROR((SUM(S40:Y40)/SUM($S$6:$Y$6))*100,"")</f>
        <v/>
      </c>
      <c r="AA40" s="44"/>
      <c r="AB40" s="44"/>
      <c r="AC40" s="44"/>
      <c r="AD40" s="44"/>
      <c r="AE40" s="44"/>
      <c r="AF40" s="44"/>
      <c r="AG40" s="44"/>
      <c r="AH40" s="48" t="str">
        <f t="shared" ref="AH40:AH71" si="13">IFERROR((SUM(AA40:AG40)/SUM($AA$6:$AG$6))*100,"")</f>
        <v/>
      </c>
      <c r="AI40" s="44"/>
      <c r="AJ40" s="44"/>
      <c r="AK40" s="44"/>
      <c r="AL40" s="44"/>
      <c r="AM40" s="44"/>
      <c r="AN40" s="44"/>
      <c r="AO40" s="44"/>
      <c r="AP40" s="48" t="str">
        <f t="shared" ref="AP40:AP71" si="14">IFERROR((SUM(AI40:AO40)/SUM($AI$6:$AO$6))*100,"")</f>
        <v/>
      </c>
      <c r="AQ40" s="44"/>
      <c r="AR40" s="44"/>
      <c r="AS40" s="44"/>
      <c r="AT40" s="44"/>
      <c r="AU40" s="44"/>
      <c r="AV40" s="44"/>
      <c r="AW40" s="44"/>
      <c r="AX40" s="48" t="str">
        <f t="shared" ref="AX40:AX71" si="15">IFERROR((SUM(AQ40:AW40)/SUM($AQ$6:$AW$6))*100,"")</f>
        <v/>
      </c>
      <c r="AY40" s="50"/>
      <c r="AZ40" s="50"/>
      <c r="BA40" s="50"/>
      <c r="BB40" s="50"/>
      <c r="BC40" s="50"/>
      <c r="BD40" s="50"/>
      <c r="BE40" s="50"/>
      <c r="BF40" s="48" t="str">
        <f t="shared" ref="BF40:BF71" si="16">IFERROR((SUM(AY40:BE40)/SUM($AY$6:$BE$6))*100,"")</f>
        <v/>
      </c>
      <c r="BG40" s="44"/>
      <c r="BH40" s="44"/>
      <c r="BI40" s="44"/>
      <c r="BJ40" s="44"/>
      <c r="BK40" s="44"/>
      <c r="BL40" s="44"/>
      <c r="BM40" s="44"/>
      <c r="BN40" s="48" t="str">
        <f t="shared" ref="BN40:BN71" si="17">IFERROR((SUM(BG40:BM40)/SUM($BG$6:$BM$6))*100,"")</f>
        <v/>
      </c>
      <c r="BO40" s="50"/>
      <c r="BP40" s="50"/>
      <c r="BQ40" s="50"/>
      <c r="BR40" s="50"/>
      <c r="BS40" s="50"/>
      <c r="BT40" s="50"/>
      <c r="BU40" s="50"/>
      <c r="BV40" s="48" t="str">
        <f t="shared" ref="BV40:BV71" si="18">IFERROR((SUM(BO40:BU40)/SUM($BP$6:$BU$6))*100,"")</f>
        <v/>
      </c>
      <c r="BW40" s="44"/>
      <c r="BX40" s="44"/>
      <c r="BY40" s="44"/>
      <c r="BZ40" s="44"/>
      <c r="CA40" s="44"/>
      <c r="CB40" s="44"/>
      <c r="CC40" s="55"/>
      <c r="CD40" s="48" t="str">
        <f t="shared" ref="CD40:CD71" si="19">IFERROR((SUM(BW40:CC40)/SUM($BW$6:$CC$6))*100,"")</f>
        <v/>
      </c>
    </row>
    <row r="41" spans="1:82" ht="40" customHeight="1" x14ac:dyDescent="0.15">
      <c r="A41" s="73" t="s">
        <v>114</v>
      </c>
      <c r="B41" s="74" t="s">
        <v>115</v>
      </c>
      <c r="C41" s="70"/>
      <c r="D41" s="44"/>
      <c r="E41" s="44"/>
      <c r="F41" s="44"/>
      <c r="G41" s="44"/>
      <c r="H41" s="44"/>
      <c r="I41" s="44"/>
      <c r="J41" s="48" t="str">
        <f t="shared" si="10"/>
        <v/>
      </c>
      <c r="K41" s="44"/>
      <c r="L41" s="44"/>
      <c r="M41" s="44"/>
      <c r="N41" s="44"/>
      <c r="O41" s="44"/>
      <c r="P41" s="44"/>
      <c r="Q41" s="44"/>
      <c r="R41" s="48" t="str">
        <f t="shared" si="11"/>
        <v/>
      </c>
      <c r="S41" s="47"/>
      <c r="T41" s="47"/>
      <c r="U41" s="47"/>
      <c r="V41" s="47"/>
      <c r="W41" s="47"/>
      <c r="X41" s="47"/>
      <c r="Y41" s="47"/>
      <c r="Z41" s="48" t="str">
        <f t="shared" si="12"/>
        <v/>
      </c>
      <c r="AA41" s="44"/>
      <c r="AB41" s="44"/>
      <c r="AC41" s="44"/>
      <c r="AD41" s="44"/>
      <c r="AE41" s="44"/>
      <c r="AF41" s="44"/>
      <c r="AG41" s="44"/>
      <c r="AH41" s="48" t="str">
        <f t="shared" si="13"/>
        <v/>
      </c>
      <c r="AI41" s="44"/>
      <c r="AJ41" s="44"/>
      <c r="AK41" s="44"/>
      <c r="AL41" s="44"/>
      <c r="AM41" s="44"/>
      <c r="AN41" s="44"/>
      <c r="AO41" s="44"/>
      <c r="AP41" s="48" t="str">
        <f t="shared" si="14"/>
        <v/>
      </c>
      <c r="AQ41" s="44"/>
      <c r="AR41" s="44"/>
      <c r="AS41" s="44"/>
      <c r="AT41" s="44"/>
      <c r="AU41" s="44"/>
      <c r="AV41" s="44"/>
      <c r="AW41" s="44"/>
      <c r="AX41" s="48" t="str">
        <f t="shared" si="15"/>
        <v/>
      </c>
      <c r="AY41" s="50"/>
      <c r="AZ41" s="50"/>
      <c r="BA41" s="50"/>
      <c r="BB41" s="50"/>
      <c r="BC41" s="50"/>
      <c r="BD41" s="50"/>
      <c r="BE41" s="50"/>
      <c r="BF41" s="48" t="str">
        <f t="shared" si="16"/>
        <v/>
      </c>
      <c r="BG41" s="44"/>
      <c r="BH41" s="44"/>
      <c r="BI41" s="44"/>
      <c r="BJ41" s="44"/>
      <c r="BK41" s="44"/>
      <c r="BL41" s="44"/>
      <c r="BM41" s="44"/>
      <c r="BN41" s="48" t="str">
        <f t="shared" si="17"/>
        <v/>
      </c>
      <c r="BO41" s="50"/>
      <c r="BP41" s="50"/>
      <c r="BQ41" s="50"/>
      <c r="BR41" s="50"/>
      <c r="BS41" s="50"/>
      <c r="BT41" s="50"/>
      <c r="BU41" s="50"/>
      <c r="BV41" s="48" t="str">
        <f t="shared" si="18"/>
        <v/>
      </c>
      <c r="BW41" s="44"/>
      <c r="BX41" s="44"/>
      <c r="BY41" s="44"/>
      <c r="BZ41" s="44"/>
      <c r="CA41" s="44"/>
      <c r="CB41" s="44"/>
      <c r="CC41" s="55"/>
      <c r="CD41" s="48" t="str">
        <f t="shared" si="19"/>
        <v/>
      </c>
    </row>
    <row r="42" spans="1:82" ht="40" customHeight="1" x14ac:dyDescent="0.15">
      <c r="A42" s="71" t="s">
        <v>116</v>
      </c>
      <c r="B42" s="72" t="s">
        <v>117</v>
      </c>
      <c r="C42" s="70"/>
      <c r="D42" s="44"/>
      <c r="E42" s="44"/>
      <c r="F42" s="44"/>
      <c r="G42" s="44"/>
      <c r="H42" s="44"/>
      <c r="I42" s="44"/>
      <c r="J42" s="48" t="str">
        <f t="shared" si="10"/>
        <v/>
      </c>
      <c r="K42" s="44"/>
      <c r="L42" s="44"/>
      <c r="M42" s="44"/>
      <c r="N42" s="44"/>
      <c r="O42" s="44"/>
      <c r="P42" s="44"/>
      <c r="Q42" s="44"/>
      <c r="R42" s="48" t="str">
        <f t="shared" si="11"/>
        <v/>
      </c>
      <c r="S42" s="47"/>
      <c r="T42" s="47"/>
      <c r="U42" s="47"/>
      <c r="V42" s="47"/>
      <c r="W42" s="47"/>
      <c r="X42" s="47"/>
      <c r="Y42" s="47"/>
      <c r="Z42" s="48" t="str">
        <f t="shared" si="12"/>
        <v/>
      </c>
      <c r="AA42" s="44"/>
      <c r="AB42" s="44"/>
      <c r="AC42" s="44"/>
      <c r="AD42" s="44"/>
      <c r="AE42" s="44"/>
      <c r="AF42" s="44"/>
      <c r="AG42" s="44"/>
      <c r="AH42" s="48" t="str">
        <f t="shared" si="13"/>
        <v/>
      </c>
      <c r="AI42" s="44"/>
      <c r="AJ42" s="44"/>
      <c r="AK42" s="44"/>
      <c r="AL42" s="44"/>
      <c r="AM42" s="44"/>
      <c r="AN42" s="44"/>
      <c r="AO42" s="44"/>
      <c r="AP42" s="48" t="str">
        <f t="shared" si="14"/>
        <v/>
      </c>
      <c r="AQ42" s="44"/>
      <c r="AR42" s="44"/>
      <c r="AS42" s="44"/>
      <c r="AT42" s="44"/>
      <c r="AU42" s="44"/>
      <c r="AV42" s="44"/>
      <c r="AW42" s="44"/>
      <c r="AX42" s="48" t="str">
        <f t="shared" si="15"/>
        <v/>
      </c>
      <c r="AY42" s="50"/>
      <c r="AZ42" s="50"/>
      <c r="BA42" s="50"/>
      <c r="BB42" s="50"/>
      <c r="BC42" s="50"/>
      <c r="BD42" s="50"/>
      <c r="BE42" s="50"/>
      <c r="BF42" s="48" t="str">
        <f t="shared" si="16"/>
        <v/>
      </c>
      <c r="BG42" s="44"/>
      <c r="BH42" s="44"/>
      <c r="BI42" s="44"/>
      <c r="BJ42" s="44"/>
      <c r="BK42" s="44"/>
      <c r="BL42" s="44"/>
      <c r="BM42" s="44"/>
      <c r="BN42" s="48" t="str">
        <f t="shared" si="17"/>
        <v/>
      </c>
      <c r="BO42" s="50"/>
      <c r="BP42" s="50"/>
      <c r="BQ42" s="50"/>
      <c r="BR42" s="50"/>
      <c r="BS42" s="50"/>
      <c r="BT42" s="50"/>
      <c r="BU42" s="50"/>
      <c r="BV42" s="48" t="str">
        <f t="shared" si="18"/>
        <v/>
      </c>
      <c r="BW42" s="44"/>
      <c r="BX42" s="44"/>
      <c r="BY42" s="44"/>
      <c r="BZ42" s="44"/>
      <c r="CA42" s="44"/>
      <c r="CB42" s="44"/>
      <c r="CC42" s="55"/>
      <c r="CD42" s="48" t="str">
        <f t="shared" si="19"/>
        <v/>
      </c>
    </row>
    <row r="43" spans="1:82" ht="40" customHeight="1" x14ac:dyDescent="0.15">
      <c r="A43" s="73" t="s">
        <v>118</v>
      </c>
      <c r="B43" s="74" t="s">
        <v>119</v>
      </c>
      <c r="C43" s="70"/>
      <c r="D43" s="44"/>
      <c r="E43" s="44"/>
      <c r="F43" s="44"/>
      <c r="G43" s="44"/>
      <c r="H43" s="44"/>
      <c r="I43" s="44"/>
      <c r="J43" s="48" t="str">
        <f t="shared" si="10"/>
        <v/>
      </c>
      <c r="K43" s="44"/>
      <c r="L43" s="44"/>
      <c r="M43" s="44"/>
      <c r="N43" s="44"/>
      <c r="O43" s="44"/>
      <c r="P43" s="44"/>
      <c r="Q43" s="44"/>
      <c r="R43" s="48" t="str">
        <f t="shared" si="11"/>
        <v/>
      </c>
      <c r="S43" s="47"/>
      <c r="T43" s="47"/>
      <c r="U43" s="47"/>
      <c r="V43" s="47"/>
      <c r="W43" s="47"/>
      <c r="X43" s="47"/>
      <c r="Y43" s="47"/>
      <c r="Z43" s="48" t="str">
        <f t="shared" si="12"/>
        <v/>
      </c>
      <c r="AA43" s="44"/>
      <c r="AB43" s="44"/>
      <c r="AC43" s="44"/>
      <c r="AD43" s="44"/>
      <c r="AE43" s="44"/>
      <c r="AF43" s="44"/>
      <c r="AG43" s="44"/>
      <c r="AH43" s="48" t="str">
        <f t="shared" si="13"/>
        <v/>
      </c>
      <c r="AI43" s="44"/>
      <c r="AJ43" s="44"/>
      <c r="AK43" s="44"/>
      <c r="AL43" s="44"/>
      <c r="AM43" s="44"/>
      <c r="AN43" s="44"/>
      <c r="AO43" s="44"/>
      <c r="AP43" s="48" t="str">
        <f t="shared" si="14"/>
        <v/>
      </c>
      <c r="AQ43" s="44"/>
      <c r="AR43" s="44"/>
      <c r="AS43" s="44"/>
      <c r="AT43" s="44"/>
      <c r="AU43" s="44"/>
      <c r="AV43" s="44"/>
      <c r="AW43" s="44"/>
      <c r="AX43" s="48" t="str">
        <f t="shared" si="15"/>
        <v/>
      </c>
      <c r="AY43" s="50"/>
      <c r="AZ43" s="50"/>
      <c r="BA43" s="50"/>
      <c r="BB43" s="50"/>
      <c r="BC43" s="50"/>
      <c r="BD43" s="50"/>
      <c r="BE43" s="50"/>
      <c r="BF43" s="48" t="str">
        <f t="shared" si="16"/>
        <v/>
      </c>
      <c r="BG43" s="44"/>
      <c r="BH43" s="44"/>
      <c r="BI43" s="44"/>
      <c r="BJ43" s="44"/>
      <c r="BK43" s="44"/>
      <c r="BL43" s="44"/>
      <c r="BM43" s="44"/>
      <c r="BN43" s="48" t="str">
        <f t="shared" si="17"/>
        <v/>
      </c>
      <c r="BO43" s="50"/>
      <c r="BP43" s="50"/>
      <c r="BQ43" s="50"/>
      <c r="BR43" s="50"/>
      <c r="BS43" s="50"/>
      <c r="BT43" s="50"/>
      <c r="BU43" s="50"/>
      <c r="BV43" s="48" t="str">
        <f t="shared" si="18"/>
        <v/>
      </c>
      <c r="BW43" s="44"/>
      <c r="BX43" s="44"/>
      <c r="BY43" s="44"/>
      <c r="BZ43" s="44"/>
      <c r="CA43" s="44"/>
      <c r="CB43" s="44"/>
      <c r="CC43" s="55"/>
      <c r="CD43" s="48" t="str">
        <f t="shared" si="19"/>
        <v/>
      </c>
    </row>
    <row r="44" spans="1:82" ht="40" customHeight="1" x14ac:dyDescent="0.15">
      <c r="A44" s="71" t="s">
        <v>120</v>
      </c>
      <c r="B44" s="72" t="s">
        <v>121</v>
      </c>
      <c r="C44" s="70"/>
      <c r="D44" s="44"/>
      <c r="E44" s="44"/>
      <c r="F44" s="44"/>
      <c r="G44" s="44"/>
      <c r="H44" s="44"/>
      <c r="I44" s="44"/>
      <c r="J44" s="48" t="str">
        <f t="shared" si="10"/>
        <v/>
      </c>
      <c r="K44" s="44"/>
      <c r="L44" s="44"/>
      <c r="M44" s="44"/>
      <c r="N44" s="44"/>
      <c r="O44" s="44"/>
      <c r="P44" s="44"/>
      <c r="Q44" s="44"/>
      <c r="R44" s="48" t="str">
        <f t="shared" si="11"/>
        <v/>
      </c>
      <c r="S44" s="47"/>
      <c r="T44" s="47"/>
      <c r="U44" s="47"/>
      <c r="V44" s="47"/>
      <c r="W44" s="47"/>
      <c r="X44" s="47"/>
      <c r="Y44" s="47"/>
      <c r="Z44" s="48" t="str">
        <f t="shared" si="12"/>
        <v/>
      </c>
      <c r="AA44" s="44"/>
      <c r="AB44" s="44"/>
      <c r="AC44" s="44"/>
      <c r="AD44" s="44"/>
      <c r="AE44" s="44"/>
      <c r="AF44" s="44"/>
      <c r="AG44" s="44"/>
      <c r="AH44" s="48" t="str">
        <f t="shared" si="13"/>
        <v/>
      </c>
      <c r="AI44" s="44"/>
      <c r="AJ44" s="44"/>
      <c r="AK44" s="44"/>
      <c r="AL44" s="44"/>
      <c r="AM44" s="44"/>
      <c r="AN44" s="44"/>
      <c r="AO44" s="44"/>
      <c r="AP44" s="48" t="str">
        <f t="shared" si="14"/>
        <v/>
      </c>
      <c r="AQ44" s="44"/>
      <c r="AR44" s="44"/>
      <c r="AS44" s="44"/>
      <c r="AT44" s="44"/>
      <c r="AU44" s="44"/>
      <c r="AV44" s="44"/>
      <c r="AW44" s="44"/>
      <c r="AX44" s="48" t="str">
        <f t="shared" si="15"/>
        <v/>
      </c>
      <c r="AY44" s="50"/>
      <c r="AZ44" s="50"/>
      <c r="BA44" s="50"/>
      <c r="BB44" s="50"/>
      <c r="BC44" s="50"/>
      <c r="BD44" s="50"/>
      <c r="BE44" s="50"/>
      <c r="BF44" s="48" t="str">
        <f t="shared" si="16"/>
        <v/>
      </c>
      <c r="BG44" s="44"/>
      <c r="BH44" s="44"/>
      <c r="BI44" s="44"/>
      <c r="BJ44" s="44"/>
      <c r="BK44" s="44"/>
      <c r="BL44" s="44"/>
      <c r="BM44" s="44"/>
      <c r="BN44" s="48" t="str">
        <f t="shared" si="17"/>
        <v/>
      </c>
      <c r="BO44" s="50"/>
      <c r="BP44" s="50"/>
      <c r="BQ44" s="50"/>
      <c r="BR44" s="50"/>
      <c r="BS44" s="50"/>
      <c r="BT44" s="50"/>
      <c r="BU44" s="50"/>
      <c r="BV44" s="48" t="str">
        <f t="shared" si="18"/>
        <v/>
      </c>
      <c r="BW44" s="44"/>
      <c r="BX44" s="44"/>
      <c r="BY44" s="44"/>
      <c r="BZ44" s="44"/>
      <c r="CA44" s="44"/>
      <c r="CB44" s="44"/>
      <c r="CC44" s="55"/>
      <c r="CD44" s="48" t="str">
        <f t="shared" si="19"/>
        <v/>
      </c>
    </row>
    <row r="45" spans="1:82" ht="40" customHeight="1" x14ac:dyDescent="0.15">
      <c r="A45" s="73" t="s">
        <v>122</v>
      </c>
      <c r="B45" s="74" t="s">
        <v>123</v>
      </c>
      <c r="C45" s="70"/>
      <c r="D45" s="44"/>
      <c r="E45" s="44"/>
      <c r="F45" s="44"/>
      <c r="G45" s="44"/>
      <c r="H45" s="44"/>
      <c r="I45" s="44"/>
      <c r="J45" s="48" t="str">
        <f t="shared" si="10"/>
        <v/>
      </c>
      <c r="K45" s="44"/>
      <c r="L45" s="44"/>
      <c r="M45" s="44"/>
      <c r="N45" s="44"/>
      <c r="O45" s="44"/>
      <c r="P45" s="44"/>
      <c r="Q45" s="44"/>
      <c r="R45" s="48" t="str">
        <f t="shared" si="11"/>
        <v/>
      </c>
      <c r="S45" s="47"/>
      <c r="T45" s="47"/>
      <c r="U45" s="47"/>
      <c r="V45" s="47"/>
      <c r="W45" s="47"/>
      <c r="X45" s="47"/>
      <c r="Y45" s="47"/>
      <c r="Z45" s="48" t="str">
        <f t="shared" si="12"/>
        <v/>
      </c>
      <c r="AA45" s="44"/>
      <c r="AB45" s="44"/>
      <c r="AC45" s="44"/>
      <c r="AD45" s="44"/>
      <c r="AE45" s="44"/>
      <c r="AF45" s="44"/>
      <c r="AG45" s="44"/>
      <c r="AH45" s="48" t="str">
        <f t="shared" si="13"/>
        <v/>
      </c>
      <c r="AI45" s="44"/>
      <c r="AJ45" s="44"/>
      <c r="AK45" s="44"/>
      <c r="AL45" s="44"/>
      <c r="AM45" s="44"/>
      <c r="AN45" s="44"/>
      <c r="AO45" s="44"/>
      <c r="AP45" s="48" t="str">
        <f t="shared" si="14"/>
        <v/>
      </c>
      <c r="AQ45" s="44"/>
      <c r="AR45" s="44"/>
      <c r="AS45" s="44"/>
      <c r="AT45" s="44"/>
      <c r="AU45" s="44"/>
      <c r="AV45" s="44"/>
      <c r="AW45" s="44"/>
      <c r="AX45" s="48" t="str">
        <f t="shared" si="15"/>
        <v/>
      </c>
      <c r="AY45" s="50"/>
      <c r="AZ45" s="50"/>
      <c r="BA45" s="50"/>
      <c r="BB45" s="50"/>
      <c r="BC45" s="50"/>
      <c r="BD45" s="50"/>
      <c r="BE45" s="50"/>
      <c r="BF45" s="48" t="str">
        <f t="shared" si="16"/>
        <v/>
      </c>
      <c r="BG45" s="44"/>
      <c r="BH45" s="44"/>
      <c r="BI45" s="44"/>
      <c r="BJ45" s="44"/>
      <c r="BK45" s="44"/>
      <c r="BL45" s="44"/>
      <c r="BM45" s="44"/>
      <c r="BN45" s="48" t="str">
        <f t="shared" si="17"/>
        <v/>
      </c>
      <c r="BO45" s="50"/>
      <c r="BP45" s="50"/>
      <c r="BQ45" s="50"/>
      <c r="BR45" s="50"/>
      <c r="BS45" s="50"/>
      <c r="BT45" s="50"/>
      <c r="BU45" s="50"/>
      <c r="BV45" s="48" t="str">
        <f t="shared" si="18"/>
        <v/>
      </c>
      <c r="BW45" s="44"/>
      <c r="BX45" s="44"/>
      <c r="BY45" s="44"/>
      <c r="BZ45" s="44"/>
      <c r="CA45" s="44"/>
      <c r="CB45" s="44"/>
      <c r="CC45" s="55"/>
      <c r="CD45" s="48" t="str">
        <f t="shared" si="19"/>
        <v/>
      </c>
    </row>
    <row r="46" spans="1:82" ht="40" customHeight="1" x14ac:dyDescent="0.15">
      <c r="A46" s="71" t="s">
        <v>125</v>
      </c>
      <c r="B46" s="72" t="s">
        <v>126</v>
      </c>
      <c r="C46" s="70"/>
      <c r="D46" s="44"/>
      <c r="E46" s="44"/>
      <c r="F46" s="44"/>
      <c r="G46" s="44"/>
      <c r="H46" s="44"/>
      <c r="I46" s="44"/>
      <c r="J46" s="48" t="str">
        <f t="shared" si="10"/>
        <v/>
      </c>
      <c r="K46" s="44"/>
      <c r="L46" s="44"/>
      <c r="M46" s="44"/>
      <c r="N46" s="44"/>
      <c r="O46" s="44"/>
      <c r="P46" s="44"/>
      <c r="Q46" s="44"/>
      <c r="R46" s="48" t="str">
        <f t="shared" si="11"/>
        <v/>
      </c>
      <c r="S46" s="47"/>
      <c r="T46" s="47"/>
      <c r="U46" s="47"/>
      <c r="V46" s="47"/>
      <c r="W46" s="47"/>
      <c r="X46" s="47"/>
      <c r="Y46" s="47"/>
      <c r="Z46" s="48" t="str">
        <f t="shared" si="12"/>
        <v/>
      </c>
      <c r="AA46" s="44"/>
      <c r="AB46" s="44"/>
      <c r="AC46" s="44"/>
      <c r="AD46" s="44"/>
      <c r="AE46" s="44"/>
      <c r="AF46" s="44"/>
      <c r="AG46" s="44"/>
      <c r="AH46" s="48" t="str">
        <f t="shared" si="13"/>
        <v/>
      </c>
      <c r="AI46" s="44"/>
      <c r="AJ46" s="44"/>
      <c r="AK46" s="44"/>
      <c r="AL46" s="44"/>
      <c r="AM46" s="44"/>
      <c r="AN46" s="44"/>
      <c r="AO46" s="44"/>
      <c r="AP46" s="48" t="str">
        <f t="shared" si="14"/>
        <v/>
      </c>
      <c r="AQ46" s="44"/>
      <c r="AR46" s="44"/>
      <c r="AS46" s="44"/>
      <c r="AT46" s="44"/>
      <c r="AU46" s="44"/>
      <c r="AV46" s="44"/>
      <c r="AW46" s="44"/>
      <c r="AX46" s="48" t="str">
        <f t="shared" si="15"/>
        <v/>
      </c>
      <c r="AY46" s="50"/>
      <c r="AZ46" s="50"/>
      <c r="BA46" s="50"/>
      <c r="BB46" s="50"/>
      <c r="BC46" s="50"/>
      <c r="BD46" s="50"/>
      <c r="BE46" s="50"/>
      <c r="BF46" s="48" t="str">
        <f t="shared" si="16"/>
        <v/>
      </c>
      <c r="BG46" s="44"/>
      <c r="BH46" s="44"/>
      <c r="BI46" s="44"/>
      <c r="BJ46" s="44"/>
      <c r="BK46" s="44"/>
      <c r="BL46" s="44"/>
      <c r="BM46" s="44"/>
      <c r="BN46" s="48" t="str">
        <f t="shared" si="17"/>
        <v/>
      </c>
      <c r="BO46" s="50"/>
      <c r="BP46" s="50"/>
      <c r="BQ46" s="50"/>
      <c r="BR46" s="50"/>
      <c r="BS46" s="50"/>
      <c r="BT46" s="50"/>
      <c r="BU46" s="50"/>
      <c r="BV46" s="48" t="str">
        <f t="shared" si="18"/>
        <v/>
      </c>
      <c r="BW46" s="44"/>
      <c r="BX46" s="44"/>
      <c r="BY46" s="44"/>
      <c r="BZ46" s="44"/>
      <c r="CA46" s="44"/>
      <c r="CB46" s="44"/>
      <c r="CC46" s="55"/>
      <c r="CD46" s="48" t="str">
        <f t="shared" si="19"/>
        <v/>
      </c>
    </row>
    <row r="47" spans="1:82" ht="40" customHeight="1" x14ac:dyDescent="0.15">
      <c r="A47" s="73" t="s">
        <v>127</v>
      </c>
      <c r="B47" s="74" t="s">
        <v>128</v>
      </c>
      <c r="C47" s="70"/>
      <c r="D47" s="44"/>
      <c r="E47" s="44"/>
      <c r="F47" s="44"/>
      <c r="G47" s="44"/>
      <c r="H47" s="44"/>
      <c r="I47" s="44"/>
      <c r="J47" s="48" t="str">
        <f t="shared" si="10"/>
        <v/>
      </c>
      <c r="K47" s="44"/>
      <c r="L47" s="44"/>
      <c r="M47" s="44"/>
      <c r="N47" s="44"/>
      <c r="O47" s="44"/>
      <c r="P47" s="44"/>
      <c r="Q47" s="44"/>
      <c r="R47" s="48" t="str">
        <f t="shared" si="11"/>
        <v/>
      </c>
      <c r="S47" s="47"/>
      <c r="T47" s="47"/>
      <c r="U47" s="47"/>
      <c r="V47" s="47"/>
      <c r="W47" s="47"/>
      <c r="X47" s="47"/>
      <c r="Y47" s="47"/>
      <c r="Z47" s="48" t="str">
        <f t="shared" si="12"/>
        <v/>
      </c>
      <c r="AA47" s="44"/>
      <c r="AB47" s="44"/>
      <c r="AC47" s="44"/>
      <c r="AD47" s="44"/>
      <c r="AE47" s="44"/>
      <c r="AF47" s="44"/>
      <c r="AG47" s="44"/>
      <c r="AH47" s="48" t="str">
        <f t="shared" si="13"/>
        <v/>
      </c>
      <c r="AI47" s="44"/>
      <c r="AJ47" s="44"/>
      <c r="AK47" s="44"/>
      <c r="AL47" s="44"/>
      <c r="AM47" s="44"/>
      <c r="AN47" s="44"/>
      <c r="AO47" s="44"/>
      <c r="AP47" s="48" t="str">
        <f t="shared" si="14"/>
        <v/>
      </c>
      <c r="AQ47" s="44"/>
      <c r="AR47" s="44"/>
      <c r="AS47" s="44"/>
      <c r="AT47" s="44"/>
      <c r="AU47" s="44"/>
      <c r="AV47" s="44"/>
      <c r="AW47" s="44"/>
      <c r="AX47" s="48" t="str">
        <f t="shared" si="15"/>
        <v/>
      </c>
      <c r="AY47" s="50"/>
      <c r="AZ47" s="50"/>
      <c r="BA47" s="50"/>
      <c r="BB47" s="50"/>
      <c r="BC47" s="50"/>
      <c r="BD47" s="50"/>
      <c r="BE47" s="50"/>
      <c r="BF47" s="48" t="str">
        <f t="shared" si="16"/>
        <v/>
      </c>
      <c r="BG47" s="44"/>
      <c r="BH47" s="44"/>
      <c r="BI47" s="44"/>
      <c r="BJ47" s="44"/>
      <c r="BK47" s="44"/>
      <c r="BL47" s="44"/>
      <c r="BM47" s="44"/>
      <c r="BN47" s="48" t="str">
        <f t="shared" si="17"/>
        <v/>
      </c>
      <c r="BO47" s="50"/>
      <c r="BP47" s="50"/>
      <c r="BQ47" s="50"/>
      <c r="BR47" s="50"/>
      <c r="BS47" s="50"/>
      <c r="BT47" s="50"/>
      <c r="BU47" s="50"/>
      <c r="BV47" s="48" t="str">
        <f t="shared" si="18"/>
        <v/>
      </c>
      <c r="BW47" s="44"/>
      <c r="BX47" s="44"/>
      <c r="BY47" s="44"/>
      <c r="BZ47" s="44"/>
      <c r="CA47" s="44"/>
      <c r="CB47" s="44"/>
      <c r="CC47" s="55"/>
      <c r="CD47" s="48" t="str">
        <f t="shared" si="19"/>
        <v/>
      </c>
    </row>
    <row r="48" spans="1:82" ht="40" customHeight="1" x14ac:dyDescent="0.15">
      <c r="A48" s="71" t="s">
        <v>130</v>
      </c>
      <c r="B48" s="72" t="s">
        <v>131</v>
      </c>
      <c r="C48" s="70"/>
      <c r="D48" s="44"/>
      <c r="E48" s="44"/>
      <c r="F48" s="44"/>
      <c r="G48" s="44"/>
      <c r="H48" s="44"/>
      <c r="I48" s="44"/>
      <c r="J48" s="48" t="str">
        <f t="shared" si="10"/>
        <v/>
      </c>
      <c r="K48" s="44"/>
      <c r="L48" s="44"/>
      <c r="M48" s="44"/>
      <c r="N48" s="44"/>
      <c r="O48" s="44"/>
      <c r="P48" s="44"/>
      <c r="Q48" s="44"/>
      <c r="R48" s="48" t="str">
        <f t="shared" si="11"/>
        <v/>
      </c>
      <c r="S48" s="47"/>
      <c r="T48" s="47"/>
      <c r="U48" s="47"/>
      <c r="V48" s="47"/>
      <c r="W48" s="47"/>
      <c r="X48" s="47"/>
      <c r="Y48" s="47"/>
      <c r="Z48" s="48" t="str">
        <f t="shared" si="12"/>
        <v/>
      </c>
      <c r="AA48" s="44"/>
      <c r="AB48" s="44"/>
      <c r="AC48" s="44"/>
      <c r="AD48" s="44"/>
      <c r="AE48" s="44"/>
      <c r="AF48" s="44"/>
      <c r="AG48" s="44"/>
      <c r="AH48" s="48" t="str">
        <f t="shared" si="13"/>
        <v/>
      </c>
      <c r="AI48" s="44"/>
      <c r="AJ48" s="44"/>
      <c r="AK48" s="44"/>
      <c r="AL48" s="44"/>
      <c r="AM48" s="44"/>
      <c r="AN48" s="44"/>
      <c r="AO48" s="44"/>
      <c r="AP48" s="48" t="str">
        <f t="shared" si="14"/>
        <v/>
      </c>
      <c r="AQ48" s="44"/>
      <c r="AR48" s="44"/>
      <c r="AS48" s="44"/>
      <c r="AT48" s="44"/>
      <c r="AU48" s="44"/>
      <c r="AV48" s="44"/>
      <c r="AW48" s="44"/>
      <c r="AX48" s="48" t="str">
        <f t="shared" si="15"/>
        <v/>
      </c>
      <c r="AY48" s="50"/>
      <c r="AZ48" s="50"/>
      <c r="BA48" s="50"/>
      <c r="BB48" s="50"/>
      <c r="BC48" s="50"/>
      <c r="BD48" s="50"/>
      <c r="BE48" s="50"/>
      <c r="BF48" s="48" t="str">
        <f t="shared" si="16"/>
        <v/>
      </c>
      <c r="BG48" s="44"/>
      <c r="BH48" s="44"/>
      <c r="BI48" s="44"/>
      <c r="BJ48" s="44"/>
      <c r="BK48" s="44"/>
      <c r="BL48" s="44"/>
      <c r="BM48" s="44"/>
      <c r="BN48" s="48" t="str">
        <f t="shared" si="17"/>
        <v/>
      </c>
      <c r="BO48" s="50"/>
      <c r="BP48" s="50"/>
      <c r="BQ48" s="50"/>
      <c r="BR48" s="50"/>
      <c r="BS48" s="50"/>
      <c r="BT48" s="50"/>
      <c r="BU48" s="50"/>
      <c r="BV48" s="48" t="str">
        <f t="shared" si="18"/>
        <v/>
      </c>
      <c r="BW48" s="44"/>
      <c r="BX48" s="44"/>
      <c r="BY48" s="44"/>
      <c r="BZ48" s="44"/>
      <c r="CA48" s="44"/>
      <c r="CB48" s="44"/>
      <c r="CC48" s="55"/>
      <c r="CD48" s="48" t="str">
        <f t="shared" si="19"/>
        <v/>
      </c>
    </row>
    <row r="49" spans="1:82" ht="40" customHeight="1" x14ac:dyDescent="0.15">
      <c r="A49" s="73" t="s">
        <v>132</v>
      </c>
      <c r="B49" s="74" t="s">
        <v>133</v>
      </c>
      <c r="C49" s="70"/>
      <c r="D49" s="44"/>
      <c r="E49" s="44"/>
      <c r="F49" s="44"/>
      <c r="G49" s="44"/>
      <c r="H49" s="44"/>
      <c r="I49" s="44"/>
      <c r="J49" s="48" t="str">
        <f t="shared" si="10"/>
        <v/>
      </c>
      <c r="K49" s="44"/>
      <c r="L49" s="44"/>
      <c r="M49" s="44"/>
      <c r="N49" s="44"/>
      <c r="O49" s="44"/>
      <c r="P49" s="44"/>
      <c r="Q49" s="44"/>
      <c r="R49" s="48" t="str">
        <f t="shared" si="11"/>
        <v/>
      </c>
      <c r="S49" s="47"/>
      <c r="T49" s="47"/>
      <c r="U49" s="47"/>
      <c r="V49" s="47"/>
      <c r="W49" s="47"/>
      <c r="X49" s="47"/>
      <c r="Y49" s="47"/>
      <c r="Z49" s="48" t="str">
        <f t="shared" si="12"/>
        <v/>
      </c>
      <c r="AA49" s="44"/>
      <c r="AB49" s="44"/>
      <c r="AC49" s="44"/>
      <c r="AD49" s="44"/>
      <c r="AE49" s="44"/>
      <c r="AF49" s="44"/>
      <c r="AG49" s="44"/>
      <c r="AH49" s="48" t="str">
        <f t="shared" si="13"/>
        <v/>
      </c>
      <c r="AI49" s="44"/>
      <c r="AJ49" s="44"/>
      <c r="AK49" s="44"/>
      <c r="AL49" s="44"/>
      <c r="AM49" s="44"/>
      <c r="AN49" s="44"/>
      <c r="AO49" s="44"/>
      <c r="AP49" s="48" t="str">
        <f t="shared" si="14"/>
        <v/>
      </c>
      <c r="AQ49" s="44"/>
      <c r="AR49" s="44"/>
      <c r="AS49" s="44"/>
      <c r="AT49" s="44"/>
      <c r="AU49" s="44"/>
      <c r="AV49" s="44"/>
      <c r="AW49" s="44"/>
      <c r="AX49" s="48" t="str">
        <f t="shared" si="15"/>
        <v/>
      </c>
      <c r="AY49" s="50"/>
      <c r="AZ49" s="50"/>
      <c r="BA49" s="50"/>
      <c r="BB49" s="50"/>
      <c r="BC49" s="50"/>
      <c r="BD49" s="50"/>
      <c r="BE49" s="50"/>
      <c r="BF49" s="48" t="str">
        <f t="shared" si="16"/>
        <v/>
      </c>
      <c r="BG49" s="44"/>
      <c r="BH49" s="44"/>
      <c r="BI49" s="44"/>
      <c r="BJ49" s="44"/>
      <c r="BK49" s="44"/>
      <c r="BL49" s="44"/>
      <c r="BM49" s="44"/>
      <c r="BN49" s="48" t="str">
        <f t="shared" si="17"/>
        <v/>
      </c>
      <c r="BO49" s="50"/>
      <c r="BP49" s="50"/>
      <c r="BQ49" s="50"/>
      <c r="BR49" s="50"/>
      <c r="BS49" s="50"/>
      <c r="BT49" s="50"/>
      <c r="BU49" s="50"/>
      <c r="BV49" s="48" t="str">
        <f t="shared" si="18"/>
        <v/>
      </c>
      <c r="BW49" s="44"/>
      <c r="BX49" s="44"/>
      <c r="BY49" s="44"/>
      <c r="BZ49" s="44"/>
      <c r="CA49" s="44"/>
      <c r="CB49" s="44"/>
      <c r="CC49" s="55"/>
      <c r="CD49" s="48" t="str">
        <f t="shared" si="19"/>
        <v/>
      </c>
    </row>
    <row r="50" spans="1:82" ht="40" customHeight="1" x14ac:dyDescent="0.15">
      <c r="A50" s="71" t="s">
        <v>135</v>
      </c>
      <c r="B50" s="72" t="s">
        <v>136</v>
      </c>
      <c r="C50" s="70"/>
      <c r="D50" s="44"/>
      <c r="E50" s="44"/>
      <c r="F50" s="44"/>
      <c r="G50" s="44"/>
      <c r="H50" s="44"/>
      <c r="I50" s="44"/>
      <c r="J50" s="48" t="str">
        <f t="shared" si="10"/>
        <v/>
      </c>
      <c r="K50" s="44"/>
      <c r="L50" s="44"/>
      <c r="M50" s="44"/>
      <c r="N50" s="44"/>
      <c r="O50" s="44"/>
      <c r="P50" s="44"/>
      <c r="Q50" s="44"/>
      <c r="R50" s="48" t="str">
        <f t="shared" si="11"/>
        <v/>
      </c>
      <c r="S50" s="47"/>
      <c r="T50" s="47"/>
      <c r="U50" s="47"/>
      <c r="V50" s="47"/>
      <c r="W50" s="47"/>
      <c r="X50" s="47"/>
      <c r="Y50" s="47"/>
      <c r="Z50" s="48" t="str">
        <f t="shared" si="12"/>
        <v/>
      </c>
      <c r="AA50" s="44"/>
      <c r="AB50" s="44"/>
      <c r="AC50" s="44"/>
      <c r="AD50" s="44"/>
      <c r="AE50" s="44"/>
      <c r="AF50" s="44"/>
      <c r="AG50" s="44"/>
      <c r="AH50" s="48" t="str">
        <f t="shared" si="13"/>
        <v/>
      </c>
      <c r="AI50" s="44"/>
      <c r="AJ50" s="44"/>
      <c r="AK50" s="44"/>
      <c r="AL50" s="44"/>
      <c r="AM50" s="44"/>
      <c r="AN50" s="44"/>
      <c r="AO50" s="44"/>
      <c r="AP50" s="48" t="str">
        <f t="shared" si="14"/>
        <v/>
      </c>
      <c r="AQ50" s="44"/>
      <c r="AR50" s="44"/>
      <c r="AS50" s="44"/>
      <c r="AT50" s="44"/>
      <c r="AU50" s="44"/>
      <c r="AV50" s="44"/>
      <c r="AW50" s="44"/>
      <c r="AX50" s="48" t="str">
        <f t="shared" si="15"/>
        <v/>
      </c>
      <c r="AY50" s="50"/>
      <c r="AZ50" s="50"/>
      <c r="BA50" s="50"/>
      <c r="BB50" s="50"/>
      <c r="BC50" s="50"/>
      <c r="BD50" s="50"/>
      <c r="BE50" s="50"/>
      <c r="BF50" s="48" t="str">
        <f t="shared" si="16"/>
        <v/>
      </c>
      <c r="BG50" s="44"/>
      <c r="BH50" s="44"/>
      <c r="BI50" s="44"/>
      <c r="BJ50" s="44"/>
      <c r="BK50" s="44"/>
      <c r="BL50" s="44"/>
      <c r="BM50" s="44"/>
      <c r="BN50" s="48" t="str">
        <f t="shared" si="17"/>
        <v/>
      </c>
      <c r="BO50" s="50"/>
      <c r="BP50" s="50"/>
      <c r="BQ50" s="50"/>
      <c r="BR50" s="50"/>
      <c r="BS50" s="50"/>
      <c r="BT50" s="50"/>
      <c r="BU50" s="50"/>
      <c r="BV50" s="48" t="str">
        <f t="shared" si="18"/>
        <v/>
      </c>
      <c r="BW50" s="44"/>
      <c r="BX50" s="44"/>
      <c r="BY50" s="44"/>
      <c r="BZ50" s="44"/>
      <c r="CA50" s="44"/>
      <c r="CB50" s="44"/>
      <c r="CC50" s="55"/>
      <c r="CD50" s="48" t="str">
        <f t="shared" si="19"/>
        <v/>
      </c>
    </row>
    <row r="51" spans="1:82" ht="40" customHeight="1" x14ac:dyDescent="0.15">
      <c r="A51" s="73" t="s">
        <v>138</v>
      </c>
      <c r="B51" s="74" t="s">
        <v>139</v>
      </c>
      <c r="C51" s="70"/>
      <c r="D51" s="44"/>
      <c r="E51" s="44"/>
      <c r="F51" s="44"/>
      <c r="G51" s="44"/>
      <c r="H51" s="44"/>
      <c r="I51" s="44"/>
      <c r="J51" s="48" t="str">
        <f t="shared" si="10"/>
        <v/>
      </c>
      <c r="K51" s="44"/>
      <c r="L51" s="44"/>
      <c r="M51" s="44"/>
      <c r="N51" s="44"/>
      <c r="O51" s="44"/>
      <c r="P51" s="44"/>
      <c r="Q51" s="44"/>
      <c r="R51" s="48" t="str">
        <f t="shared" si="11"/>
        <v/>
      </c>
      <c r="S51" s="47"/>
      <c r="T51" s="47"/>
      <c r="U51" s="47"/>
      <c r="V51" s="47"/>
      <c r="W51" s="47"/>
      <c r="X51" s="47"/>
      <c r="Y51" s="47"/>
      <c r="Z51" s="48" t="str">
        <f t="shared" si="12"/>
        <v/>
      </c>
      <c r="AA51" s="44"/>
      <c r="AB51" s="44"/>
      <c r="AC51" s="44"/>
      <c r="AD51" s="44"/>
      <c r="AE51" s="44"/>
      <c r="AF51" s="44"/>
      <c r="AG51" s="44"/>
      <c r="AH51" s="48" t="str">
        <f t="shared" si="13"/>
        <v/>
      </c>
      <c r="AI51" s="44"/>
      <c r="AJ51" s="44"/>
      <c r="AK51" s="44"/>
      <c r="AL51" s="44"/>
      <c r="AM51" s="44"/>
      <c r="AN51" s="44"/>
      <c r="AO51" s="44"/>
      <c r="AP51" s="48" t="str">
        <f t="shared" si="14"/>
        <v/>
      </c>
      <c r="AQ51" s="44"/>
      <c r="AR51" s="44"/>
      <c r="AS51" s="44"/>
      <c r="AT51" s="44"/>
      <c r="AU51" s="44"/>
      <c r="AV51" s="44"/>
      <c r="AW51" s="44"/>
      <c r="AX51" s="48" t="str">
        <f t="shared" si="15"/>
        <v/>
      </c>
      <c r="AY51" s="50"/>
      <c r="AZ51" s="50"/>
      <c r="BA51" s="50"/>
      <c r="BB51" s="50"/>
      <c r="BC51" s="50"/>
      <c r="BD51" s="50"/>
      <c r="BE51" s="50"/>
      <c r="BF51" s="48" t="str">
        <f t="shared" si="16"/>
        <v/>
      </c>
      <c r="BG51" s="44"/>
      <c r="BH51" s="44"/>
      <c r="BI51" s="44"/>
      <c r="BJ51" s="44"/>
      <c r="BK51" s="44"/>
      <c r="BL51" s="44"/>
      <c r="BM51" s="44"/>
      <c r="BN51" s="48" t="str">
        <f t="shared" si="17"/>
        <v/>
      </c>
      <c r="BO51" s="50"/>
      <c r="BP51" s="50"/>
      <c r="BQ51" s="50"/>
      <c r="BR51" s="50"/>
      <c r="BS51" s="50"/>
      <c r="BT51" s="50"/>
      <c r="BU51" s="50"/>
      <c r="BV51" s="48" t="str">
        <f t="shared" si="18"/>
        <v/>
      </c>
      <c r="BW51" s="44"/>
      <c r="BX51" s="44"/>
      <c r="BY51" s="44"/>
      <c r="BZ51" s="44"/>
      <c r="CA51" s="44"/>
      <c r="CB51" s="44"/>
      <c r="CC51" s="55"/>
      <c r="CD51" s="48" t="str">
        <f t="shared" si="19"/>
        <v/>
      </c>
    </row>
    <row r="52" spans="1:82" ht="40" customHeight="1" x14ac:dyDescent="0.15">
      <c r="A52" s="71" t="s">
        <v>140</v>
      </c>
      <c r="B52" s="72" t="s">
        <v>141</v>
      </c>
      <c r="C52" s="70"/>
      <c r="D52" s="44"/>
      <c r="E52" s="44"/>
      <c r="F52" s="44"/>
      <c r="G52" s="44"/>
      <c r="H52" s="44"/>
      <c r="I52" s="44"/>
      <c r="J52" s="48" t="str">
        <f t="shared" si="10"/>
        <v/>
      </c>
      <c r="K52" s="44"/>
      <c r="L52" s="44"/>
      <c r="M52" s="44"/>
      <c r="N52" s="44"/>
      <c r="O52" s="44"/>
      <c r="P52" s="44"/>
      <c r="Q52" s="44"/>
      <c r="R52" s="48" t="str">
        <f t="shared" si="11"/>
        <v/>
      </c>
      <c r="S52" s="47"/>
      <c r="T52" s="47"/>
      <c r="U52" s="47"/>
      <c r="V52" s="47"/>
      <c r="W52" s="47"/>
      <c r="X52" s="47"/>
      <c r="Y52" s="47"/>
      <c r="Z52" s="48" t="str">
        <f t="shared" si="12"/>
        <v/>
      </c>
      <c r="AA52" s="44"/>
      <c r="AB52" s="44"/>
      <c r="AC52" s="44"/>
      <c r="AD52" s="44"/>
      <c r="AE52" s="44"/>
      <c r="AF52" s="44"/>
      <c r="AG52" s="44"/>
      <c r="AH52" s="48" t="str">
        <f t="shared" si="13"/>
        <v/>
      </c>
      <c r="AI52" s="44"/>
      <c r="AJ52" s="44"/>
      <c r="AK52" s="44"/>
      <c r="AL52" s="44"/>
      <c r="AM52" s="44"/>
      <c r="AN52" s="44"/>
      <c r="AO52" s="44"/>
      <c r="AP52" s="48" t="str">
        <f t="shared" si="14"/>
        <v/>
      </c>
      <c r="AQ52" s="44"/>
      <c r="AR52" s="44"/>
      <c r="AS52" s="44"/>
      <c r="AT52" s="44"/>
      <c r="AU52" s="44"/>
      <c r="AV52" s="44"/>
      <c r="AW52" s="44"/>
      <c r="AX52" s="48" t="str">
        <f t="shared" si="15"/>
        <v/>
      </c>
      <c r="AY52" s="50"/>
      <c r="AZ52" s="50"/>
      <c r="BA52" s="50"/>
      <c r="BB52" s="50"/>
      <c r="BC52" s="50"/>
      <c r="BD52" s="50"/>
      <c r="BE52" s="50"/>
      <c r="BF52" s="48" t="str">
        <f t="shared" si="16"/>
        <v/>
      </c>
      <c r="BG52" s="44"/>
      <c r="BH52" s="44"/>
      <c r="BI52" s="44"/>
      <c r="BJ52" s="44"/>
      <c r="BK52" s="44"/>
      <c r="BL52" s="44"/>
      <c r="BM52" s="44"/>
      <c r="BN52" s="48" t="str">
        <f t="shared" si="17"/>
        <v/>
      </c>
      <c r="BO52" s="50"/>
      <c r="BP52" s="50"/>
      <c r="BQ52" s="50"/>
      <c r="BR52" s="50"/>
      <c r="BS52" s="50"/>
      <c r="BT52" s="50"/>
      <c r="BU52" s="50"/>
      <c r="BV52" s="48" t="str">
        <f t="shared" si="18"/>
        <v/>
      </c>
      <c r="BW52" s="44"/>
      <c r="BX52" s="44"/>
      <c r="BY52" s="44"/>
      <c r="BZ52" s="44"/>
      <c r="CA52" s="44"/>
      <c r="CB52" s="44"/>
      <c r="CC52" s="55"/>
      <c r="CD52" s="48" t="str">
        <f t="shared" si="19"/>
        <v/>
      </c>
    </row>
    <row r="53" spans="1:82" ht="40" customHeight="1" x14ac:dyDescent="0.15">
      <c r="A53" s="73" t="s">
        <v>143</v>
      </c>
      <c r="B53" s="74" t="s">
        <v>144</v>
      </c>
      <c r="C53" s="70"/>
      <c r="D53" s="44"/>
      <c r="E53" s="44"/>
      <c r="F53" s="44"/>
      <c r="G53" s="44"/>
      <c r="H53" s="44"/>
      <c r="I53" s="44"/>
      <c r="J53" s="48" t="str">
        <f t="shared" si="10"/>
        <v/>
      </c>
      <c r="K53" s="44"/>
      <c r="L53" s="44"/>
      <c r="M53" s="44"/>
      <c r="N53" s="44"/>
      <c r="O53" s="44"/>
      <c r="P53" s="44"/>
      <c r="Q53" s="44"/>
      <c r="R53" s="48" t="str">
        <f t="shared" si="11"/>
        <v/>
      </c>
      <c r="S53" s="47"/>
      <c r="T53" s="47"/>
      <c r="U53" s="47"/>
      <c r="V53" s="47"/>
      <c r="W53" s="47"/>
      <c r="X53" s="47"/>
      <c r="Y53" s="47"/>
      <c r="Z53" s="48" t="str">
        <f t="shared" si="12"/>
        <v/>
      </c>
      <c r="AA53" s="44"/>
      <c r="AB53" s="44"/>
      <c r="AC53" s="44"/>
      <c r="AD53" s="44"/>
      <c r="AE53" s="44"/>
      <c r="AF53" s="44"/>
      <c r="AG53" s="44"/>
      <c r="AH53" s="48" t="str">
        <f t="shared" si="13"/>
        <v/>
      </c>
      <c r="AI53" s="44"/>
      <c r="AJ53" s="44"/>
      <c r="AK53" s="44"/>
      <c r="AL53" s="44"/>
      <c r="AM53" s="44"/>
      <c r="AN53" s="44"/>
      <c r="AO53" s="44"/>
      <c r="AP53" s="48" t="str">
        <f t="shared" si="14"/>
        <v/>
      </c>
      <c r="AQ53" s="44"/>
      <c r="AR53" s="44"/>
      <c r="AS53" s="44"/>
      <c r="AT53" s="44"/>
      <c r="AU53" s="44"/>
      <c r="AV53" s="44"/>
      <c r="AW53" s="44"/>
      <c r="AX53" s="48" t="str">
        <f t="shared" si="15"/>
        <v/>
      </c>
      <c r="AY53" s="50"/>
      <c r="AZ53" s="50"/>
      <c r="BA53" s="50"/>
      <c r="BB53" s="50"/>
      <c r="BC53" s="50"/>
      <c r="BD53" s="50"/>
      <c r="BE53" s="50"/>
      <c r="BF53" s="48" t="str">
        <f t="shared" si="16"/>
        <v/>
      </c>
      <c r="BG53" s="44"/>
      <c r="BH53" s="44"/>
      <c r="BI53" s="44"/>
      <c r="BJ53" s="44"/>
      <c r="BK53" s="44"/>
      <c r="BL53" s="44"/>
      <c r="BM53" s="44"/>
      <c r="BN53" s="48" t="str">
        <f t="shared" si="17"/>
        <v/>
      </c>
      <c r="BO53" s="50"/>
      <c r="BP53" s="50"/>
      <c r="BQ53" s="50"/>
      <c r="BR53" s="50"/>
      <c r="BS53" s="50"/>
      <c r="BT53" s="50"/>
      <c r="BU53" s="50"/>
      <c r="BV53" s="48" t="str">
        <f t="shared" si="18"/>
        <v/>
      </c>
      <c r="BW53" s="44"/>
      <c r="BX53" s="44"/>
      <c r="BY53" s="44"/>
      <c r="BZ53" s="44"/>
      <c r="CA53" s="44"/>
      <c r="CB53" s="44"/>
      <c r="CC53" s="55"/>
      <c r="CD53" s="48" t="str">
        <f t="shared" si="19"/>
        <v/>
      </c>
    </row>
    <row r="54" spans="1:82" ht="40" customHeight="1" x14ac:dyDescent="0.15">
      <c r="A54" s="71" t="s">
        <v>146</v>
      </c>
      <c r="B54" s="72" t="s">
        <v>147</v>
      </c>
      <c r="C54" s="70"/>
      <c r="D54" s="44"/>
      <c r="E54" s="44"/>
      <c r="F54" s="44"/>
      <c r="G54" s="44"/>
      <c r="H54" s="44"/>
      <c r="I54" s="44"/>
      <c r="J54" s="48" t="str">
        <f t="shared" si="10"/>
        <v/>
      </c>
      <c r="K54" s="44"/>
      <c r="L54" s="44"/>
      <c r="M54" s="44"/>
      <c r="N54" s="44"/>
      <c r="O54" s="44"/>
      <c r="P54" s="44"/>
      <c r="Q54" s="44"/>
      <c r="R54" s="48" t="str">
        <f t="shared" si="11"/>
        <v/>
      </c>
      <c r="S54" s="47"/>
      <c r="T54" s="47"/>
      <c r="U54" s="47"/>
      <c r="V54" s="47"/>
      <c r="W54" s="47"/>
      <c r="X54" s="47"/>
      <c r="Y54" s="47"/>
      <c r="Z54" s="48" t="str">
        <f t="shared" si="12"/>
        <v/>
      </c>
      <c r="AA54" s="44"/>
      <c r="AB54" s="44"/>
      <c r="AC54" s="44"/>
      <c r="AD54" s="44"/>
      <c r="AE54" s="44"/>
      <c r="AF54" s="44"/>
      <c r="AG54" s="44"/>
      <c r="AH54" s="48" t="str">
        <f t="shared" si="13"/>
        <v/>
      </c>
      <c r="AI54" s="44"/>
      <c r="AJ54" s="44"/>
      <c r="AK54" s="44"/>
      <c r="AL54" s="44"/>
      <c r="AM54" s="44"/>
      <c r="AN54" s="44"/>
      <c r="AO54" s="44"/>
      <c r="AP54" s="48" t="str">
        <f t="shared" si="14"/>
        <v/>
      </c>
      <c r="AQ54" s="44"/>
      <c r="AR54" s="44"/>
      <c r="AS54" s="44"/>
      <c r="AT54" s="44"/>
      <c r="AU54" s="44"/>
      <c r="AV54" s="44"/>
      <c r="AW54" s="44"/>
      <c r="AX54" s="48" t="str">
        <f t="shared" si="15"/>
        <v/>
      </c>
      <c r="AY54" s="50"/>
      <c r="AZ54" s="50"/>
      <c r="BA54" s="50"/>
      <c r="BB54" s="50"/>
      <c r="BC54" s="50"/>
      <c r="BD54" s="50"/>
      <c r="BE54" s="50"/>
      <c r="BF54" s="48" t="str">
        <f t="shared" si="16"/>
        <v/>
      </c>
      <c r="BG54" s="44"/>
      <c r="BH54" s="44"/>
      <c r="BI54" s="44"/>
      <c r="BJ54" s="44"/>
      <c r="BK54" s="44"/>
      <c r="BL54" s="44"/>
      <c r="BM54" s="44"/>
      <c r="BN54" s="48" t="str">
        <f t="shared" si="17"/>
        <v/>
      </c>
      <c r="BO54" s="50"/>
      <c r="BP54" s="50"/>
      <c r="BQ54" s="50"/>
      <c r="BR54" s="50"/>
      <c r="BS54" s="50"/>
      <c r="BT54" s="50"/>
      <c r="BU54" s="50"/>
      <c r="BV54" s="48" t="str">
        <f t="shared" si="18"/>
        <v/>
      </c>
      <c r="BW54" s="44"/>
      <c r="BX54" s="44"/>
      <c r="BY54" s="44"/>
      <c r="BZ54" s="44"/>
      <c r="CA54" s="44"/>
      <c r="CB54" s="44"/>
      <c r="CC54" s="55"/>
      <c r="CD54" s="48" t="str">
        <f t="shared" si="19"/>
        <v/>
      </c>
    </row>
    <row r="55" spans="1:82" ht="40" customHeight="1" x14ac:dyDescent="0.15">
      <c r="A55" s="73" t="s">
        <v>149</v>
      </c>
      <c r="B55" s="74" t="s">
        <v>150</v>
      </c>
      <c r="C55" s="70"/>
      <c r="D55" s="44"/>
      <c r="E55" s="44"/>
      <c r="F55" s="44"/>
      <c r="G55" s="44"/>
      <c r="H55" s="44"/>
      <c r="I55" s="44"/>
      <c r="J55" s="48" t="str">
        <f t="shared" si="10"/>
        <v/>
      </c>
      <c r="K55" s="44"/>
      <c r="L55" s="44"/>
      <c r="M55" s="44"/>
      <c r="N55" s="44"/>
      <c r="O55" s="44"/>
      <c r="P55" s="44"/>
      <c r="Q55" s="44"/>
      <c r="R55" s="48" t="str">
        <f t="shared" si="11"/>
        <v/>
      </c>
      <c r="S55" s="47"/>
      <c r="T55" s="47"/>
      <c r="U55" s="47"/>
      <c r="V55" s="47"/>
      <c r="W55" s="47"/>
      <c r="X55" s="47"/>
      <c r="Y55" s="47"/>
      <c r="Z55" s="48" t="str">
        <f t="shared" si="12"/>
        <v/>
      </c>
      <c r="AA55" s="44"/>
      <c r="AB55" s="44"/>
      <c r="AC55" s="44"/>
      <c r="AD55" s="44"/>
      <c r="AE55" s="44"/>
      <c r="AF55" s="44"/>
      <c r="AG55" s="44"/>
      <c r="AH55" s="48" t="str">
        <f t="shared" si="13"/>
        <v/>
      </c>
      <c r="AI55" s="44"/>
      <c r="AJ55" s="44"/>
      <c r="AK55" s="44"/>
      <c r="AL55" s="44"/>
      <c r="AM55" s="44"/>
      <c r="AN55" s="44"/>
      <c r="AO55" s="44"/>
      <c r="AP55" s="48" t="str">
        <f t="shared" si="14"/>
        <v/>
      </c>
      <c r="AQ55" s="44"/>
      <c r="AR55" s="44"/>
      <c r="AS55" s="44"/>
      <c r="AT55" s="44"/>
      <c r="AU55" s="44"/>
      <c r="AV55" s="44"/>
      <c r="AW55" s="44"/>
      <c r="AX55" s="48" t="str">
        <f t="shared" si="15"/>
        <v/>
      </c>
      <c r="AY55" s="50"/>
      <c r="AZ55" s="50"/>
      <c r="BA55" s="50"/>
      <c r="BB55" s="50"/>
      <c r="BC55" s="50"/>
      <c r="BD55" s="50"/>
      <c r="BE55" s="50"/>
      <c r="BF55" s="48" t="str">
        <f t="shared" si="16"/>
        <v/>
      </c>
      <c r="BG55" s="44"/>
      <c r="BH55" s="44"/>
      <c r="BI55" s="44"/>
      <c r="BJ55" s="44"/>
      <c r="BK55" s="44"/>
      <c r="BL55" s="44"/>
      <c r="BM55" s="44"/>
      <c r="BN55" s="48" t="str">
        <f t="shared" si="17"/>
        <v/>
      </c>
      <c r="BO55" s="50"/>
      <c r="BP55" s="50"/>
      <c r="BQ55" s="50"/>
      <c r="BR55" s="50"/>
      <c r="BS55" s="50"/>
      <c r="BT55" s="50"/>
      <c r="BU55" s="50"/>
      <c r="BV55" s="48" t="str">
        <f t="shared" si="18"/>
        <v/>
      </c>
      <c r="BW55" s="44"/>
      <c r="BX55" s="44"/>
      <c r="BY55" s="44"/>
      <c r="BZ55" s="44"/>
      <c r="CA55" s="44"/>
      <c r="CB55" s="44"/>
      <c r="CC55" s="55"/>
      <c r="CD55" s="48" t="str">
        <f t="shared" si="19"/>
        <v/>
      </c>
    </row>
    <row r="56" spans="1:82" ht="40" customHeight="1" x14ac:dyDescent="0.15">
      <c r="A56" s="71" t="s">
        <v>152</v>
      </c>
      <c r="B56" s="72" t="s">
        <v>153</v>
      </c>
      <c r="C56" s="70"/>
      <c r="D56" s="44"/>
      <c r="E56" s="44"/>
      <c r="F56" s="44"/>
      <c r="G56" s="44"/>
      <c r="H56" s="44"/>
      <c r="I56" s="44"/>
      <c r="J56" s="48" t="str">
        <f t="shared" si="10"/>
        <v/>
      </c>
      <c r="K56" s="44"/>
      <c r="L56" s="44"/>
      <c r="M56" s="44"/>
      <c r="N56" s="44"/>
      <c r="O56" s="44"/>
      <c r="P56" s="44"/>
      <c r="Q56" s="44"/>
      <c r="R56" s="48" t="str">
        <f t="shared" si="11"/>
        <v/>
      </c>
      <c r="S56" s="47"/>
      <c r="T56" s="47"/>
      <c r="U56" s="47"/>
      <c r="V56" s="47"/>
      <c r="W56" s="47"/>
      <c r="X56" s="47"/>
      <c r="Y56" s="47"/>
      <c r="Z56" s="48" t="str">
        <f t="shared" si="12"/>
        <v/>
      </c>
      <c r="AA56" s="44"/>
      <c r="AB56" s="44"/>
      <c r="AC56" s="44"/>
      <c r="AD56" s="44"/>
      <c r="AE56" s="44"/>
      <c r="AF56" s="44"/>
      <c r="AG56" s="44"/>
      <c r="AH56" s="48" t="str">
        <f t="shared" si="13"/>
        <v/>
      </c>
      <c r="AI56" s="44"/>
      <c r="AJ56" s="44"/>
      <c r="AK56" s="44"/>
      <c r="AL56" s="44"/>
      <c r="AM56" s="44"/>
      <c r="AN56" s="44"/>
      <c r="AO56" s="44"/>
      <c r="AP56" s="48" t="str">
        <f t="shared" si="14"/>
        <v/>
      </c>
      <c r="AQ56" s="44"/>
      <c r="AR56" s="44"/>
      <c r="AS56" s="44"/>
      <c r="AT56" s="44"/>
      <c r="AU56" s="44"/>
      <c r="AV56" s="44"/>
      <c r="AW56" s="44"/>
      <c r="AX56" s="48" t="str">
        <f t="shared" si="15"/>
        <v/>
      </c>
      <c r="AY56" s="50"/>
      <c r="AZ56" s="50"/>
      <c r="BA56" s="50"/>
      <c r="BB56" s="50"/>
      <c r="BC56" s="50"/>
      <c r="BD56" s="50"/>
      <c r="BE56" s="50"/>
      <c r="BF56" s="48" t="str">
        <f t="shared" si="16"/>
        <v/>
      </c>
      <c r="BG56" s="44"/>
      <c r="BH56" s="44"/>
      <c r="BI56" s="44"/>
      <c r="BJ56" s="44"/>
      <c r="BK56" s="44"/>
      <c r="BL56" s="44"/>
      <c r="BM56" s="44"/>
      <c r="BN56" s="48" t="str">
        <f t="shared" si="17"/>
        <v/>
      </c>
      <c r="BO56" s="50"/>
      <c r="BP56" s="50"/>
      <c r="BQ56" s="50"/>
      <c r="BR56" s="50"/>
      <c r="BS56" s="50"/>
      <c r="BT56" s="50"/>
      <c r="BU56" s="50"/>
      <c r="BV56" s="48" t="str">
        <f t="shared" si="18"/>
        <v/>
      </c>
      <c r="BW56" s="44"/>
      <c r="BX56" s="44"/>
      <c r="BY56" s="44"/>
      <c r="BZ56" s="44"/>
      <c r="CA56" s="44"/>
      <c r="CB56" s="44"/>
      <c r="CC56" s="55"/>
      <c r="CD56" s="48" t="str">
        <f t="shared" si="19"/>
        <v/>
      </c>
    </row>
    <row r="57" spans="1:82" ht="40" customHeight="1" x14ac:dyDescent="0.15">
      <c r="A57" s="73" t="s">
        <v>154</v>
      </c>
      <c r="B57" s="74" t="s">
        <v>155</v>
      </c>
      <c r="C57" s="70"/>
      <c r="D57" s="44"/>
      <c r="E57" s="44"/>
      <c r="F57" s="44"/>
      <c r="G57" s="44"/>
      <c r="H57" s="44"/>
      <c r="I57" s="44"/>
      <c r="J57" s="48" t="str">
        <f t="shared" si="10"/>
        <v/>
      </c>
      <c r="K57" s="44"/>
      <c r="L57" s="44"/>
      <c r="M57" s="44"/>
      <c r="N57" s="44"/>
      <c r="O57" s="44"/>
      <c r="P57" s="44"/>
      <c r="Q57" s="44"/>
      <c r="R57" s="48" t="str">
        <f t="shared" si="11"/>
        <v/>
      </c>
      <c r="S57" s="47"/>
      <c r="T57" s="47"/>
      <c r="U57" s="47"/>
      <c r="V57" s="47"/>
      <c r="W57" s="47"/>
      <c r="X57" s="47"/>
      <c r="Y57" s="47"/>
      <c r="Z57" s="48" t="str">
        <f t="shared" si="12"/>
        <v/>
      </c>
      <c r="AA57" s="44"/>
      <c r="AB57" s="44"/>
      <c r="AC57" s="44"/>
      <c r="AD57" s="44"/>
      <c r="AE57" s="44"/>
      <c r="AF57" s="44"/>
      <c r="AG57" s="44"/>
      <c r="AH57" s="48" t="str">
        <f t="shared" si="13"/>
        <v/>
      </c>
      <c r="AI57" s="44"/>
      <c r="AJ57" s="44"/>
      <c r="AK57" s="44"/>
      <c r="AL57" s="44"/>
      <c r="AM57" s="44"/>
      <c r="AN57" s="44"/>
      <c r="AO57" s="44"/>
      <c r="AP57" s="48" t="str">
        <f t="shared" si="14"/>
        <v/>
      </c>
      <c r="AQ57" s="44"/>
      <c r="AR57" s="44"/>
      <c r="AS57" s="44"/>
      <c r="AT57" s="44"/>
      <c r="AU57" s="44"/>
      <c r="AV57" s="44"/>
      <c r="AW57" s="44"/>
      <c r="AX57" s="48" t="str">
        <f t="shared" si="15"/>
        <v/>
      </c>
      <c r="AY57" s="50"/>
      <c r="AZ57" s="50"/>
      <c r="BA57" s="50"/>
      <c r="BB57" s="50"/>
      <c r="BC57" s="50"/>
      <c r="BD57" s="50"/>
      <c r="BE57" s="50"/>
      <c r="BF57" s="48" t="str">
        <f t="shared" si="16"/>
        <v/>
      </c>
      <c r="BG57" s="44"/>
      <c r="BH57" s="44"/>
      <c r="BI57" s="44"/>
      <c r="BJ57" s="44"/>
      <c r="BK57" s="44"/>
      <c r="BL57" s="44"/>
      <c r="BM57" s="44"/>
      <c r="BN57" s="48" t="str">
        <f t="shared" si="17"/>
        <v/>
      </c>
      <c r="BO57" s="50"/>
      <c r="BP57" s="50"/>
      <c r="BQ57" s="50"/>
      <c r="BR57" s="50"/>
      <c r="BS57" s="50"/>
      <c r="BT57" s="50"/>
      <c r="BU57" s="50"/>
      <c r="BV57" s="48" t="str">
        <f t="shared" si="18"/>
        <v/>
      </c>
      <c r="BW57" s="44"/>
      <c r="BX57" s="44"/>
      <c r="BY57" s="44"/>
      <c r="BZ57" s="44"/>
      <c r="CA57" s="44"/>
      <c r="CB57" s="44"/>
      <c r="CC57" s="55"/>
      <c r="CD57" s="48" t="str">
        <f t="shared" si="19"/>
        <v/>
      </c>
    </row>
    <row r="58" spans="1:82" ht="40" customHeight="1" x14ac:dyDescent="0.15">
      <c r="A58" s="71" t="s">
        <v>157</v>
      </c>
      <c r="B58" s="72" t="s">
        <v>158</v>
      </c>
      <c r="C58" s="70"/>
      <c r="D58" s="44"/>
      <c r="E58" s="44"/>
      <c r="F58" s="44"/>
      <c r="G58" s="44"/>
      <c r="H58" s="44"/>
      <c r="I58" s="44"/>
      <c r="J58" s="48" t="str">
        <f t="shared" si="10"/>
        <v/>
      </c>
      <c r="K58" s="44"/>
      <c r="L58" s="44"/>
      <c r="M58" s="44"/>
      <c r="N58" s="44"/>
      <c r="O58" s="44"/>
      <c r="P58" s="44"/>
      <c r="Q58" s="44"/>
      <c r="R58" s="48" t="str">
        <f t="shared" si="11"/>
        <v/>
      </c>
      <c r="S58" s="47"/>
      <c r="T58" s="47"/>
      <c r="U58" s="47"/>
      <c r="V58" s="47"/>
      <c r="W58" s="47"/>
      <c r="X58" s="47"/>
      <c r="Y58" s="47"/>
      <c r="Z58" s="48" t="str">
        <f t="shared" si="12"/>
        <v/>
      </c>
      <c r="AA58" s="44"/>
      <c r="AB58" s="44"/>
      <c r="AC58" s="44"/>
      <c r="AD58" s="44"/>
      <c r="AE58" s="44"/>
      <c r="AF58" s="44"/>
      <c r="AG58" s="44"/>
      <c r="AH58" s="48" t="str">
        <f t="shared" si="13"/>
        <v/>
      </c>
      <c r="AI58" s="44"/>
      <c r="AJ58" s="44"/>
      <c r="AK58" s="44"/>
      <c r="AL58" s="44"/>
      <c r="AM58" s="44"/>
      <c r="AN58" s="44"/>
      <c r="AO58" s="44"/>
      <c r="AP58" s="48" t="str">
        <f t="shared" si="14"/>
        <v/>
      </c>
      <c r="AQ58" s="44"/>
      <c r="AR58" s="44"/>
      <c r="AS58" s="44"/>
      <c r="AT58" s="44"/>
      <c r="AU58" s="44"/>
      <c r="AV58" s="44"/>
      <c r="AW58" s="44"/>
      <c r="AX58" s="48" t="str">
        <f t="shared" si="15"/>
        <v/>
      </c>
      <c r="AY58" s="50"/>
      <c r="AZ58" s="50"/>
      <c r="BA58" s="50"/>
      <c r="BB58" s="50"/>
      <c r="BC58" s="50"/>
      <c r="BD58" s="50"/>
      <c r="BE58" s="50"/>
      <c r="BF58" s="48" t="str">
        <f t="shared" si="16"/>
        <v/>
      </c>
      <c r="BG58" s="44"/>
      <c r="BH58" s="44"/>
      <c r="BI58" s="44"/>
      <c r="BJ58" s="44"/>
      <c r="BK58" s="44"/>
      <c r="BL58" s="44"/>
      <c r="BM58" s="44"/>
      <c r="BN58" s="48" t="str">
        <f t="shared" si="17"/>
        <v/>
      </c>
      <c r="BO58" s="50"/>
      <c r="BP58" s="50"/>
      <c r="BQ58" s="50"/>
      <c r="BR58" s="50"/>
      <c r="BS58" s="50"/>
      <c r="BT58" s="50"/>
      <c r="BU58" s="50"/>
      <c r="BV58" s="48" t="str">
        <f t="shared" si="18"/>
        <v/>
      </c>
      <c r="BW58" s="44"/>
      <c r="BX58" s="44"/>
      <c r="BY58" s="44"/>
      <c r="BZ58" s="44"/>
      <c r="CA58" s="44"/>
      <c r="CB58" s="44"/>
      <c r="CC58" s="55"/>
      <c r="CD58" s="48" t="str">
        <f t="shared" si="19"/>
        <v/>
      </c>
    </row>
    <row r="59" spans="1:82" ht="40" customHeight="1" x14ac:dyDescent="0.15">
      <c r="A59" s="73" t="s">
        <v>160</v>
      </c>
      <c r="B59" s="74" t="s">
        <v>161</v>
      </c>
      <c r="C59" s="70"/>
      <c r="D59" s="44"/>
      <c r="E59" s="44"/>
      <c r="F59" s="44"/>
      <c r="G59" s="44"/>
      <c r="H59" s="44"/>
      <c r="I59" s="44"/>
      <c r="J59" s="48" t="str">
        <f t="shared" si="10"/>
        <v/>
      </c>
      <c r="K59" s="44"/>
      <c r="L59" s="44"/>
      <c r="M59" s="44"/>
      <c r="N59" s="44"/>
      <c r="O59" s="44"/>
      <c r="P59" s="44"/>
      <c r="Q59" s="44"/>
      <c r="R59" s="48" t="str">
        <f t="shared" si="11"/>
        <v/>
      </c>
      <c r="S59" s="47"/>
      <c r="T59" s="47"/>
      <c r="U59" s="47"/>
      <c r="V59" s="47"/>
      <c r="W59" s="47"/>
      <c r="X59" s="47"/>
      <c r="Y59" s="47"/>
      <c r="Z59" s="48" t="str">
        <f t="shared" si="12"/>
        <v/>
      </c>
      <c r="AA59" s="44"/>
      <c r="AB59" s="44"/>
      <c r="AC59" s="44"/>
      <c r="AD59" s="44"/>
      <c r="AE59" s="44"/>
      <c r="AF59" s="44"/>
      <c r="AG59" s="44"/>
      <c r="AH59" s="48" t="str">
        <f t="shared" si="13"/>
        <v/>
      </c>
      <c r="AI59" s="44"/>
      <c r="AJ59" s="44"/>
      <c r="AK59" s="44"/>
      <c r="AL59" s="44"/>
      <c r="AM59" s="44"/>
      <c r="AN59" s="44"/>
      <c r="AO59" s="44"/>
      <c r="AP59" s="48" t="str">
        <f t="shared" si="14"/>
        <v/>
      </c>
      <c r="AQ59" s="44"/>
      <c r="AR59" s="44"/>
      <c r="AS59" s="44"/>
      <c r="AT59" s="44"/>
      <c r="AU59" s="44"/>
      <c r="AV59" s="44"/>
      <c r="AW59" s="44"/>
      <c r="AX59" s="48" t="str">
        <f t="shared" si="15"/>
        <v/>
      </c>
      <c r="AY59" s="50"/>
      <c r="AZ59" s="50"/>
      <c r="BA59" s="50"/>
      <c r="BB59" s="50"/>
      <c r="BC59" s="50"/>
      <c r="BD59" s="50"/>
      <c r="BE59" s="50"/>
      <c r="BF59" s="48" t="str">
        <f t="shared" si="16"/>
        <v/>
      </c>
      <c r="BG59" s="44"/>
      <c r="BH59" s="44"/>
      <c r="BI59" s="44"/>
      <c r="BJ59" s="44"/>
      <c r="BK59" s="44"/>
      <c r="BL59" s="44"/>
      <c r="BM59" s="44"/>
      <c r="BN59" s="48" t="str">
        <f t="shared" si="17"/>
        <v/>
      </c>
      <c r="BO59" s="50"/>
      <c r="BP59" s="50"/>
      <c r="BQ59" s="50"/>
      <c r="BR59" s="50"/>
      <c r="BS59" s="50"/>
      <c r="BT59" s="50"/>
      <c r="BU59" s="50"/>
      <c r="BV59" s="48" t="str">
        <f t="shared" si="18"/>
        <v/>
      </c>
      <c r="BW59" s="44"/>
      <c r="BX59" s="44"/>
      <c r="BY59" s="44"/>
      <c r="BZ59" s="44"/>
      <c r="CA59" s="44"/>
      <c r="CB59" s="44"/>
      <c r="CC59" s="55"/>
      <c r="CD59" s="48" t="str">
        <f t="shared" si="19"/>
        <v/>
      </c>
    </row>
    <row r="60" spans="1:82" ht="40" customHeight="1" x14ac:dyDescent="0.15">
      <c r="A60" s="71" t="s">
        <v>163</v>
      </c>
      <c r="B60" s="72" t="s">
        <v>164</v>
      </c>
      <c r="C60" s="70"/>
      <c r="D60" s="44"/>
      <c r="E60" s="44"/>
      <c r="F60" s="44"/>
      <c r="G60" s="44"/>
      <c r="H60" s="44"/>
      <c r="I60" s="44"/>
      <c r="J60" s="48" t="str">
        <f t="shared" si="10"/>
        <v/>
      </c>
      <c r="K60" s="44"/>
      <c r="L60" s="44"/>
      <c r="M60" s="44"/>
      <c r="N60" s="44"/>
      <c r="O60" s="44"/>
      <c r="P60" s="44"/>
      <c r="Q60" s="44"/>
      <c r="R60" s="48" t="str">
        <f t="shared" si="11"/>
        <v/>
      </c>
      <c r="S60" s="47"/>
      <c r="T60" s="47"/>
      <c r="U60" s="47"/>
      <c r="V60" s="47"/>
      <c r="W60" s="47"/>
      <c r="X60" s="47"/>
      <c r="Y60" s="47"/>
      <c r="Z60" s="48" t="str">
        <f t="shared" si="12"/>
        <v/>
      </c>
      <c r="AA60" s="44"/>
      <c r="AB60" s="44"/>
      <c r="AC60" s="44"/>
      <c r="AD60" s="44"/>
      <c r="AE60" s="44"/>
      <c r="AF60" s="44"/>
      <c r="AG60" s="44"/>
      <c r="AH60" s="48" t="str">
        <f t="shared" si="13"/>
        <v/>
      </c>
      <c r="AI60" s="44"/>
      <c r="AJ60" s="44"/>
      <c r="AK60" s="44"/>
      <c r="AL60" s="44"/>
      <c r="AM60" s="44"/>
      <c r="AN60" s="44"/>
      <c r="AO60" s="44"/>
      <c r="AP60" s="48" t="str">
        <f t="shared" si="14"/>
        <v/>
      </c>
      <c r="AQ60" s="44"/>
      <c r="AR60" s="44"/>
      <c r="AS60" s="44"/>
      <c r="AT60" s="44"/>
      <c r="AU60" s="44"/>
      <c r="AV60" s="44"/>
      <c r="AW60" s="44"/>
      <c r="AX60" s="48" t="str">
        <f t="shared" si="15"/>
        <v/>
      </c>
      <c r="AY60" s="50"/>
      <c r="AZ60" s="50"/>
      <c r="BA60" s="50"/>
      <c r="BB60" s="50"/>
      <c r="BC60" s="50"/>
      <c r="BD60" s="50"/>
      <c r="BE60" s="50"/>
      <c r="BF60" s="48" t="str">
        <f t="shared" si="16"/>
        <v/>
      </c>
      <c r="BG60" s="44"/>
      <c r="BH60" s="44"/>
      <c r="BI60" s="44"/>
      <c r="BJ60" s="44"/>
      <c r="BK60" s="44"/>
      <c r="BL60" s="44"/>
      <c r="BM60" s="44"/>
      <c r="BN60" s="48" t="str">
        <f t="shared" si="17"/>
        <v/>
      </c>
      <c r="BO60" s="50"/>
      <c r="BP60" s="50"/>
      <c r="BQ60" s="50"/>
      <c r="BR60" s="50"/>
      <c r="BS60" s="50"/>
      <c r="BT60" s="50"/>
      <c r="BU60" s="50"/>
      <c r="BV60" s="48" t="str">
        <f t="shared" si="18"/>
        <v/>
      </c>
      <c r="BW60" s="44"/>
      <c r="BX60" s="44"/>
      <c r="BY60" s="44"/>
      <c r="BZ60" s="44"/>
      <c r="CA60" s="44"/>
      <c r="CB60" s="44"/>
      <c r="CC60" s="55"/>
      <c r="CD60" s="48" t="str">
        <f t="shared" si="19"/>
        <v/>
      </c>
    </row>
    <row r="61" spans="1:82" ht="40" customHeight="1" x14ac:dyDescent="0.15">
      <c r="A61" s="73" t="s">
        <v>166</v>
      </c>
      <c r="B61" s="74" t="s">
        <v>167</v>
      </c>
      <c r="C61" s="70"/>
      <c r="D61" s="44"/>
      <c r="E61" s="44"/>
      <c r="F61" s="44"/>
      <c r="G61" s="44"/>
      <c r="H61" s="44"/>
      <c r="I61" s="44"/>
      <c r="J61" s="48" t="str">
        <f t="shared" si="10"/>
        <v/>
      </c>
      <c r="K61" s="44"/>
      <c r="L61" s="44"/>
      <c r="M61" s="44"/>
      <c r="N61" s="44"/>
      <c r="O61" s="44"/>
      <c r="P61" s="44"/>
      <c r="Q61" s="44"/>
      <c r="R61" s="48" t="str">
        <f t="shared" si="11"/>
        <v/>
      </c>
      <c r="S61" s="47"/>
      <c r="T61" s="47"/>
      <c r="U61" s="47"/>
      <c r="V61" s="47"/>
      <c r="W61" s="47"/>
      <c r="X61" s="47"/>
      <c r="Y61" s="47"/>
      <c r="Z61" s="48" t="str">
        <f t="shared" si="12"/>
        <v/>
      </c>
      <c r="AA61" s="44"/>
      <c r="AB61" s="44"/>
      <c r="AC61" s="44"/>
      <c r="AD61" s="44"/>
      <c r="AE61" s="44"/>
      <c r="AF61" s="44"/>
      <c r="AG61" s="44"/>
      <c r="AH61" s="48" t="str">
        <f t="shared" si="13"/>
        <v/>
      </c>
      <c r="AI61" s="44"/>
      <c r="AJ61" s="44"/>
      <c r="AK61" s="44"/>
      <c r="AL61" s="44"/>
      <c r="AM61" s="44"/>
      <c r="AN61" s="44"/>
      <c r="AO61" s="44"/>
      <c r="AP61" s="48" t="str">
        <f t="shared" si="14"/>
        <v/>
      </c>
      <c r="AQ61" s="44"/>
      <c r="AR61" s="44"/>
      <c r="AS61" s="44"/>
      <c r="AT61" s="44"/>
      <c r="AU61" s="44"/>
      <c r="AV61" s="44"/>
      <c r="AW61" s="44"/>
      <c r="AX61" s="48" t="str">
        <f t="shared" si="15"/>
        <v/>
      </c>
      <c r="AY61" s="50"/>
      <c r="AZ61" s="50"/>
      <c r="BA61" s="50"/>
      <c r="BB61" s="50"/>
      <c r="BC61" s="50"/>
      <c r="BD61" s="50"/>
      <c r="BE61" s="50"/>
      <c r="BF61" s="48" t="str">
        <f t="shared" si="16"/>
        <v/>
      </c>
      <c r="BG61" s="44"/>
      <c r="BH61" s="44"/>
      <c r="BI61" s="44"/>
      <c r="BJ61" s="44"/>
      <c r="BK61" s="44"/>
      <c r="BL61" s="44"/>
      <c r="BM61" s="44"/>
      <c r="BN61" s="48" t="str">
        <f t="shared" si="17"/>
        <v/>
      </c>
      <c r="BO61" s="50"/>
      <c r="BP61" s="50"/>
      <c r="BQ61" s="50"/>
      <c r="BR61" s="50"/>
      <c r="BS61" s="50"/>
      <c r="BT61" s="50"/>
      <c r="BU61" s="50"/>
      <c r="BV61" s="48" t="str">
        <f t="shared" si="18"/>
        <v/>
      </c>
      <c r="BW61" s="44"/>
      <c r="BX61" s="44"/>
      <c r="BY61" s="44"/>
      <c r="BZ61" s="44"/>
      <c r="CA61" s="44"/>
      <c r="CB61" s="44"/>
      <c r="CC61" s="55"/>
      <c r="CD61" s="48" t="str">
        <f t="shared" si="19"/>
        <v/>
      </c>
    </row>
    <row r="62" spans="1:82" ht="40" customHeight="1" x14ac:dyDescent="0.15">
      <c r="A62" s="71" t="s">
        <v>168</v>
      </c>
      <c r="B62" s="72" t="s">
        <v>169</v>
      </c>
      <c r="C62" s="70"/>
      <c r="D62" s="44"/>
      <c r="E62" s="44"/>
      <c r="F62" s="44"/>
      <c r="G62" s="44"/>
      <c r="H62" s="44"/>
      <c r="I62" s="44"/>
      <c r="J62" s="48" t="str">
        <f t="shared" si="10"/>
        <v/>
      </c>
      <c r="K62" s="44"/>
      <c r="L62" s="44"/>
      <c r="M62" s="44"/>
      <c r="N62" s="44"/>
      <c r="O62" s="44"/>
      <c r="P62" s="44"/>
      <c r="Q62" s="44"/>
      <c r="R62" s="48" t="str">
        <f t="shared" si="11"/>
        <v/>
      </c>
      <c r="S62" s="47"/>
      <c r="T62" s="47"/>
      <c r="U62" s="47"/>
      <c r="V62" s="47"/>
      <c r="W62" s="47"/>
      <c r="X62" s="47"/>
      <c r="Y62" s="47"/>
      <c r="Z62" s="48" t="str">
        <f t="shared" si="12"/>
        <v/>
      </c>
      <c r="AA62" s="44"/>
      <c r="AB62" s="44"/>
      <c r="AC62" s="44"/>
      <c r="AD62" s="44"/>
      <c r="AE62" s="44"/>
      <c r="AF62" s="44"/>
      <c r="AG62" s="44"/>
      <c r="AH62" s="48" t="str">
        <f t="shared" si="13"/>
        <v/>
      </c>
      <c r="AI62" s="44"/>
      <c r="AJ62" s="44"/>
      <c r="AK62" s="44"/>
      <c r="AL62" s="44"/>
      <c r="AM62" s="44"/>
      <c r="AN62" s="44"/>
      <c r="AO62" s="44"/>
      <c r="AP62" s="48" t="str">
        <f t="shared" si="14"/>
        <v/>
      </c>
      <c r="AQ62" s="44"/>
      <c r="AR62" s="44"/>
      <c r="AS62" s="44"/>
      <c r="AT62" s="44"/>
      <c r="AU62" s="44"/>
      <c r="AV62" s="44"/>
      <c r="AW62" s="44"/>
      <c r="AX62" s="48" t="str">
        <f t="shared" si="15"/>
        <v/>
      </c>
      <c r="AY62" s="50"/>
      <c r="AZ62" s="50"/>
      <c r="BA62" s="50"/>
      <c r="BB62" s="50"/>
      <c r="BC62" s="50"/>
      <c r="BD62" s="50"/>
      <c r="BE62" s="50"/>
      <c r="BF62" s="48" t="str">
        <f t="shared" si="16"/>
        <v/>
      </c>
      <c r="BG62" s="44"/>
      <c r="BH62" s="44"/>
      <c r="BI62" s="44"/>
      <c r="BJ62" s="44"/>
      <c r="BK62" s="44"/>
      <c r="BL62" s="44"/>
      <c r="BM62" s="44"/>
      <c r="BN62" s="48" t="str">
        <f t="shared" si="17"/>
        <v/>
      </c>
      <c r="BO62" s="50"/>
      <c r="BP62" s="50"/>
      <c r="BQ62" s="50"/>
      <c r="BR62" s="50"/>
      <c r="BS62" s="50"/>
      <c r="BT62" s="50"/>
      <c r="BU62" s="50"/>
      <c r="BV62" s="48" t="str">
        <f t="shared" si="18"/>
        <v/>
      </c>
      <c r="BW62" s="44"/>
      <c r="BX62" s="44"/>
      <c r="BY62" s="44"/>
      <c r="BZ62" s="44"/>
      <c r="CA62" s="44"/>
      <c r="CB62" s="44"/>
      <c r="CC62" s="55"/>
      <c r="CD62" s="48" t="str">
        <f t="shared" si="19"/>
        <v/>
      </c>
    </row>
    <row r="63" spans="1:82" ht="40" customHeight="1" x14ac:dyDescent="0.15">
      <c r="A63" s="73" t="s">
        <v>170</v>
      </c>
      <c r="B63" s="74" t="s">
        <v>171</v>
      </c>
      <c r="C63" s="70"/>
      <c r="D63" s="44"/>
      <c r="E63" s="44"/>
      <c r="F63" s="44"/>
      <c r="G63" s="44"/>
      <c r="H63" s="44"/>
      <c r="I63" s="44"/>
      <c r="J63" s="48" t="str">
        <f t="shared" si="10"/>
        <v/>
      </c>
      <c r="K63" s="44"/>
      <c r="L63" s="44"/>
      <c r="M63" s="44"/>
      <c r="N63" s="44"/>
      <c r="O63" s="44"/>
      <c r="P63" s="44"/>
      <c r="Q63" s="44"/>
      <c r="R63" s="48" t="str">
        <f t="shared" si="11"/>
        <v/>
      </c>
      <c r="S63" s="47"/>
      <c r="T63" s="47"/>
      <c r="U63" s="47"/>
      <c r="V63" s="47"/>
      <c r="W63" s="47"/>
      <c r="X63" s="47"/>
      <c r="Y63" s="47"/>
      <c r="Z63" s="48" t="str">
        <f t="shared" si="12"/>
        <v/>
      </c>
      <c r="AA63" s="44"/>
      <c r="AB63" s="44"/>
      <c r="AC63" s="44"/>
      <c r="AD63" s="44"/>
      <c r="AE63" s="44"/>
      <c r="AF63" s="44"/>
      <c r="AG63" s="44"/>
      <c r="AH63" s="48" t="str">
        <f t="shared" si="13"/>
        <v/>
      </c>
      <c r="AI63" s="44"/>
      <c r="AJ63" s="44"/>
      <c r="AK63" s="44"/>
      <c r="AL63" s="44"/>
      <c r="AM63" s="44"/>
      <c r="AN63" s="44"/>
      <c r="AO63" s="44"/>
      <c r="AP63" s="48" t="str">
        <f t="shared" si="14"/>
        <v/>
      </c>
      <c r="AQ63" s="44"/>
      <c r="AR63" s="44"/>
      <c r="AS63" s="44"/>
      <c r="AT63" s="44"/>
      <c r="AU63" s="44"/>
      <c r="AV63" s="44"/>
      <c r="AW63" s="44"/>
      <c r="AX63" s="48" t="str">
        <f t="shared" si="15"/>
        <v/>
      </c>
      <c r="AY63" s="50"/>
      <c r="AZ63" s="50"/>
      <c r="BA63" s="50"/>
      <c r="BB63" s="50"/>
      <c r="BC63" s="50"/>
      <c r="BD63" s="50"/>
      <c r="BE63" s="50"/>
      <c r="BF63" s="48" t="str">
        <f t="shared" si="16"/>
        <v/>
      </c>
      <c r="BG63" s="44"/>
      <c r="BH63" s="44"/>
      <c r="BI63" s="44"/>
      <c r="BJ63" s="44"/>
      <c r="BK63" s="44"/>
      <c r="BL63" s="44"/>
      <c r="BM63" s="44"/>
      <c r="BN63" s="48" t="str">
        <f t="shared" si="17"/>
        <v/>
      </c>
      <c r="BO63" s="50"/>
      <c r="BP63" s="50"/>
      <c r="BQ63" s="50"/>
      <c r="BR63" s="50"/>
      <c r="BS63" s="50"/>
      <c r="BT63" s="50"/>
      <c r="BU63" s="50"/>
      <c r="BV63" s="48" t="str">
        <f t="shared" si="18"/>
        <v/>
      </c>
      <c r="BW63" s="44"/>
      <c r="BX63" s="44"/>
      <c r="BY63" s="44"/>
      <c r="BZ63" s="44"/>
      <c r="CA63" s="44"/>
      <c r="CB63" s="44"/>
      <c r="CC63" s="55"/>
      <c r="CD63" s="48" t="str">
        <f t="shared" si="19"/>
        <v/>
      </c>
    </row>
    <row r="64" spans="1:82" ht="40" customHeight="1" x14ac:dyDescent="0.15">
      <c r="A64" s="71" t="s">
        <v>172</v>
      </c>
      <c r="B64" s="72" t="s">
        <v>173</v>
      </c>
      <c r="C64" s="70"/>
      <c r="D64" s="44"/>
      <c r="E64" s="44"/>
      <c r="F64" s="44"/>
      <c r="G64" s="44"/>
      <c r="H64" s="44"/>
      <c r="I64" s="44"/>
      <c r="J64" s="48" t="str">
        <f t="shared" si="10"/>
        <v/>
      </c>
      <c r="K64" s="44"/>
      <c r="L64" s="44"/>
      <c r="M64" s="44"/>
      <c r="N64" s="44"/>
      <c r="O64" s="44"/>
      <c r="P64" s="44"/>
      <c r="Q64" s="44"/>
      <c r="R64" s="48" t="str">
        <f t="shared" si="11"/>
        <v/>
      </c>
      <c r="S64" s="47"/>
      <c r="T64" s="47"/>
      <c r="U64" s="47"/>
      <c r="V64" s="47"/>
      <c r="W64" s="47"/>
      <c r="X64" s="47"/>
      <c r="Y64" s="47"/>
      <c r="Z64" s="48" t="str">
        <f t="shared" si="12"/>
        <v/>
      </c>
      <c r="AA64" s="44"/>
      <c r="AB64" s="44"/>
      <c r="AC64" s="44"/>
      <c r="AD64" s="44"/>
      <c r="AE64" s="44"/>
      <c r="AF64" s="44"/>
      <c r="AG64" s="44"/>
      <c r="AH64" s="48" t="str">
        <f t="shared" si="13"/>
        <v/>
      </c>
      <c r="AI64" s="44"/>
      <c r="AJ64" s="44"/>
      <c r="AK64" s="44"/>
      <c r="AL64" s="44"/>
      <c r="AM64" s="44"/>
      <c r="AN64" s="44"/>
      <c r="AO64" s="44"/>
      <c r="AP64" s="48" t="str">
        <f t="shared" si="14"/>
        <v/>
      </c>
      <c r="AQ64" s="44"/>
      <c r="AR64" s="44"/>
      <c r="AS64" s="44"/>
      <c r="AT64" s="44"/>
      <c r="AU64" s="44"/>
      <c r="AV64" s="44"/>
      <c r="AW64" s="44"/>
      <c r="AX64" s="48" t="str">
        <f t="shared" si="15"/>
        <v/>
      </c>
      <c r="AY64" s="50"/>
      <c r="AZ64" s="50"/>
      <c r="BA64" s="50"/>
      <c r="BB64" s="50"/>
      <c r="BC64" s="50"/>
      <c r="BD64" s="50"/>
      <c r="BE64" s="50"/>
      <c r="BF64" s="48" t="str">
        <f t="shared" si="16"/>
        <v/>
      </c>
      <c r="BG64" s="44"/>
      <c r="BH64" s="44"/>
      <c r="BI64" s="44"/>
      <c r="BJ64" s="44"/>
      <c r="BK64" s="44"/>
      <c r="BL64" s="44"/>
      <c r="BM64" s="44"/>
      <c r="BN64" s="48" t="str">
        <f t="shared" si="17"/>
        <v/>
      </c>
      <c r="BO64" s="50"/>
      <c r="BP64" s="50"/>
      <c r="BQ64" s="50"/>
      <c r="BR64" s="50"/>
      <c r="BS64" s="50"/>
      <c r="BT64" s="50"/>
      <c r="BU64" s="50"/>
      <c r="BV64" s="48" t="str">
        <f t="shared" si="18"/>
        <v/>
      </c>
      <c r="BW64" s="44"/>
      <c r="BX64" s="44"/>
      <c r="BY64" s="44"/>
      <c r="BZ64" s="44"/>
      <c r="CA64" s="44"/>
      <c r="CB64" s="44"/>
      <c r="CC64" s="55"/>
      <c r="CD64" s="48" t="str">
        <f t="shared" si="19"/>
        <v/>
      </c>
    </row>
    <row r="65" spans="1:82" ht="40" customHeight="1" x14ac:dyDescent="0.15">
      <c r="A65" s="71" t="s">
        <v>174</v>
      </c>
      <c r="B65" s="72" t="s">
        <v>175</v>
      </c>
      <c r="C65" s="70"/>
      <c r="D65" s="44"/>
      <c r="E65" s="44"/>
      <c r="F65" s="44"/>
      <c r="G65" s="44"/>
      <c r="H65" s="44"/>
      <c r="I65" s="44"/>
      <c r="J65" s="48" t="str">
        <f t="shared" si="10"/>
        <v/>
      </c>
      <c r="K65" s="44"/>
      <c r="L65" s="44"/>
      <c r="M65" s="44"/>
      <c r="N65" s="44"/>
      <c r="O65" s="44"/>
      <c r="P65" s="44"/>
      <c r="Q65" s="44"/>
      <c r="R65" s="48" t="str">
        <f t="shared" si="11"/>
        <v/>
      </c>
      <c r="S65" s="47"/>
      <c r="T65" s="47"/>
      <c r="U65" s="47"/>
      <c r="V65" s="47"/>
      <c r="W65" s="47"/>
      <c r="X65" s="47"/>
      <c r="Y65" s="47"/>
      <c r="Z65" s="48" t="str">
        <f t="shared" si="12"/>
        <v/>
      </c>
      <c r="AA65" s="44"/>
      <c r="AB65" s="44"/>
      <c r="AC65" s="44"/>
      <c r="AD65" s="44"/>
      <c r="AE65" s="44"/>
      <c r="AF65" s="44"/>
      <c r="AG65" s="44"/>
      <c r="AH65" s="48" t="str">
        <f t="shared" si="13"/>
        <v/>
      </c>
      <c r="AI65" s="44"/>
      <c r="AJ65" s="44"/>
      <c r="AK65" s="44"/>
      <c r="AL65" s="44"/>
      <c r="AM65" s="44"/>
      <c r="AN65" s="44"/>
      <c r="AO65" s="44"/>
      <c r="AP65" s="48" t="str">
        <f t="shared" si="14"/>
        <v/>
      </c>
      <c r="AQ65" s="44"/>
      <c r="AR65" s="44"/>
      <c r="AS65" s="44"/>
      <c r="AT65" s="44"/>
      <c r="AU65" s="44"/>
      <c r="AV65" s="44"/>
      <c r="AW65" s="44"/>
      <c r="AX65" s="48" t="str">
        <f t="shared" si="15"/>
        <v/>
      </c>
      <c r="AY65" s="50"/>
      <c r="AZ65" s="50"/>
      <c r="BA65" s="50"/>
      <c r="BB65" s="50"/>
      <c r="BC65" s="50"/>
      <c r="BD65" s="50"/>
      <c r="BE65" s="50"/>
      <c r="BF65" s="48" t="str">
        <f t="shared" si="16"/>
        <v/>
      </c>
      <c r="BG65" s="44"/>
      <c r="BH65" s="44"/>
      <c r="BI65" s="44"/>
      <c r="BJ65" s="44"/>
      <c r="BK65" s="44"/>
      <c r="BL65" s="44"/>
      <c r="BM65" s="44"/>
      <c r="BN65" s="48" t="str">
        <f t="shared" si="17"/>
        <v/>
      </c>
      <c r="BO65" s="50"/>
      <c r="BP65" s="50"/>
      <c r="BQ65" s="50"/>
      <c r="BR65" s="50"/>
      <c r="BS65" s="50"/>
      <c r="BT65" s="50"/>
      <c r="BU65" s="50"/>
      <c r="BV65" s="48" t="str">
        <f t="shared" si="18"/>
        <v/>
      </c>
      <c r="BW65" s="44"/>
      <c r="BX65" s="44"/>
      <c r="BY65" s="44"/>
      <c r="BZ65" s="44"/>
      <c r="CA65" s="44"/>
      <c r="CB65" s="44"/>
      <c r="CC65" s="55"/>
      <c r="CD65" s="48" t="str">
        <f t="shared" si="19"/>
        <v/>
      </c>
    </row>
    <row r="66" spans="1:82" ht="40" customHeight="1" x14ac:dyDescent="0.15">
      <c r="A66" s="73" t="s">
        <v>176</v>
      </c>
      <c r="B66" s="74" t="s">
        <v>177</v>
      </c>
      <c r="C66" s="70"/>
      <c r="D66" s="44"/>
      <c r="E66" s="44"/>
      <c r="F66" s="44"/>
      <c r="G66" s="44"/>
      <c r="H66" s="44"/>
      <c r="I66" s="44"/>
      <c r="J66" s="48" t="str">
        <f t="shared" si="10"/>
        <v/>
      </c>
      <c r="K66" s="44"/>
      <c r="L66" s="44"/>
      <c r="M66" s="44"/>
      <c r="N66" s="44"/>
      <c r="O66" s="44"/>
      <c r="P66" s="44"/>
      <c r="Q66" s="44"/>
      <c r="R66" s="48" t="str">
        <f t="shared" si="11"/>
        <v/>
      </c>
      <c r="S66" s="47"/>
      <c r="T66" s="47"/>
      <c r="U66" s="47"/>
      <c r="V66" s="47"/>
      <c r="W66" s="47"/>
      <c r="X66" s="47"/>
      <c r="Y66" s="47"/>
      <c r="Z66" s="48" t="str">
        <f t="shared" si="12"/>
        <v/>
      </c>
      <c r="AA66" s="44"/>
      <c r="AB66" s="44"/>
      <c r="AC66" s="44"/>
      <c r="AD66" s="44"/>
      <c r="AE66" s="44"/>
      <c r="AF66" s="44"/>
      <c r="AG66" s="44"/>
      <c r="AH66" s="48" t="str">
        <f t="shared" si="13"/>
        <v/>
      </c>
      <c r="AI66" s="44"/>
      <c r="AJ66" s="44"/>
      <c r="AK66" s="44"/>
      <c r="AL66" s="44"/>
      <c r="AM66" s="44"/>
      <c r="AN66" s="44"/>
      <c r="AO66" s="44"/>
      <c r="AP66" s="48" t="str">
        <f t="shared" si="14"/>
        <v/>
      </c>
      <c r="AQ66" s="44"/>
      <c r="AR66" s="44"/>
      <c r="AS66" s="44"/>
      <c r="AT66" s="44"/>
      <c r="AU66" s="44"/>
      <c r="AV66" s="44"/>
      <c r="AW66" s="44"/>
      <c r="AX66" s="48" t="str">
        <f t="shared" si="15"/>
        <v/>
      </c>
      <c r="AY66" s="50"/>
      <c r="AZ66" s="50"/>
      <c r="BA66" s="50"/>
      <c r="BB66" s="50"/>
      <c r="BC66" s="50"/>
      <c r="BD66" s="50"/>
      <c r="BE66" s="50"/>
      <c r="BF66" s="48" t="str">
        <f t="shared" si="16"/>
        <v/>
      </c>
      <c r="BG66" s="44"/>
      <c r="BH66" s="44"/>
      <c r="BI66" s="44"/>
      <c r="BJ66" s="44"/>
      <c r="BK66" s="44"/>
      <c r="BL66" s="44"/>
      <c r="BM66" s="44"/>
      <c r="BN66" s="48" t="str">
        <f t="shared" si="17"/>
        <v/>
      </c>
      <c r="BO66" s="50"/>
      <c r="BP66" s="50"/>
      <c r="BQ66" s="50"/>
      <c r="BR66" s="50"/>
      <c r="BS66" s="50"/>
      <c r="BT66" s="50"/>
      <c r="BU66" s="50"/>
      <c r="BV66" s="48" t="str">
        <f t="shared" si="18"/>
        <v/>
      </c>
      <c r="BW66" s="44"/>
      <c r="BX66" s="44"/>
      <c r="BY66" s="44"/>
      <c r="BZ66" s="44"/>
      <c r="CA66" s="44"/>
      <c r="CB66" s="44"/>
      <c r="CC66" s="55"/>
      <c r="CD66" s="48" t="str">
        <f t="shared" si="19"/>
        <v/>
      </c>
    </row>
    <row r="67" spans="1:82" ht="40" customHeight="1" x14ac:dyDescent="0.15">
      <c r="A67" s="73" t="s">
        <v>178</v>
      </c>
      <c r="B67" s="74" t="s">
        <v>179</v>
      </c>
      <c r="C67" s="70"/>
      <c r="D67" s="44"/>
      <c r="E67" s="44"/>
      <c r="F67" s="44"/>
      <c r="G67" s="44"/>
      <c r="H67" s="44"/>
      <c r="I67" s="44"/>
      <c r="J67" s="48" t="str">
        <f t="shared" si="10"/>
        <v/>
      </c>
      <c r="K67" s="44"/>
      <c r="L67" s="44"/>
      <c r="M67" s="44"/>
      <c r="N67" s="44"/>
      <c r="O67" s="44"/>
      <c r="P67" s="44"/>
      <c r="Q67" s="44"/>
      <c r="R67" s="48" t="str">
        <f t="shared" si="11"/>
        <v/>
      </c>
      <c r="S67" s="47"/>
      <c r="T67" s="47"/>
      <c r="U67" s="47"/>
      <c r="V67" s="47"/>
      <c r="W67" s="47"/>
      <c r="X67" s="47"/>
      <c r="Y67" s="47"/>
      <c r="Z67" s="48" t="str">
        <f t="shared" si="12"/>
        <v/>
      </c>
      <c r="AA67" s="44"/>
      <c r="AB67" s="44"/>
      <c r="AC67" s="44"/>
      <c r="AD67" s="44"/>
      <c r="AE67" s="44"/>
      <c r="AF67" s="44"/>
      <c r="AG67" s="44"/>
      <c r="AH67" s="48" t="str">
        <f t="shared" si="13"/>
        <v/>
      </c>
      <c r="AI67" s="44"/>
      <c r="AJ67" s="44"/>
      <c r="AK67" s="44"/>
      <c r="AL67" s="44"/>
      <c r="AM67" s="44"/>
      <c r="AN67" s="44"/>
      <c r="AO67" s="44"/>
      <c r="AP67" s="48" t="str">
        <f t="shared" si="14"/>
        <v/>
      </c>
      <c r="AQ67" s="44"/>
      <c r="AR67" s="44"/>
      <c r="AS67" s="44"/>
      <c r="AT67" s="44"/>
      <c r="AU67" s="44"/>
      <c r="AV67" s="44"/>
      <c r="AW67" s="44"/>
      <c r="AX67" s="48" t="str">
        <f t="shared" si="15"/>
        <v/>
      </c>
      <c r="AY67" s="50"/>
      <c r="AZ67" s="50"/>
      <c r="BA67" s="50"/>
      <c r="BB67" s="50"/>
      <c r="BC67" s="50"/>
      <c r="BD67" s="50"/>
      <c r="BE67" s="50"/>
      <c r="BF67" s="48" t="str">
        <f t="shared" si="16"/>
        <v/>
      </c>
      <c r="BG67" s="44"/>
      <c r="BH67" s="44"/>
      <c r="BI67" s="44"/>
      <c r="BJ67" s="44"/>
      <c r="BK67" s="44"/>
      <c r="BL67" s="44"/>
      <c r="BM67" s="44"/>
      <c r="BN67" s="48" t="str">
        <f t="shared" si="17"/>
        <v/>
      </c>
      <c r="BO67" s="50"/>
      <c r="BP67" s="50"/>
      <c r="BQ67" s="50"/>
      <c r="BR67" s="50"/>
      <c r="BS67" s="50"/>
      <c r="BT67" s="50"/>
      <c r="BU67" s="50"/>
      <c r="BV67" s="48" t="str">
        <f t="shared" si="18"/>
        <v/>
      </c>
      <c r="BW67" s="44"/>
      <c r="BX67" s="44"/>
      <c r="BY67" s="44"/>
      <c r="BZ67" s="44"/>
      <c r="CA67" s="44"/>
      <c r="CB67" s="44"/>
      <c r="CC67" s="55"/>
      <c r="CD67" s="48" t="str">
        <f t="shared" si="19"/>
        <v/>
      </c>
    </row>
    <row r="68" spans="1:82" ht="40" customHeight="1" x14ac:dyDescent="0.15">
      <c r="A68" s="73" t="s">
        <v>180</v>
      </c>
      <c r="B68" s="74" t="s">
        <v>181</v>
      </c>
      <c r="C68" s="70"/>
      <c r="D68" s="44"/>
      <c r="E68" s="44"/>
      <c r="F68" s="44"/>
      <c r="G68" s="44"/>
      <c r="H68" s="44"/>
      <c r="I68" s="44"/>
      <c r="J68" s="48" t="str">
        <f t="shared" si="10"/>
        <v/>
      </c>
      <c r="K68" s="44"/>
      <c r="L68" s="44"/>
      <c r="M68" s="44"/>
      <c r="N68" s="44"/>
      <c r="O68" s="44"/>
      <c r="P68" s="44"/>
      <c r="Q68" s="44"/>
      <c r="R68" s="48" t="str">
        <f t="shared" si="11"/>
        <v/>
      </c>
      <c r="S68" s="47"/>
      <c r="T68" s="47"/>
      <c r="U68" s="47"/>
      <c r="V68" s="47"/>
      <c r="W68" s="47"/>
      <c r="X68" s="47"/>
      <c r="Y68" s="47"/>
      <c r="Z68" s="48" t="str">
        <f t="shared" si="12"/>
        <v/>
      </c>
      <c r="AA68" s="44"/>
      <c r="AB68" s="44"/>
      <c r="AC68" s="44"/>
      <c r="AD68" s="44"/>
      <c r="AE68" s="44"/>
      <c r="AF68" s="44"/>
      <c r="AG68" s="44"/>
      <c r="AH68" s="48" t="str">
        <f t="shared" si="13"/>
        <v/>
      </c>
      <c r="AI68" s="44"/>
      <c r="AJ68" s="44"/>
      <c r="AK68" s="44"/>
      <c r="AL68" s="44"/>
      <c r="AM68" s="44"/>
      <c r="AN68" s="44"/>
      <c r="AO68" s="44"/>
      <c r="AP68" s="48" t="str">
        <f t="shared" si="14"/>
        <v/>
      </c>
      <c r="AQ68" s="44"/>
      <c r="AR68" s="44"/>
      <c r="AS68" s="44"/>
      <c r="AT68" s="44"/>
      <c r="AU68" s="44"/>
      <c r="AV68" s="44"/>
      <c r="AW68" s="44"/>
      <c r="AX68" s="48" t="str">
        <f t="shared" si="15"/>
        <v/>
      </c>
      <c r="AY68" s="50"/>
      <c r="AZ68" s="50"/>
      <c r="BA68" s="50"/>
      <c r="BB68" s="50"/>
      <c r="BC68" s="50"/>
      <c r="BD68" s="50"/>
      <c r="BE68" s="50"/>
      <c r="BF68" s="48" t="str">
        <f t="shared" si="16"/>
        <v/>
      </c>
      <c r="BG68" s="44"/>
      <c r="BH68" s="44"/>
      <c r="BI68" s="44"/>
      <c r="BJ68" s="44"/>
      <c r="BK68" s="44"/>
      <c r="BL68" s="44"/>
      <c r="BM68" s="44"/>
      <c r="BN68" s="48" t="str">
        <f t="shared" si="17"/>
        <v/>
      </c>
      <c r="BO68" s="50"/>
      <c r="BP68" s="50"/>
      <c r="BQ68" s="50"/>
      <c r="BR68" s="50"/>
      <c r="BS68" s="50"/>
      <c r="BT68" s="50"/>
      <c r="BU68" s="50"/>
      <c r="BV68" s="48" t="str">
        <f t="shared" si="18"/>
        <v/>
      </c>
      <c r="BW68" s="44"/>
      <c r="BX68" s="44"/>
      <c r="BY68" s="44"/>
      <c r="BZ68" s="44"/>
      <c r="CA68" s="44"/>
      <c r="CB68" s="44"/>
      <c r="CC68" s="55"/>
      <c r="CD68" s="48" t="str">
        <f t="shared" si="19"/>
        <v/>
      </c>
    </row>
    <row r="69" spans="1:82" ht="40" customHeight="1" x14ac:dyDescent="0.15">
      <c r="A69" s="71" t="s">
        <v>182</v>
      </c>
      <c r="B69" s="72" t="s">
        <v>183</v>
      </c>
      <c r="C69" s="70"/>
      <c r="D69" s="44"/>
      <c r="E69" s="44"/>
      <c r="F69" s="44"/>
      <c r="G69" s="44"/>
      <c r="H69" s="44"/>
      <c r="I69" s="44"/>
      <c r="J69" s="48" t="str">
        <f t="shared" si="10"/>
        <v/>
      </c>
      <c r="K69" s="44"/>
      <c r="L69" s="44"/>
      <c r="M69" s="44"/>
      <c r="N69" s="44"/>
      <c r="O69" s="44"/>
      <c r="P69" s="44"/>
      <c r="Q69" s="44"/>
      <c r="R69" s="48" t="str">
        <f t="shared" si="11"/>
        <v/>
      </c>
      <c r="S69" s="47"/>
      <c r="T69" s="47"/>
      <c r="U69" s="47"/>
      <c r="V69" s="47"/>
      <c r="W69" s="47"/>
      <c r="X69" s="47"/>
      <c r="Y69" s="47"/>
      <c r="Z69" s="48" t="str">
        <f t="shared" si="12"/>
        <v/>
      </c>
      <c r="AA69" s="44"/>
      <c r="AB69" s="44"/>
      <c r="AC69" s="44"/>
      <c r="AD69" s="44"/>
      <c r="AE69" s="44"/>
      <c r="AF69" s="44"/>
      <c r="AG69" s="44"/>
      <c r="AH69" s="48" t="str">
        <f t="shared" si="13"/>
        <v/>
      </c>
      <c r="AI69" s="44"/>
      <c r="AJ69" s="44"/>
      <c r="AK69" s="44"/>
      <c r="AL69" s="44"/>
      <c r="AM69" s="44"/>
      <c r="AN69" s="44"/>
      <c r="AO69" s="44"/>
      <c r="AP69" s="48" t="str">
        <f t="shared" si="14"/>
        <v/>
      </c>
      <c r="AQ69" s="44"/>
      <c r="AR69" s="44"/>
      <c r="AS69" s="44"/>
      <c r="AT69" s="44"/>
      <c r="AU69" s="44"/>
      <c r="AV69" s="44"/>
      <c r="AW69" s="44"/>
      <c r="AX69" s="48" t="str">
        <f t="shared" si="15"/>
        <v/>
      </c>
      <c r="AY69" s="50"/>
      <c r="AZ69" s="50"/>
      <c r="BA69" s="50"/>
      <c r="BB69" s="50"/>
      <c r="BC69" s="50"/>
      <c r="BD69" s="50"/>
      <c r="BE69" s="50"/>
      <c r="BF69" s="48" t="str">
        <f t="shared" si="16"/>
        <v/>
      </c>
      <c r="BG69" s="44"/>
      <c r="BH69" s="44"/>
      <c r="BI69" s="44"/>
      <c r="BJ69" s="44"/>
      <c r="BK69" s="44"/>
      <c r="BL69" s="44"/>
      <c r="BM69" s="44"/>
      <c r="BN69" s="48" t="str">
        <f t="shared" si="17"/>
        <v/>
      </c>
      <c r="BO69" s="50"/>
      <c r="BP69" s="50"/>
      <c r="BQ69" s="50"/>
      <c r="BR69" s="50"/>
      <c r="BS69" s="50"/>
      <c r="BT69" s="50"/>
      <c r="BU69" s="50"/>
      <c r="BV69" s="48" t="str">
        <f t="shared" si="18"/>
        <v/>
      </c>
      <c r="BW69" s="44"/>
      <c r="BX69" s="44"/>
      <c r="BY69" s="44"/>
      <c r="BZ69" s="44"/>
      <c r="CA69" s="44"/>
      <c r="CB69" s="44"/>
      <c r="CC69" s="55"/>
      <c r="CD69" s="48" t="str">
        <f t="shared" si="19"/>
        <v/>
      </c>
    </row>
    <row r="70" spans="1:82" ht="40" customHeight="1" x14ac:dyDescent="0.15">
      <c r="A70" s="71" t="s">
        <v>184</v>
      </c>
      <c r="B70" s="72" t="s">
        <v>185</v>
      </c>
      <c r="C70" s="70"/>
      <c r="D70" s="44"/>
      <c r="E70" s="44"/>
      <c r="F70" s="44"/>
      <c r="G70" s="44"/>
      <c r="H70" s="44"/>
      <c r="I70" s="44"/>
      <c r="J70" s="48" t="str">
        <f t="shared" si="10"/>
        <v/>
      </c>
      <c r="K70" s="44"/>
      <c r="L70" s="44"/>
      <c r="M70" s="44"/>
      <c r="N70" s="44"/>
      <c r="O70" s="44"/>
      <c r="P70" s="44"/>
      <c r="Q70" s="44"/>
      <c r="R70" s="48" t="str">
        <f t="shared" si="11"/>
        <v/>
      </c>
      <c r="S70" s="47"/>
      <c r="T70" s="47"/>
      <c r="U70" s="47"/>
      <c r="V70" s="47"/>
      <c r="W70" s="47"/>
      <c r="X70" s="47"/>
      <c r="Y70" s="47"/>
      <c r="Z70" s="48" t="str">
        <f t="shared" si="12"/>
        <v/>
      </c>
      <c r="AA70" s="44"/>
      <c r="AB70" s="44"/>
      <c r="AC70" s="44"/>
      <c r="AD70" s="44"/>
      <c r="AE70" s="44"/>
      <c r="AF70" s="44"/>
      <c r="AG70" s="44"/>
      <c r="AH70" s="48" t="str">
        <f t="shared" si="13"/>
        <v/>
      </c>
      <c r="AI70" s="44"/>
      <c r="AJ70" s="44"/>
      <c r="AK70" s="44"/>
      <c r="AL70" s="44"/>
      <c r="AM70" s="44"/>
      <c r="AN70" s="44"/>
      <c r="AO70" s="44"/>
      <c r="AP70" s="48" t="str">
        <f t="shared" si="14"/>
        <v/>
      </c>
      <c r="AQ70" s="44"/>
      <c r="AR70" s="44"/>
      <c r="AS70" s="44"/>
      <c r="AT70" s="44"/>
      <c r="AU70" s="44"/>
      <c r="AV70" s="44"/>
      <c r="AW70" s="44"/>
      <c r="AX70" s="48" t="str">
        <f t="shared" si="15"/>
        <v/>
      </c>
      <c r="AY70" s="50"/>
      <c r="AZ70" s="50"/>
      <c r="BA70" s="50"/>
      <c r="BB70" s="50"/>
      <c r="BC70" s="50"/>
      <c r="BD70" s="50"/>
      <c r="BE70" s="50"/>
      <c r="BF70" s="48" t="str">
        <f t="shared" si="16"/>
        <v/>
      </c>
      <c r="BG70" s="44"/>
      <c r="BH70" s="44"/>
      <c r="BI70" s="44"/>
      <c r="BJ70" s="44"/>
      <c r="BK70" s="44"/>
      <c r="BL70" s="44"/>
      <c r="BM70" s="44"/>
      <c r="BN70" s="48" t="str">
        <f t="shared" si="17"/>
        <v/>
      </c>
      <c r="BO70" s="50"/>
      <c r="BP70" s="50"/>
      <c r="BQ70" s="50"/>
      <c r="BR70" s="50"/>
      <c r="BS70" s="50"/>
      <c r="BT70" s="50"/>
      <c r="BU70" s="50"/>
      <c r="BV70" s="48" t="str">
        <f t="shared" si="18"/>
        <v/>
      </c>
      <c r="BW70" s="44"/>
      <c r="BX70" s="44"/>
      <c r="BY70" s="44"/>
      <c r="BZ70" s="44"/>
      <c r="CA70" s="44"/>
      <c r="CB70" s="44"/>
      <c r="CC70" s="55"/>
      <c r="CD70" s="48" t="str">
        <f t="shared" si="19"/>
        <v/>
      </c>
    </row>
    <row r="71" spans="1:82" ht="40" customHeight="1" x14ac:dyDescent="0.15">
      <c r="A71" s="68" t="s">
        <v>186</v>
      </c>
      <c r="B71" s="69"/>
      <c r="C71" s="70"/>
      <c r="D71" s="44"/>
      <c r="E71" s="44"/>
      <c r="F71" s="44"/>
      <c r="G71" s="44"/>
      <c r="H71" s="44"/>
      <c r="I71" s="44"/>
      <c r="J71" s="48" t="str">
        <f t="shared" si="10"/>
        <v/>
      </c>
      <c r="K71" s="44"/>
      <c r="L71" s="44"/>
      <c r="M71" s="44"/>
      <c r="N71" s="44"/>
      <c r="O71" s="44"/>
      <c r="P71" s="44"/>
      <c r="Q71" s="44"/>
      <c r="R71" s="48" t="str">
        <f t="shared" si="11"/>
        <v/>
      </c>
      <c r="S71" s="47"/>
      <c r="T71" s="47"/>
      <c r="U71" s="47"/>
      <c r="V71" s="47"/>
      <c r="W71" s="47"/>
      <c r="X71" s="47"/>
      <c r="Y71" s="47"/>
      <c r="Z71" s="48" t="str">
        <f t="shared" si="12"/>
        <v/>
      </c>
      <c r="AA71" s="44"/>
      <c r="AB71" s="44"/>
      <c r="AC71" s="44"/>
      <c r="AD71" s="44"/>
      <c r="AE71" s="44"/>
      <c r="AF71" s="44"/>
      <c r="AG71" s="44"/>
      <c r="AH71" s="48" t="str">
        <f t="shared" si="13"/>
        <v/>
      </c>
      <c r="AI71" s="44"/>
      <c r="AJ71" s="44"/>
      <c r="AK71" s="44"/>
      <c r="AL71" s="44"/>
      <c r="AM71" s="44"/>
      <c r="AN71" s="44"/>
      <c r="AO71" s="44"/>
      <c r="AP71" s="48" t="str">
        <f t="shared" si="14"/>
        <v/>
      </c>
      <c r="AQ71" s="44"/>
      <c r="AR71" s="44"/>
      <c r="AS71" s="44"/>
      <c r="AT71" s="44"/>
      <c r="AU71" s="44"/>
      <c r="AV71" s="44"/>
      <c r="AW71" s="44"/>
      <c r="AX71" s="48" t="str">
        <f t="shared" si="15"/>
        <v/>
      </c>
      <c r="AY71" s="50"/>
      <c r="AZ71" s="50"/>
      <c r="BA71" s="50"/>
      <c r="BB71" s="50"/>
      <c r="BC71" s="50"/>
      <c r="BD71" s="50"/>
      <c r="BE71" s="50"/>
      <c r="BF71" s="48" t="str">
        <f t="shared" si="16"/>
        <v/>
      </c>
      <c r="BG71" s="44"/>
      <c r="BH71" s="44"/>
      <c r="BI71" s="44"/>
      <c r="BJ71" s="44"/>
      <c r="BK71" s="44"/>
      <c r="BL71" s="44"/>
      <c r="BM71" s="44"/>
      <c r="BN71" s="48" t="str">
        <f t="shared" si="17"/>
        <v/>
      </c>
      <c r="BO71" s="50"/>
      <c r="BP71" s="50"/>
      <c r="BQ71" s="50"/>
      <c r="BR71" s="50"/>
      <c r="BS71" s="50"/>
      <c r="BT71" s="50"/>
      <c r="BU71" s="50"/>
      <c r="BV71" s="48" t="str">
        <f t="shared" si="18"/>
        <v/>
      </c>
      <c r="BW71" s="44"/>
      <c r="BX71" s="44"/>
      <c r="BY71" s="44"/>
      <c r="BZ71" s="44"/>
      <c r="CA71" s="44"/>
      <c r="CB71" s="44"/>
      <c r="CC71" s="55"/>
      <c r="CD71" s="48" t="str">
        <f t="shared" si="19"/>
        <v/>
      </c>
    </row>
    <row r="72" spans="1:82" ht="40" customHeight="1" x14ac:dyDescent="0.15">
      <c r="A72" s="71" t="s">
        <v>187</v>
      </c>
      <c r="B72" s="72" t="s">
        <v>188</v>
      </c>
      <c r="C72" s="70"/>
      <c r="D72" s="44"/>
      <c r="E72" s="44"/>
      <c r="F72" s="44"/>
      <c r="G72" s="44"/>
      <c r="H72" s="44"/>
      <c r="I72" s="44"/>
      <c r="J72" s="48" t="str">
        <f t="shared" ref="J72:J103" si="20">IFERROR((SUM(C72:I72)/SUM($C$6:$I$6))*100,"")</f>
        <v/>
      </c>
      <c r="K72" s="44"/>
      <c r="L72" s="44"/>
      <c r="M72" s="44"/>
      <c r="N72" s="44"/>
      <c r="O72" s="44"/>
      <c r="P72" s="44"/>
      <c r="Q72" s="44"/>
      <c r="R72" s="48" t="str">
        <f t="shared" ref="R72:R103" si="21">IFERROR((SUM(K72:Q72)/SUM($K$6:$Q$6))*100,"")</f>
        <v/>
      </c>
      <c r="S72" s="47"/>
      <c r="T72" s="47"/>
      <c r="U72" s="47"/>
      <c r="V72" s="47"/>
      <c r="W72" s="47"/>
      <c r="X72" s="47"/>
      <c r="Y72" s="47"/>
      <c r="Z72" s="48" t="str">
        <f t="shared" ref="Z72:Z103" si="22">IFERROR((SUM(S72:Y72)/SUM($S$6:$Y$6))*100,"")</f>
        <v/>
      </c>
      <c r="AA72" s="44"/>
      <c r="AB72" s="44"/>
      <c r="AC72" s="44"/>
      <c r="AD72" s="44"/>
      <c r="AE72" s="44"/>
      <c r="AF72" s="44"/>
      <c r="AG72" s="44"/>
      <c r="AH72" s="48" t="str">
        <f t="shared" ref="AH72:AH103" si="23">IFERROR((SUM(AA72:AG72)/SUM($AA$6:$AG$6))*100,"")</f>
        <v/>
      </c>
      <c r="AI72" s="44"/>
      <c r="AJ72" s="44"/>
      <c r="AK72" s="44"/>
      <c r="AL72" s="44"/>
      <c r="AM72" s="44"/>
      <c r="AN72" s="44"/>
      <c r="AO72" s="44"/>
      <c r="AP72" s="48" t="str">
        <f t="shared" ref="AP72:AP103" si="24">IFERROR((SUM(AI72:AO72)/SUM($AI$6:$AO$6))*100,"")</f>
        <v/>
      </c>
      <c r="AQ72" s="44"/>
      <c r="AR72" s="44"/>
      <c r="AS72" s="44"/>
      <c r="AT72" s="44"/>
      <c r="AU72" s="44"/>
      <c r="AV72" s="44"/>
      <c r="AW72" s="44"/>
      <c r="AX72" s="48" t="str">
        <f t="shared" ref="AX72:AX103" si="25">IFERROR((SUM(AQ72:AW72)/SUM($AQ$6:$AW$6))*100,"")</f>
        <v/>
      </c>
      <c r="AY72" s="50"/>
      <c r="AZ72" s="50"/>
      <c r="BA72" s="50"/>
      <c r="BB72" s="50"/>
      <c r="BC72" s="50"/>
      <c r="BD72" s="50"/>
      <c r="BE72" s="50"/>
      <c r="BF72" s="48" t="str">
        <f t="shared" ref="BF72:BF103" si="26">IFERROR((SUM(AY72:BE72)/SUM($AY$6:$BE$6))*100,"")</f>
        <v/>
      </c>
      <c r="BG72" s="44"/>
      <c r="BH72" s="44"/>
      <c r="BI72" s="44"/>
      <c r="BJ72" s="44"/>
      <c r="BK72" s="44"/>
      <c r="BL72" s="44"/>
      <c r="BM72" s="44"/>
      <c r="BN72" s="48" t="str">
        <f t="shared" ref="BN72:BN103" si="27">IFERROR((SUM(BG72:BM72)/SUM($BG$6:$BM$6))*100,"")</f>
        <v/>
      </c>
      <c r="BO72" s="50"/>
      <c r="BP72" s="50"/>
      <c r="BQ72" s="50"/>
      <c r="BR72" s="50"/>
      <c r="BS72" s="50"/>
      <c r="BT72" s="50"/>
      <c r="BU72" s="50"/>
      <c r="BV72" s="48" t="str">
        <f t="shared" ref="BV72:BV103" si="28">IFERROR((SUM(BO72:BU72)/SUM($BP$6:$BU$6))*100,"")</f>
        <v/>
      </c>
      <c r="BW72" s="44"/>
      <c r="BX72" s="44"/>
      <c r="BY72" s="44"/>
      <c r="BZ72" s="44"/>
      <c r="CA72" s="44"/>
      <c r="CB72" s="44"/>
      <c r="CC72" s="55"/>
      <c r="CD72" s="48" t="str">
        <f t="shared" ref="CD72:CD103" si="29">IFERROR((SUM(BW72:CC72)/SUM($BW$6:$CC$6))*100,"")</f>
        <v/>
      </c>
    </row>
    <row r="73" spans="1:82" ht="40" customHeight="1" x14ac:dyDescent="0.15">
      <c r="A73" s="73" t="s">
        <v>189</v>
      </c>
      <c r="B73" s="74" t="s">
        <v>190</v>
      </c>
      <c r="C73" s="70"/>
      <c r="D73" s="44"/>
      <c r="E73" s="44"/>
      <c r="F73" s="44"/>
      <c r="G73" s="44"/>
      <c r="H73" s="44"/>
      <c r="I73" s="44"/>
      <c r="J73" s="48" t="str">
        <f t="shared" si="20"/>
        <v/>
      </c>
      <c r="K73" s="44"/>
      <c r="L73" s="44"/>
      <c r="M73" s="44"/>
      <c r="N73" s="44"/>
      <c r="O73" s="44"/>
      <c r="P73" s="44"/>
      <c r="Q73" s="44"/>
      <c r="R73" s="48" t="str">
        <f t="shared" si="21"/>
        <v/>
      </c>
      <c r="S73" s="47"/>
      <c r="T73" s="47"/>
      <c r="U73" s="47"/>
      <c r="V73" s="47"/>
      <c r="W73" s="47"/>
      <c r="X73" s="47"/>
      <c r="Y73" s="47"/>
      <c r="Z73" s="48" t="str">
        <f t="shared" si="22"/>
        <v/>
      </c>
      <c r="AA73" s="44"/>
      <c r="AB73" s="44"/>
      <c r="AC73" s="44"/>
      <c r="AD73" s="44"/>
      <c r="AE73" s="44"/>
      <c r="AF73" s="44"/>
      <c r="AG73" s="44"/>
      <c r="AH73" s="48" t="str">
        <f t="shared" si="23"/>
        <v/>
      </c>
      <c r="AI73" s="44"/>
      <c r="AJ73" s="44"/>
      <c r="AK73" s="44"/>
      <c r="AL73" s="44"/>
      <c r="AM73" s="44"/>
      <c r="AN73" s="44"/>
      <c r="AO73" s="44"/>
      <c r="AP73" s="48" t="str">
        <f t="shared" si="24"/>
        <v/>
      </c>
      <c r="AQ73" s="44"/>
      <c r="AR73" s="44"/>
      <c r="AS73" s="44"/>
      <c r="AT73" s="44"/>
      <c r="AU73" s="44"/>
      <c r="AV73" s="44"/>
      <c r="AW73" s="44"/>
      <c r="AX73" s="48" t="str">
        <f t="shared" si="25"/>
        <v/>
      </c>
      <c r="AY73" s="50"/>
      <c r="AZ73" s="50"/>
      <c r="BA73" s="50"/>
      <c r="BB73" s="50"/>
      <c r="BC73" s="50"/>
      <c r="BD73" s="50"/>
      <c r="BE73" s="50"/>
      <c r="BF73" s="48" t="str">
        <f t="shared" si="26"/>
        <v/>
      </c>
      <c r="BG73" s="44"/>
      <c r="BH73" s="44"/>
      <c r="BI73" s="44"/>
      <c r="BJ73" s="44"/>
      <c r="BK73" s="44"/>
      <c r="BL73" s="44"/>
      <c r="BM73" s="44"/>
      <c r="BN73" s="48" t="str">
        <f t="shared" si="27"/>
        <v/>
      </c>
      <c r="BO73" s="50"/>
      <c r="BP73" s="50"/>
      <c r="BQ73" s="50"/>
      <c r="BR73" s="50"/>
      <c r="BS73" s="50"/>
      <c r="BT73" s="50"/>
      <c r="BU73" s="50"/>
      <c r="BV73" s="48" t="str">
        <f t="shared" si="28"/>
        <v/>
      </c>
      <c r="BW73" s="44"/>
      <c r="BX73" s="44"/>
      <c r="BY73" s="44"/>
      <c r="BZ73" s="44"/>
      <c r="CA73" s="44"/>
      <c r="CB73" s="44"/>
      <c r="CC73" s="55"/>
      <c r="CD73" s="48" t="str">
        <f t="shared" si="29"/>
        <v/>
      </c>
    </row>
    <row r="74" spans="1:82" ht="40" customHeight="1" x14ac:dyDescent="0.15">
      <c r="A74" s="71" t="s">
        <v>191</v>
      </c>
      <c r="B74" s="72" t="s">
        <v>192</v>
      </c>
      <c r="C74" s="70"/>
      <c r="D74" s="44"/>
      <c r="E74" s="44"/>
      <c r="F74" s="44"/>
      <c r="G74" s="44"/>
      <c r="H74" s="44"/>
      <c r="I74" s="44"/>
      <c r="J74" s="48" t="str">
        <f t="shared" si="20"/>
        <v/>
      </c>
      <c r="K74" s="44"/>
      <c r="L74" s="44"/>
      <c r="M74" s="44"/>
      <c r="N74" s="44"/>
      <c r="O74" s="44"/>
      <c r="P74" s="44"/>
      <c r="Q74" s="44"/>
      <c r="R74" s="48" t="str">
        <f t="shared" si="21"/>
        <v/>
      </c>
      <c r="S74" s="47"/>
      <c r="T74" s="47"/>
      <c r="U74" s="47"/>
      <c r="V74" s="47"/>
      <c r="W74" s="47"/>
      <c r="X74" s="47"/>
      <c r="Y74" s="47"/>
      <c r="Z74" s="48" t="str">
        <f t="shared" si="22"/>
        <v/>
      </c>
      <c r="AA74" s="44"/>
      <c r="AB74" s="44"/>
      <c r="AC74" s="44"/>
      <c r="AD74" s="44"/>
      <c r="AE74" s="44"/>
      <c r="AF74" s="44"/>
      <c r="AG74" s="44"/>
      <c r="AH74" s="48" t="str">
        <f t="shared" si="23"/>
        <v/>
      </c>
      <c r="AI74" s="44"/>
      <c r="AJ74" s="44"/>
      <c r="AK74" s="44"/>
      <c r="AL74" s="44"/>
      <c r="AM74" s="44"/>
      <c r="AN74" s="44"/>
      <c r="AO74" s="44"/>
      <c r="AP74" s="48" t="str">
        <f t="shared" si="24"/>
        <v/>
      </c>
      <c r="AQ74" s="44"/>
      <c r="AR74" s="44"/>
      <c r="AS74" s="44"/>
      <c r="AT74" s="44"/>
      <c r="AU74" s="44"/>
      <c r="AV74" s="44"/>
      <c r="AW74" s="44"/>
      <c r="AX74" s="48" t="str">
        <f t="shared" si="25"/>
        <v/>
      </c>
      <c r="AY74" s="50"/>
      <c r="AZ74" s="50"/>
      <c r="BA74" s="50"/>
      <c r="BB74" s="50"/>
      <c r="BC74" s="50"/>
      <c r="BD74" s="50"/>
      <c r="BE74" s="50"/>
      <c r="BF74" s="48" t="str">
        <f t="shared" si="26"/>
        <v/>
      </c>
      <c r="BG74" s="44"/>
      <c r="BH74" s="44"/>
      <c r="BI74" s="44"/>
      <c r="BJ74" s="44"/>
      <c r="BK74" s="44"/>
      <c r="BL74" s="44"/>
      <c r="BM74" s="44"/>
      <c r="BN74" s="48" t="str">
        <f t="shared" si="27"/>
        <v/>
      </c>
      <c r="BO74" s="50"/>
      <c r="BP74" s="50"/>
      <c r="BQ74" s="50"/>
      <c r="BR74" s="50"/>
      <c r="BS74" s="50"/>
      <c r="BT74" s="50"/>
      <c r="BU74" s="50"/>
      <c r="BV74" s="48" t="str">
        <f t="shared" si="28"/>
        <v/>
      </c>
      <c r="BW74" s="44"/>
      <c r="BX74" s="44"/>
      <c r="BY74" s="44"/>
      <c r="BZ74" s="44"/>
      <c r="CA74" s="44"/>
      <c r="CB74" s="44"/>
      <c r="CC74" s="55"/>
      <c r="CD74" s="48" t="str">
        <f t="shared" si="29"/>
        <v/>
      </c>
    </row>
    <row r="75" spans="1:82" ht="40" customHeight="1" x14ac:dyDescent="0.15">
      <c r="A75" s="71" t="s">
        <v>193</v>
      </c>
      <c r="B75" s="72" t="s">
        <v>194</v>
      </c>
      <c r="C75" s="70"/>
      <c r="D75" s="44"/>
      <c r="E75" s="44"/>
      <c r="F75" s="44"/>
      <c r="G75" s="44"/>
      <c r="H75" s="44"/>
      <c r="I75" s="44"/>
      <c r="J75" s="48" t="str">
        <f t="shared" si="20"/>
        <v/>
      </c>
      <c r="K75" s="44"/>
      <c r="L75" s="44"/>
      <c r="M75" s="44"/>
      <c r="N75" s="44"/>
      <c r="O75" s="44"/>
      <c r="P75" s="44"/>
      <c r="Q75" s="44"/>
      <c r="R75" s="48" t="str">
        <f t="shared" si="21"/>
        <v/>
      </c>
      <c r="S75" s="47"/>
      <c r="T75" s="47"/>
      <c r="U75" s="47"/>
      <c r="V75" s="47"/>
      <c r="W75" s="47"/>
      <c r="X75" s="47"/>
      <c r="Y75" s="47"/>
      <c r="Z75" s="48" t="str">
        <f t="shared" si="22"/>
        <v/>
      </c>
      <c r="AA75" s="44"/>
      <c r="AB75" s="44"/>
      <c r="AC75" s="44"/>
      <c r="AD75" s="44"/>
      <c r="AE75" s="44"/>
      <c r="AF75" s="44"/>
      <c r="AG75" s="44"/>
      <c r="AH75" s="48" t="str">
        <f t="shared" si="23"/>
        <v/>
      </c>
      <c r="AI75" s="44"/>
      <c r="AJ75" s="44"/>
      <c r="AK75" s="44"/>
      <c r="AL75" s="44"/>
      <c r="AM75" s="44"/>
      <c r="AN75" s="44"/>
      <c r="AO75" s="44"/>
      <c r="AP75" s="48" t="str">
        <f t="shared" si="24"/>
        <v/>
      </c>
      <c r="AQ75" s="44"/>
      <c r="AR75" s="44"/>
      <c r="AS75" s="44"/>
      <c r="AT75" s="44"/>
      <c r="AU75" s="44"/>
      <c r="AV75" s="44"/>
      <c r="AW75" s="44"/>
      <c r="AX75" s="48" t="str">
        <f t="shared" si="25"/>
        <v/>
      </c>
      <c r="AY75" s="50"/>
      <c r="AZ75" s="50"/>
      <c r="BA75" s="50"/>
      <c r="BB75" s="50"/>
      <c r="BC75" s="50"/>
      <c r="BD75" s="50"/>
      <c r="BE75" s="50"/>
      <c r="BF75" s="48" t="str">
        <f t="shared" si="26"/>
        <v/>
      </c>
      <c r="BG75" s="44"/>
      <c r="BH75" s="44"/>
      <c r="BI75" s="44"/>
      <c r="BJ75" s="44"/>
      <c r="BK75" s="44"/>
      <c r="BL75" s="44"/>
      <c r="BM75" s="44"/>
      <c r="BN75" s="48" t="str">
        <f t="shared" si="27"/>
        <v/>
      </c>
      <c r="BO75" s="50"/>
      <c r="BP75" s="50"/>
      <c r="BQ75" s="50"/>
      <c r="BR75" s="50"/>
      <c r="BS75" s="50"/>
      <c r="BT75" s="50"/>
      <c r="BU75" s="50"/>
      <c r="BV75" s="48" t="str">
        <f t="shared" si="28"/>
        <v/>
      </c>
      <c r="BW75" s="44"/>
      <c r="BX75" s="44"/>
      <c r="BY75" s="44"/>
      <c r="BZ75" s="44"/>
      <c r="CA75" s="44"/>
      <c r="CB75" s="44"/>
      <c r="CC75" s="55"/>
      <c r="CD75" s="48" t="str">
        <f t="shared" si="29"/>
        <v/>
      </c>
    </row>
    <row r="76" spans="1:82" ht="40" customHeight="1" x14ac:dyDescent="0.15">
      <c r="A76" s="73" t="s">
        <v>195</v>
      </c>
      <c r="B76" s="74" t="s">
        <v>196</v>
      </c>
      <c r="C76" s="70"/>
      <c r="D76" s="44"/>
      <c r="E76" s="44"/>
      <c r="F76" s="44"/>
      <c r="G76" s="44"/>
      <c r="H76" s="44"/>
      <c r="I76" s="44"/>
      <c r="J76" s="48" t="str">
        <f t="shared" si="20"/>
        <v/>
      </c>
      <c r="K76" s="44"/>
      <c r="L76" s="44"/>
      <c r="M76" s="44"/>
      <c r="N76" s="44"/>
      <c r="O76" s="44"/>
      <c r="P76" s="44"/>
      <c r="Q76" s="44"/>
      <c r="R76" s="48" t="str">
        <f t="shared" si="21"/>
        <v/>
      </c>
      <c r="S76" s="47"/>
      <c r="T76" s="47"/>
      <c r="U76" s="47"/>
      <c r="V76" s="47"/>
      <c r="W76" s="47"/>
      <c r="X76" s="47"/>
      <c r="Y76" s="47"/>
      <c r="Z76" s="48" t="str">
        <f t="shared" si="22"/>
        <v/>
      </c>
      <c r="AA76" s="44"/>
      <c r="AB76" s="44"/>
      <c r="AC76" s="44"/>
      <c r="AD76" s="44"/>
      <c r="AE76" s="44"/>
      <c r="AF76" s="44"/>
      <c r="AG76" s="44"/>
      <c r="AH76" s="48" t="str">
        <f t="shared" si="23"/>
        <v/>
      </c>
      <c r="AI76" s="44"/>
      <c r="AJ76" s="44"/>
      <c r="AK76" s="44"/>
      <c r="AL76" s="44"/>
      <c r="AM76" s="44"/>
      <c r="AN76" s="44"/>
      <c r="AO76" s="44"/>
      <c r="AP76" s="48" t="str">
        <f t="shared" si="24"/>
        <v/>
      </c>
      <c r="AQ76" s="44"/>
      <c r="AR76" s="44"/>
      <c r="AS76" s="44"/>
      <c r="AT76" s="44"/>
      <c r="AU76" s="44"/>
      <c r="AV76" s="44"/>
      <c r="AW76" s="44"/>
      <c r="AX76" s="48" t="str">
        <f t="shared" si="25"/>
        <v/>
      </c>
      <c r="AY76" s="50"/>
      <c r="AZ76" s="50"/>
      <c r="BA76" s="50"/>
      <c r="BB76" s="50"/>
      <c r="BC76" s="50"/>
      <c r="BD76" s="50"/>
      <c r="BE76" s="50"/>
      <c r="BF76" s="48" t="str">
        <f t="shared" si="26"/>
        <v/>
      </c>
      <c r="BG76" s="44"/>
      <c r="BH76" s="44"/>
      <c r="BI76" s="44"/>
      <c r="BJ76" s="44"/>
      <c r="BK76" s="44"/>
      <c r="BL76" s="44"/>
      <c r="BM76" s="44"/>
      <c r="BN76" s="48" t="str">
        <f t="shared" si="27"/>
        <v/>
      </c>
      <c r="BO76" s="50"/>
      <c r="BP76" s="50"/>
      <c r="BQ76" s="50"/>
      <c r="BR76" s="50"/>
      <c r="BS76" s="50"/>
      <c r="BT76" s="50"/>
      <c r="BU76" s="50"/>
      <c r="BV76" s="48" t="str">
        <f t="shared" si="28"/>
        <v/>
      </c>
      <c r="BW76" s="44"/>
      <c r="BX76" s="44"/>
      <c r="BY76" s="44"/>
      <c r="BZ76" s="44"/>
      <c r="CA76" s="44"/>
      <c r="CB76" s="44"/>
      <c r="CC76" s="55"/>
      <c r="CD76" s="48" t="str">
        <f t="shared" si="29"/>
        <v/>
      </c>
    </row>
    <row r="77" spans="1:82" ht="40" customHeight="1" x14ac:dyDescent="0.15">
      <c r="A77" s="68" t="s">
        <v>197</v>
      </c>
      <c r="B77" s="69"/>
      <c r="C77" s="70"/>
      <c r="D77" s="44"/>
      <c r="E77" s="44"/>
      <c r="F77" s="44"/>
      <c r="G77" s="44"/>
      <c r="H77" s="44"/>
      <c r="I77" s="44"/>
      <c r="J77" s="48" t="str">
        <f t="shared" si="20"/>
        <v/>
      </c>
      <c r="K77" s="44"/>
      <c r="L77" s="44"/>
      <c r="M77" s="44"/>
      <c r="N77" s="44"/>
      <c r="O77" s="44"/>
      <c r="P77" s="44"/>
      <c r="Q77" s="44"/>
      <c r="R77" s="48" t="str">
        <f t="shared" si="21"/>
        <v/>
      </c>
      <c r="S77" s="47"/>
      <c r="T77" s="47"/>
      <c r="U77" s="47"/>
      <c r="V77" s="47"/>
      <c r="W77" s="47"/>
      <c r="X77" s="47"/>
      <c r="Y77" s="47"/>
      <c r="Z77" s="48" t="str">
        <f t="shared" si="22"/>
        <v/>
      </c>
      <c r="AA77" s="44"/>
      <c r="AB77" s="44"/>
      <c r="AC77" s="44"/>
      <c r="AD77" s="44"/>
      <c r="AE77" s="44"/>
      <c r="AF77" s="44"/>
      <c r="AG77" s="44"/>
      <c r="AH77" s="48" t="str">
        <f t="shared" si="23"/>
        <v/>
      </c>
      <c r="AI77" s="44"/>
      <c r="AJ77" s="44"/>
      <c r="AK77" s="44"/>
      <c r="AL77" s="44"/>
      <c r="AM77" s="44"/>
      <c r="AN77" s="44"/>
      <c r="AO77" s="44"/>
      <c r="AP77" s="48" t="str">
        <f t="shared" si="24"/>
        <v/>
      </c>
      <c r="AQ77" s="44"/>
      <c r="AR77" s="44"/>
      <c r="AS77" s="44"/>
      <c r="AT77" s="44"/>
      <c r="AU77" s="44"/>
      <c r="AV77" s="44"/>
      <c r="AW77" s="44"/>
      <c r="AX77" s="48" t="str">
        <f t="shared" si="25"/>
        <v/>
      </c>
      <c r="AY77" s="50"/>
      <c r="AZ77" s="50"/>
      <c r="BA77" s="50"/>
      <c r="BB77" s="50"/>
      <c r="BC77" s="50"/>
      <c r="BD77" s="50"/>
      <c r="BE77" s="50"/>
      <c r="BF77" s="48" t="str">
        <f t="shared" si="26"/>
        <v/>
      </c>
      <c r="BG77" s="44"/>
      <c r="BH77" s="44"/>
      <c r="BI77" s="44"/>
      <c r="BJ77" s="44"/>
      <c r="BK77" s="44"/>
      <c r="BL77" s="44"/>
      <c r="BM77" s="44"/>
      <c r="BN77" s="48" t="str">
        <f t="shared" si="27"/>
        <v/>
      </c>
      <c r="BO77" s="50"/>
      <c r="BP77" s="50"/>
      <c r="BQ77" s="50"/>
      <c r="BR77" s="50"/>
      <c r="BS77" s="50"/>
      <c r="BT77" s="50"/>
      <c r="BU77" s="50"/>
      <c r="BV77" s="48" t="str">
        <f t="shared" si="28"/>
        <v/>
      </c>
      <c r="BW77" s="44"/>
      <c r="BX77" s="44"/>
      <c r="BY77" s="44"/>
      <c r="BZ77" s="44"/>
      <c r="CA77" s="44"/>
      <c r="CB77" s="44"/>
      <c r="CC77" s="55"/>
      <c r="CD77" s="48" t="str">
        <f t="shared" si="29"/>
        <v/>
      </c>
    </row>
    <row r="78" spans="1:82" ht="40" customHeight="1" x14ac:dyDescent="0.15">
      <c r="A78" s="73" t="s">
        <v>198</v>
      </c>
      <c r="B78" s="74" t="s">
        <v>199</v>
      </c>
      <c r="C78" s="70"/>
      <c r="D78" s="44"/>
      <c r="E78" s="44"/>
      <c r="F78" s="44"/>
      <c r="G78" s="44"/>
      <c r="H78" s="44"/>
      <c r="I78" s="44"/>
      <c r="J78" s="48" t="str">
        <f t="shared" si="20"/>
        <v/>
      </c>
      <c r="K78" s="44"/>
      <c r="L78" s="44"/>
      <c r="M78" s="44"/>
      <c r="N78" s="44"/>
      <c r="O78" s="44"/>
      <c r="P78" s="44"/>
      <c r="Q78" s="44"/>
      <c r="R78" s="48" t="str">
        <f t="shared" si="21"/>
        <v/>
      </c>
      <c r="S78" s="47"/>
      <c r="T78" s="47"/>
      <c r="U78" s="47"/>
      <c r="V78" s="47"/>
      <c r="W78" s="47"/>
      <c r="X78" s="47"/>
      <c r="Y78" s="47"/>
      <c r="Z78" s="48" t="str">
        <f t="shared" si="22"/>
        <v/>
      </c>
      <c r="AA78" s="44"/>
      <c r="AB78" s="44"/>
      <c r="AC78" s="44"/>
      <c r="AD78" s="44"/>
      <c r="AE78" s="44"/>
      <c r="AF78" s="44"/>
      <c r="AG78" s="44"/>
      <c r="AH78" s="48" t="str">
        <f t="shared" si="23"/>
        <v/>
      </c>
      <c r="AI78" s="44"/>
      <c r="AJ78" s="44"/>
      <c r="AK78" s="44"/>
      <c r="AL78" s="44"/>
      <c r="AM78" s="44"/>
      <c r="AN78" s="44"/>
      <c r="AO78" s="44"/>
      <c r="AP78" s="48" t="str">
        <f t="shared" si="24"/>
        <v/>
      </c>
      <c r="AQ78" s="44"/>
      <c r="AR78" s="44"/>
      <c r="AS78" s="44"/>
      <c r="AT78" s="44"/>
      <c r="AU78" s="44"/>
      <c r="AV78" s="44"/>
      <c r="AW78" s="44"/>
      <c r="AX78" s="48" t="str">
        <f t="shared" si="25"/>
        <v/>
      </c>
      <c r="AY78" s="50"/>
      <c r="AZ78" s="50"/>
      <c r="BA78" s="50"/>
      <c r="BB78" s="50"/>
      <c r="BC78" s="50"/>
      <c r="BD78" s="50"/>
      <c r="BE78" s="50"/>
      <c r="BF78" s="48" t="str">
        <f t="shared" si="26"/>
        <v/>
      </c>
      <c r="BG78" s="44"/>
      <c r="BH78" s="44"/>
      <c r="BI78" s="44"/>
      <c r="BJ78" s="44"/>
      <c r="BK78" s="44"/>
      <c r="BL78" s="44"/>
      <c r="BM78" s="44"/>
      <c r="BN78" s="48" t="str">
        <f t="shared" si="27"/>
        <v/>
      </c>
      <c r="BO78" s="50"/>
      <c r="BP78" s="50"/>
      <c r="BQ78" s="50"/>
      <c r="BR78" s="50"/>
      <c r="BS78" s="50"/>
      <c r="BT78" s="50"/>
      <c r="BU78" s="50"/>
      <c r="BV78" s="48" t="str">
        <f t="shared" si="28"/>
        <v/>
      </c>
      <c r="BW78" s="44"/>
      <c r="BX78" s="44"/>
      <c r="BY78" s="44"/>
      <c r="BZ78" s="44"/>
      <c r="CA78" s="44"/>
      <c r="CB78" s="44"/>
      <c r="CC78" s="55"/>
      <c r="CD78" s="48" t="str">
        <f t="shared" si="29"/>
        <v/>
      </c>
    </row>
    <row r="79" spans="1:82" ht="40" customHeight="1" x14ac:dyDescent="0.15">
      <c r="A79" s="71" t="s">
        <v>200</v>
      </c>
      <c r="B79" s="72" t="s">
        <v>201</v>
      </c>
      <c r="C79" s="70"/>
      <c r="D79" s="44"/>
      <c r="E79" s="44"/>
      <c r="F79" s="44"/>
      <c r="G79" s="44"/>
      <c r="H79" s="44"/>
      <c r="I79" s="44"/>
      <c r="J79" s="48" t="str">
        <f t="shared" si="20"/>
        <v/>
      </c>
      <c r="K79" s="44"/>
      <c r="L79" s="44"/>
      <c r="M79" s="44"/>
      <c r="N79" s="44"/>
      <c r="O79" s="44"/>
      <c r="P79" s="44"/>
      <c r="Q79" s="44"/>
      <c r="R79" s="48" t="str">
        <f t="shared" si="21"/>
        <v/>
      </c>
      <c r="S79" s="47"/>
      <c r="T79" s="47"/>
      <c r="U79" s="47"/>
      <c r="V79" s="47"/>
      <c r="W79" s="47"/>
      <c r="X79" s="47"/>
      <c r="Y79" s="47"/>
      <c r="Z79" s="48" t="str">
        <f t="shared" si="22"/>
        <v/>
      </c>
      <c r="AA79" s="44"/>
      <c r="AB79" s="44"/>
      <c r="AC79" s="44"/>
      <c r="AD79" s="44"/>
      <c r="AE79" s="44"/>
      <c r="AF79" s="44"/>
      <c r="AG79" s="44"/>
      <c r="AH79" s="48" t="str">
        <f t="shared" si="23"/>
        <v/>
      </c>
      <c r="AI79" s="44"/>
      <c r="AJ79" s="44"/>
      <c r="AK79" s="44"/>
      <c r="AL79" s="44"/>
      <c r="AM79" s="44"/>
      <c r="AN79" s="44"/>
      <c r="AO79" s="44"/>
      <c r="AP79" s="48" t="str">
        <f t="shared" si="24"/>
        <v/>
      </c>
      <c r="AQ79" s="44"/>
      <c r="AR79" s="44"/>
      <c r="AS79" s="44"/>
      <c r="AT79" s="44"/>
      <c r="AU79" s="44"/>
      <c r="AV79" s="44"/>
      <c r="AW79" s="44"/>
      <c r="AX79" s="48" t="str">
        <f t="shared" si="25"/>
        <v/>
      </c>
      <c r="AY79" s="50"/>
      <c r="AZ79" s="50"/>
      <c r="BA79" s="50"/>
      <c r="BB79" s="50"/>
      <c r="BC79" s="50"/>
      <c r="BD79" s="50"/>
      <c r="BE79" s="50"/>
      <c r="BF79" s="48" t="str">
        <f t="shared" si="26"/>
        <v/>
      </c>
      <c r="BG79" s="44"/>
      <c r="BH79" s="44"/>
      <c r="BI79" s="44"/>
      <c r="BJ79" s="44"/>
      <c r="BK79" s="44"/>
      <c r="BL79" s="44"/>
      <c r="BM79" s="44"/>
      <c r="BN79" s="48" t="str">
        <f t="shared" si="27"/>
        <v/>
      </c>
      <c r="BO79" s="50"/>
      <c r="BP79" s="50"/>
      <c r="BQ79" s="50"/>
      <c r="BR79" s="50"/>
      <c r="BS79" s="50"/>
      <c r="BT79" s="50"/>
      <c r="BU79" s="50"/>
      <c r="BV79" s="48" t="str">
        <f t="shared" si="28"/>
        <v/>
      </c>
      <c r="BW79" s="44"/>
      <c r="BX79" s="44"/>
      <c r="BY79" s="44"/>
      <c r="BZ79" s="44"/>
      <c r="CA79" s="44"/>
      <c r="CB79" s="44"/>
      <c r="CC79" s="55"/>
      <c r="CD79" s="48" t="str">
        <f t="shared" si="29"/>
        <v/>
      </c>
    </row>
    <row r="80" spans="1:82" ht="40" customHeight="1" x14ac:dyDescent="0.15">
      <c r="A80" s="73" t="s">
        <v>202</v>
      </c>
      <c r="B80" s="74" t="s">
        <v>203</v>
      </c>
      <c r="C80" s="70"/>
      <c r="D80" s="44"/>
      <c r="E80" s="44"/>
      <c r="F80" s="44"/>
      <c r="G80" s="44"/>
      <c r="H80" s="44"/>
      <c r="I80" s="44"/>
      <c r="J80" s="48" t="str">
        <f t="shared" si="20"/>
        <v/>
      </c>
      <c r="K80" s="44"/>
      <c r="L80" s="44"/>
      <c r="M80" s="44"/>
      <c r="N80" s="44"/>
      <c r="O80" s="44"/>
      <c r="P80" s="44"/>
      <c r="Q80" s="44"/>
      <c r="R80" s="48" t="str">
        <f t="shared" si="21"/>
        <v/>
      </c>
      <c r="S80" s="47"/>
      <c r="T80" s="47"/>
      <c r="U80" s="47"/>
      <c r="V80" s="47"/>
      <c r="W80" s="47"/>
      <c r="X80" s="47"/>
      <c r="Y80" s="47"/>
      <c r="Z80" s="48" t="str">
        <f t="shared" si="22"/>
        <v/>
      </c>
      <c r="AA80" s="44"/>
      <c r="AB80" s="44"/>
      <c r="AC80" s="44"/>
      <c r="AD80" s="44"/>
      <c r="AE80" s="44"/>
      <c r="AF80" s="44"/>
      <c r="AG80" s="44"/>
      <c r="AH80" s="48" t="str">
        <f t="shared" si="23"/>
        <v/>
      </c>
      <c r="AI80" s="44"/>
      <c r="AJ80" s="44"/>
      <c r="AK80" s="44"/>
      <c r="AL80" s="44"/>
      <c r="AM80" s="44"/>
      <c r="AN80" s="44"/>
      <c r="AO80" s="44"/>
      <c r="AP80" s="48" t="str">
        <f t="shared" si="24"/>
        <v/>
      </c>
      <c r="AQ80" s="44"/>
      <c r="AR80" s="44"/>
      <c r="AS80" s="44"/>
      <c r="AT80" s="44"/>
      <c r="AU80" s="44"/>
      <c r="AV80" s="44"/>
      <c r="AW80" s="44"/>
      <c r="AX80" s="48" t="str">
        <f t="shared" si="25"/>
        <v/>
      </c>
      <c r="AY80" s="50"/>
      <c r="AZ80" s="50"/>
      <c r="BA80" s="50"/>
      <c r="BB80" s="50"/>
      <c r="BC80" s="50"/>
      <c r="BD80" s="50"/>
      <c r="BE80" s="50"/>
      <c r="BF80" s="48" t="str">
        <f t="shared" si="26"/>
        <v/>
      </c>
      <c r="BG80" s="44"/>
      <c r="BH80" s="44"/>
      <c r="BI80" s="44"/>
      <c r="BJ80" s="44"/>
      <c r="BK80" s="44"/>
      <c r="BL80" s="44"/>
      <c r="BM80" s="44"/>
      <c r="BN80" s="48" t="str">
        <f t="shared" si="27"/>
        <v/>
      </c>
      <c r="BO80" s="50"/>
      <c r="BP80" s="50"/>
      <c r="BQ80" s="50"/>
      <c r="BR80" s="50"/>
      <c r="BS80" s="50"/>
      <c r="BT80" s="50"/>
      <c r="BU80" s="50"/>
      <c r="BV80" s="48" t="str">
        <f t="shared" si="28"/>
        <v/>
      </c>
      <c r="BW80" s="44"/>
      <c r="BX80" s="44"/>
      <c r="BY80" s="44"/>
      <c r="BZ80" s="44"/>
      <c r="CA80" s="44"/>
      <c r="CB80" s="44"/>
      <c r="CC80" s="55"/>
      <c r="CD80" s="48" t="str">
        <f t="shared" si="29"/>
        <v/>
      </c>
    </row>
    <row r="81" spans="1:82" ht="40" customHeight="1" x14ac:dyDescent="0.15">
      <c r="A81" s="71" t="s">
        <v>204</v>
      </c>
      <c r="B81" s="72" t="s">
        <v>205</v>
      </c>
      <c r="C81" s="70"/>
      <c r="D81" s="44"/>
      <c r="E81" s="44"/>
      <c r="F81" s="44"/>
      <c r="G81" s="44"/>
      <c r="H81" s="44"/>
      <c r="I81" s="44"/>
      <c r="J81" s="48" t="str">
        <f t="shared" si="20"/>
        <v/>
      </c>
      <c r="K81" s="44"/>
      <c r="L81" s="44"/>
      <c r="M81" s="44"/>
      <c r="N81" s="44"/>
      <c r="O81" s="44"/>
      <c r="P81" s="44"/>
      <c r="Q81" s="44"/>
      <c r="R81" s="48" t="str">
        <f t="shared" si="21"/>
        <v/>
      </c>
      <c r="S81" s="47"/>
      <c r="T81" s="47"/>
      <c r="U81" s="47"/>
      <c r="V81" s="47"/>
      <c r="W81" s="47"/>
      <c r="X81" s="47"/>
      <c r="Y81" s="47"/>
      <c r="Z81" s="48" t="str">
        <f t="shared" si="22"/>
        <v/>
      </c>
      <c r="AA81" s="44"/>
      <c r="AB81" s="44"/>
      <c r="AC81" s="44"/>
      <c r="AD81" s="44"/>
      <c r="AE81" s="44"/>
      <c r="AF81" s="44"/>
      <c r="AG81" s="44"/>
      <c r="AH81" s="48" t="str">
        <f t="shared" si="23"/>
        <v/>
      </c>
      <c r="AI81" s="44"/>
      <c r="AJ81" s="44"/>
      <c r="AK81" s="44"/>
      <c r="AL81" s="44"/>
      <c r="AM81" s="44"/>
      <c r="AN81" s="44"/>
      <c r="AO81" s="44"/>
      <c r="AP81" s="48" t="str">
        <f t="shared" si="24"/>
        <v/>
      </c>
      <c r="AQ81" s="44"/>
      <c r="AR81" s="44"/>
      <c r="AS81" s="44"/>
      <c r="AT81" s="44"/>
      <c r="AU81" s="44"/>
      <c r="AV81" s="44"/>
      <c r="AW81" s="44"/>
      <c r="AX81" s="48" t="str">
        <f t="shared" si="25"/>
        <v/>
      </c>
      <c r="AY81" s="50"/>
      <c r="AZ81" s="50"/>
      <c r="BA81" s="50"/>
      <c r="BB81" s="50"/>
      <c r="BC81" s="50"/>
      <c r="BD81" s="50"/>
      <c r="BE81" s="50"/>
      <c r="BF81" s="48" t="str">
        <f t="shared" si="26"/>
        <v/>
      </c>
      <c r="BG81" s="44"/>
      <c r="BH81" s="44"/>
      <c r="BI81" s="44"/>
      <c r="BJ81" s="44"/>
      <c r="BK81" s="44"/>
      <c r="BL81" s="44"/>
      <c r="BM81" s="44"/>
      <c r="BN81" s="48" t="str">
        <f t="shared" si="27"/>
        <v/>
      </c>
      <c r="BO81" s="50"/>
      <c r="BP81" s="50"/>
      <c r="BQ81" s="50"/>
      <c r="BR81" s="50"/>
      <c r="BS81" s="50"/>
      <c r="BT81" s="50"/>
      <c r="BU81" s="50"/>
      <c r="BV81" s="48" t="str">
        <f t="shared" si="28"/>
        <v/>
      </c>
      <c r="BW81" s="44"/>
      <c r="BX81" s="44"/>
      <c r="BY81" s="44"/>
      <c r="BZ81" s="44"/>
      <c r="CA81" s="44"/>
      <c r="CB81" s="44"/>
      <c r="CC81" s="55"/>
      <c r="CD81" s="48" t="str">
        <f t="shared" si="29"/>
        <v/>
      </c>
    </row>
    <row r="82" spans="1:82" ht="40" customHeight="1" x14ac:dyDescent="0.15">
      <c r="A82" s="73" t="s">
        <v>206</v>
      </c>
      <c r="B82" s="74" t="s">
        <v>207</v>
      </c>
      <c r="C82" s="70"/>
      <c r="D82" s="44"/>
      <c r="E82" s="44"/>
      <c r="F82" s="44"/>
      <c r="G82" s="44"/>
      <c r="H82" s="44"/>
      <c r="I82" s="44"/>
      <c r="J82" s="48" t="str">
        <f t="shared" si="20"/>
        <v/>
      </c>
      <c r="K82" s="44"/>
      <c r="L82" s="44"/>
      <c r="M82" s="44"/>
      <c r="N82" s="44"/>
      <c r="O82" s="44"/>
      <c r="P82" s="44"/>
      <c r="Q82" s="44"/>
      <c r="R82" s="48" t="str">
        <f t="shared" si="21"/>
        <v/>
      </c>
      <c r="S82" s="47"/>
      <c r="T82" s="47"/>
      <c r="U82" s="47"/>
      <c r="V82" s="47"/>
      <c r="W82" s="47"/>
      <c r="X82" s="47"/>
      <c r="Y82" s="47"/>
      <c r="Z82" s="48" t="str">
        <f t="shared" si="22"/>
        <v/>
      </c>
      <c r="AA82" s="44"/>
      <c r="AB82" s="44"/>
      <c r="AC82" s="44"/>
      <c r="AD82" s="44"/>
      <c r="AE82" s="44"/>
      <c r="AF82" s="44"/>
      <c r="AG82" s="44"/>
      <c r="AH82" s="48" t="str">
        <f t="shared" si="23"/>
        <v/>
      </c>
      <c r="AI82" s="44"/>
      <c r="AJ82" s="44"/>
      <c r="AK82" s="44"/>
      <c r="AL82" s="44"/>
      <c r="AM82" s="44"/>
      <c r="AN82" s="44"/>
      <c r="AO82" s="44"/>
      <c r="AP82" s="48" t="str">
        <f t="shared" si="24"/>
        <v/>
      </c>
      <c r="AQ82" s="44"/>
      <c r="AR82" s="44"/>
      <c r="AS82" s="44"/>
      <c r="AT82" s="44"/>
      <c r="AU82" s="44"/>
      <c r="AV82" s="44"/>
      <c r="AW82" s="44"/>
      <c r="AX82" s="48" t="str">
        <f t="shared" si="25"/>
        <v/>
      </c>
      <c r="AY82" s="50"/>
      <c r="AZ82" s="50"/>
      <c r="BA82" s="50"/>
      <c r="BB82" s="50"/>
      <c r="BC82" s="50"/>
      <c r="BD82" s="50"/>
      <c r="BE82" s="50"/>
      <c r="BF82" s="48" t="str">
        <f t="shared" si="26"/>
        <v/>
      </c>
      <c r="BG82" s="44"/>
      <c r="BH82" s="44"/>
      <c r="BI82" s="44"/>
      <c r="BJ82" s="44"/>
      <c r="BK82" s="44"/>
      <c r="BL82" s="44"/>
      <c r="BM82" s="44"/>
      <c r="BN82" s="48" t="str">
        <f t="shared" si="27"/>
        <v/>
      </c>
      <c r="BO82" s="50"/>
      <c r="BP82" s="50"/>
      <c r="BQ82" s="50"/>
      <c r="BR82" s="50"/>
      <c r="BS82" s="50"/>
      <c r="BT82" s="50"/>
      <c r="BU82" s="50"/>
      <c r="BV82" s="48" t="str">
        <f t="shared" si="28"/>
        <v/>
      </c>
      <c r="BW82" s="44"/>
      <c r="BX82" s="44"/>
      <c r="BY82" s="44"/>
      <c r="BZ82" s="44"/>
      <c r="CA82" s="44"/>
      <c r="CB82" s="44"/>
      <c r="CC82" s="55"/>
      <c r="CD82" s="48" t="str">
        <f t="shared" si="29"/>
        <v/>
      </c>
    </row>
    <row r="83" spans="1:82" ht="40" customHeight="1" x14ac:dyDescent="0.15">
      <c r="A83" s="71" t="s">
        <v>208</v>
      </c>
      <c r="B83" s="72" t="s">
        <v>209</v>
      </c>
      <c r="C83" s="70"/>
      <c r="D83" s="44"/>
      <c r="E83" s="44"/>
      <c r="F83" s="44"/>
      <c r="G83" s="44"/>
      <c r="H83" s="44"/>
      <c r="I83" s="44"/>
      <c r="J83" s="48" t="str">
        <f t="shared" si="20"/>
        <v/>
      </c>
      <c r="K83" s="44"/>
      <c r="L83" s="44"/>
      <c r="M83" s="44"/>
      <c r="N83" s="44"/>
      <c r="O83" s="44"/>
      <c r="P83" s="44"/>
      <c r="Q83" s="44"/>
      <c r="R83" s="48" t="str">
        <f t="shared" si="21"/>
        <v/>
      </c>
      <c r="S83" s="47"/>
      <c r="T83" s="47"/>
      <c r="U83" s="47"/>
      <c r="V83" s="47"/>
      <c r="W83" s="47"/>
      <c r="X83" s="47"/>
      <c r="Y83" s="47"/>
      <c r="Z83" s="48" t="str">
        <f t="shared" si="22"/>
        <v/>
      </c>
      <c r="AA83" s="44"/>
      <c r="AB83" s="44"/>
      <c r="AC83" s="44"/>
      <c r="AD83" s="44"/>
      <c r="AE83" s="44"/>
      <c r="AF83" s="44"/>
      <c r="AG83" s="44"/>
      <c r="AH83" s="48" t="str">
        <f t="shared" si="23"/>
        <v/>
      </c>
      <c r="AI83" s="44"/>
      <c r="AJ83" s="44"/>
      <c r="AK83" s="44"/>
      <c r="AL83" s="44"/>
      <c r="AM83" s="44"/>
      <c r="AN83" s="44"/>
      <c r="AO83" s="44"/>
      <c r="AP83" s="48" t="str">
        <f t="shared" si="24"/>
        <v/>
      </c>
      <c r="AQ83" s="44"/>
      <c r="AR83" s="44"/>
      <c r="AS83" s="44"/>
      <c r="AT83" s="44"/>
      <c r="AU83" s="44"/>
      <c r="AV83" s="44"/>
      <c r="AW83" s="44"/>
      <c r="AX83" s="48" t="str">
        <f t="shared" si="25"/>
        <v/>
      </c>
      <c r="AY83" s="50"/>
      <c r="AZ83" s="50"/>
      <c r="BA83" s="50"/>
      <c r="BB83" s="50"/>
      <c r="BC83" s="50"/>
      <c r="BD83" s="50"/>
      <c r="BE83" s="50"/>
      <c r="BF83" s="48" t="str">
        <f t="shared" si="26"/>
        <v/>
      </c>
      <c r="BG83" s="44"/>
      <c r="BH83" s="44"/>
      <c r="BI83" s="44"/>
      <c r="BJ83" s="44"/>
      <c r="BK83" s="44"/>
      <c r="BL83" s="44"/>
      <c r="BM83" s="44"/>
      <c r="BN83" s="48" t="str">
        <f t="shared" si="27"/>
        <v/>
      </c>
      <c r="BO83" s="50"/>
      <c r="BP83" s="50"/>
      <c r="BQ83" s="50"/>
      <c r="BR83" s="50"/>
      <c r="BS83" s="50"/>
      <c r="BT83" s="50"/>
      <c r="BU83" s="50"/>
      <c r="BV83" s="48" t="str">
        <f t="shared" si="28"/>
        <v/>
      </c>
      <c r="BW83" s="44"/>
      <c r="BX83" s="44"/>
      <c r="BY83" s="44"/>
      <c r="BZ83" s="44"/>
      <c r="CA83" s="44"/>
      <c r="CB83" s="44"/>
      <c r="CC83" s="55"/>
      <c r="CD83" s="48" t="str">
        <f t="shared" si="29"/>
        <v/>
      </c>
    </row>
    <row r="84" spans="1:82" ht="40" customHeight="1" x14ac:dyDescent="0.15">
      <c r="A84" s="73" t="s">
        <v>210</v>
      </c>
      <c r="B84" s="74" t="s">
        <v>211</v>
      </c>
      <c r="C84" s="70"/>
      <c r="D84" s="44"/>
      <c r="E84" s="44"/>
      <c r="F84" s="44"/>
      <c r="G84" s="44"/>
      <c r="H84" s="44"/>
      <c r="I84" s="44"/>
      <c r="J84" s="48" t="str">
        <f t="shared" si="20"/>
        <v/>
      </c>
      <c r="K84" s="44"/>
      <c r="L84" s="44"/>
      <c r="M84" s="44"/>
      <c r="N84" s="44"/>
      <c r="O84" s="44"/>
      <c r="P84" s="44"/>
      <c r="Q84" s="44"/>
      <c r="R84" s="48" t="str">
        <f t="shared" si="21"/>
        <v/>
      </c>
      <c r="S84" s="47"/>
      <c r="T84" s="47"/>
      <c r="U84" s="47"/>
      <c r="V84" s="47"/>
      <c r="W84" s="47"/>
      <c r="X84" s="47"/>
      <c r="Y84" s="47"/>
      <c r="Z84" s="48" t="str">
        <f t="shared" si="22"/>
        <v/>
      </c>
      <c r="AA84" s="44"/>
      <c r="AB84" s="44"/>
      <c r="AC84" s="44"/>
      <c r="AD84" s="44"/>
      <c r="AE84" s="44"/>
      <c r="AF84" s="44"/>
      <c r="AG84" s="44"/>
      <c r="AH84" s="48" t="str">
        <f t="shared" si="23"/>
        <v/>
      </c>
      <c r="AI84" s="44"/>
      <c r="AJ84" s="44"/>
      <c r="AK84" s="44"/>
      <c r="AL84" s="44"/>
      <c r="AM84" s="44"/>
      <c r="AN84" s="44"/>
      <c r="AO84" s="44"/>
      <c r="AP84" s="48" t="str">
        <f t="shared" si="24"/>
        <v/>
      </c>
      <c r="AQ84" s="44"/>
      <c r="AR84" s="44"/>
      <c r="AS84" s="44"/>
      <c r="AT84" s="44"/>
      <c r="AU84" s="44"/>
      <c r="AV84" s="44"/>
      <c r="AW84" s="44"/>
      <c r="AX84" s="48" t="str">
        <f t="shared" si="25"/>
        <v/>
      </c>
      <c r="AY84" s="50"/>
      <c r="AZ84" s="50"/>
      <c r="BA84" s="50"/>
      <c r="BB84" s="50"/>
      <c r="BC84" s="50"/>
      <c r="BD84" s="50"/>
      <c r="BE84" s="50"/>
      <c r="BF84" s="48" t="str">
        <f t="shared" si="26"/>
        <v/>
      </c>
      <c r="BG84" s="44"/>
      <c r="BH84" s="44"/>
      <c r="BI84" s="44"/>
      <c r="BJ84" s="44"/>
      <c r="BK84" s="44"/>
      <c r="BL84" s="44"/>
      <c r="BM84" s="44"/>
      <c r="BN84" s="48" t="str">
        <f t="shared" si="27"/>
        <v/>
      </c>
      <c r="BO84" s="50"/>
      <c r="BP84" s="50"/>
      <c r="BQ84" s="50"/>
      <c r="BR84" s="50"/>
      <c r="BS84" s="50"/>
      <c r="BT84" s="50"/>
      <c r="BU84" s="50"/>
      <c r="BV84" s="48" t="str">
        <f t="shared" si="28"/>
        <v/>
      </c>
      <c r="BW84" s="44"/>
      <c r="BX84" s="44"/>
      <c r="BY84" s="44"/>
      <c r="BZ84" s="44"/>
      <c r="CA84" s="44"/>
      <c r="CB84" s="44"/>
      <c r="CC84" s="55"/>
      <c r="CD84" s="48" t="str">
        <f t="shared" si="29"/>
        <v/>
      </c>
    </row>
    <row r="85" spans="1:82" ht="40" customHeight="1" x14ac:dyDescent="0.15">
      <c r="A85" s="71" t="s">
        <v>212</v>
      </c>
      <c r="B85" s="72" t="s">
        <v>213</v>
      </c>
      <c r="C85" s="70"/>
      <c r="D85" s="44"/>
      <c r="E85" s="44"/>
      <c r="F85" s="44"/>
      <c r="G85" s="44"/>
      <c r="H85" s="44"/>
      <c r="I85" s="44"/>
      <c r="J85" s="48" t="str">
        <f t="shared" si="20"/>
        <v/>
      </c>
      <c r="K85" s="44"/>
      <c r="L85" s="44"/>
      <c r="M85" s="44"/>
      <c r="N85" s="44"/>
      <c r="O85" s="44"/>
      <c r="P85" s="44"/>
      <c r="Q85" s="44"/>
      <c r="R85" s="48" t="str">
        <f t="shared" si="21"/>
        <v/>
      </c>
      <c r="S85" s="47"/>
      <c r="T85" s="47"/>
      <c r="U85" s="47"/>
      <c r="V85" s="47"/>
      <c r="W85" s="47"/>
      <c r="X85" s="47"/>
      <c r="Y85" s="47"/>
      <c r="Z85" s="48" t="str">
        <f t="shared" si="22"/>
        <v/>
      </c>
      <c r="AA85" s="44"/>
      <c r="AB85" s="44"/>
      <c r="AC85" s="44"/>
      <c r="AD85" s="44"/>
      <c r="AE85" s="44"/>
      <c r="AF85" s="44"/>
      <c r="AG85" s="44"/>
      <c r="AH85" s="48" t="str">
        <f t="shared" si="23"/>
        <v/>
      </c>
      <c r="AI85" s="44"/>
      <c r="AJ85" s="44"/>
      <c r="AK85" s="44"/>
      <c r="AL85" s="44"/>
      <c r="AM85" s="44"/>
      <c r="AN85" s="44"/>
      <c r="AO85" s="44"/>
      <c r="AP85" s="48" t="str">
        <f t="shared" si="24"/>
        <v/>
      </c>
      <c r="AQ85" s="44"/>
      <c r="AR85" s="44"/>
      <c r="AS85" s="44"/>
      <c r="AT85" s="44"/>
      <c r="AU85" s="44"/>
      <c r="AV85" s="44"/>
      <c r="AW85" s="44"/>
      <c r="AX85" s="48" t="str">
        <f t="shared" si="25"/>
        <v/>
      </c>
      <c r="AY85" s="50"/>
      <c r="AZ85" s="50"/>
      <c r="BA85" s="50"/>
      <c r="BB85" s="50"/>
      <c r="BC85" s="50"/>
      <c r="BD85" s="50"/>
      <c r="BE85" s="50"/>
      <c r="BF85" s="48" t="str">
        <f t="shared" si="26"/>
        <v/>
      </c>
      <c r="BG85" s="44"/>
      <c r="BH85" s="44"/>
      <c r="BI85" s="44"/>
      <c r="BJ85" s="44"/>
      <c r="BK85" s="44"/>
      <c r="BL85" s="44"/>
      <c r="BM85" s="44"/>
      <c r="BN85" s="48" t="str">
        <f t="shared" si="27"/>
        <v/>
      </c>
      <c r="BO85" s="50"/>
      <c r="BP85" s="50"/>
      <c r="BQ85" s="50"/>
      <c r="BR85" s="50"/>
      <c r="BS85" s="50"/>
      <c r="BT85" s="50"/>
      <c r="BU85" s="50"/>
      <c r="BV85" s="48" t="str">
        <f t="shared" si="28"/>
        <v/>
      </c>
      <c r="BW85" s="44"/>
      <c r="BX85" s="44"/>
      <c r="BY85" s="44"/>
      <c r="BZ85" s="44"/>
      <c r="CA85" s="44"/>
      <c r="CB85" s="44"/>
      <c r="CC85" s="55"/>
      <c r="CD85" s="48" t="str">
        <f t="shared" si="29"/>
        <v/>
      </c>
    </row>
    <row r="86" spans="1:82" ht="40" customHeight="1" x14ac:dyDescent="0.15">
      <c r="A86" s="71" t="s">
        <v>214</v>
      </c>
      <c r="B86" s="72" t="s">
        <v>215</v>
      </c>
      <c r="C86" s="70"/>
      <c r="D86" s="44"/>
      <c r="E86" s="44"/>
      <c r="F86" s="44"/>
      <c r="G86" s="44"/>
      <c r="H86" s="44"/>
      <c r="I86" s="44"/>
      <c r="J86" s="48" t="str">
        <f t="shared" si="20"/>
        <v/>
      </c>
      <c r="K86" s="44"/>
      <c r="L86" s="44"/>
      <c r="M86" s="44"/>
      <c r="N86" s="44"/>
      <c r="O86" s="44"/>
      <c r="P86" s="44"/>
      <c r="Q86" s="44"/>
      <c r="R86" s="48" t="str">
        <f t="shared" si="21"/>
        <v/>
      </c>
      <c r="S86" s="47"/>
      <c r="T86" s="47"/>
      <c r="U86" s="47"/>
      <c r="V86" s="47"/>
      <c r="W86" s="47"/>
      <c r="X86" s="47"/>
      <c r="Y86" s="47"/>
      <c r="Z86" s="48" t="str">
        <f t="shared" si="22"/>
        <v/>
      </c>
      <c r="AA86" s="44"/>
      <c r="AB86" s="44"/>
      <c r="AC86" s="44"/>
      <c r="AD86" s="44"/>
      <c r="AE86" s="44"/>
      <c r="AF86" s="44"/>
      <c r="AG86" s="44"/>
      <c r="AH86" s="48" t="str">
        <f t="shared" si="23"/>
        <v/>
      </c>
      <c r="AI86" s="44"/>
      <c r="AJ86" s="44"/>
      <c r="AK86" s="44"/>
      <c r="AL86" s="44"/>
      <c r="AM86" s="44"/>
      <c r="AN86" s="44"/>
      <c r="AO86" s="44"/>
      <c r="AP86" s="48" t="str">
        <f t="shared" si="24"/>
        <v/>
      </c>
      <c r="AQ86" s="44"/>
      <c r="AR86" s="44"/>
      <c r="AS86" s="44"/>
      <c r="AT86" s="44"/>
      <c r="AU86" s="44"/>
      <c r="AV86" s="44"/>
      <c r="AW86" s="44"/>
      <c r="AX86" s="48" t="str">
        <f t="shared" si="25"/>
        <v/>
      </c>
      <c r="AY86" s="50"/>
      <c r="AZ86" s="50"/>
      <c r="BA86" s="50"/>
      <c r="BB86" s="50"/>
      <c r="BC86" s="50"/>
      <c r="BD86" s="50"/>
      <c r="BE86" s="50"/>
      <c r="BF86" s="48" t="str">
        <f t="shared" si="26"/>
        <v/>
      </c>
      <c r="BG86" s="44"/>
      <c r="BH86" s="44"/>
      <c r="BI86" s="44"/>
      <c r="BJ86" s="44"/>
      <c r="BK86" s="44"/>
      <c r="BL86" s="44"/>
      <c r="BM86" s="44"/>
      <c r="BN86" s="48" t="str">
        <f t="shared" si="27"/>
        <v/>
      </c>
      <c r="BO86" s="50"/>
      <c r="BP86" s="50"/>
      <c r="BQ86" s="50"/>
      <c r="BR86" s="50"/>
      <c r="BS86" s="50"/>
      <c r="BT86" s="50"/>
      <c r="BU86" s="50"/>
      <c r="BV86" s="48" t="str">
        <f t="shared" si="28"/>
        <v/>
      </c>
      <c r="BW86" s="44"/>
      <c r="BX86" s="44"/>
      <c r="BY86" s="44"/>
      <c r="BZ86" s="44"/>
      <c r="CA86" s="44"/>
      <c r="CB86" s="44"/>
      <c r="CC86" s="55"/>
      <c r="CD86" s="48" t="str">
        <f t="shared" si="29"/>
        <v/>
      </c>
    </row>
    <row r="87" spans="1:82" ht="40" customHeight="1" x14ac:dyDescent="0.15">
      <c r="A87" s="68" t="s">
        <v>216</v>
      </c>
      <c r="B87" s="69"/>
      <c r="C87" s="70"/>
      <c r="D87" s="44"/>
      <c r="E87" s="44"/>
      <c r="F87" s="44"/>
      <c r="G87" s="44"/>
      <c r="H87" s="44"/>
      <c r="I87" s="44"/>
      <c r="J87" s="48" t="str">
        <f t="shared" si="20"/>
        <v/>
      </c>
      <c r="K87" s="44"/>
      <c r="L87" s="44"/>
      <c r="M87" s="44"/>
      <c r="N87" s="44"/>
      <c r="O87" s="44"/>
      <c r="P87" s="44"/>
      <c r="Q87" s="44"/>
      <c r="R87" s="48" t="str">
        <f t="shared" si="21"/>
        <v/>
      </c>
      <c r="S87" s="47"/>
      <c r="T87" s="47"/>
      <c r="U87" s="47"/>
      <c r="V87" s="47"/>
      <c r="W87" s="47"/>
      <c r="X87" s="47"/>
      <c r="Y87" s="47"/>
      <c r="Z87" s="48" t="str">
        <f t="shared" si="22"/>
        <v/>
      </c>
      <c r="AA87" s="44"/>
      <c r="AB87" s="44"/>
      <c r="AC87" s="44"/>
      <c r="AD87" s="44"/>
      <c r="AE87" s="44"/>
      <c r="AF87" s="44"/>
      <c r="AG87" s="44"/>
      <c r="AH87" s="48" t="str">
        <f t="shared" si="23"/>
        <v/>
      </c>
      <c r="AI87" s="44"/>
      <c r="AJ87" s="44"/>
      <c r="AK87" s="44"/>
      <c r="AL87" s="44"/>
      <c r="AM87" s="44"/>
      <c r="AN87" s="44"/>
      <c r="AO87" s="44"/>
      <c r="AP87" s="48" t="str">
        <f t="shared" si="24"/>
        <v/>
      </c>
      <c r="AQ87" s="44"/>
      <c r="AR87" s="44"/>
      <c r="AS87" s="44"/>
      <c r="AT87" s="44"/>
      <c r="AU87" s="44"/>
      <c r="AV87" s="44"/>
      <c r="AW87" s="44"/>
      <c r="AX87" s="48" t="str">
        <f t="shared" si="25"/>
        <v/>
      </c>
      <c r="AY87" s="50"/>
      <c r="AZ87" s="50"/>
      <c r="BA87" s="50"/>
      <c r="BB87" s="50"/>
      <c r="BC87" s="50"/>
      <c r="BD87" s="50"/>
      <c r="BE87" s="50"/>
      <c r="BF87" s="48" t="str">
        <f t="shared" si="26"/>
        <v/>
      </c>
      <c r="BG87" s="44"/>
      <c r="BH87" s="44"/>
      <c r="BI87" s="44"/>
      <c r="BJ87" s="44"/>
      <c r="BK87" s="44"/>
      <c r="BL87" s="44"/>
      <c r="BM87" s="44"/>
      <c r="BN87" s="48" t="str">
        <f t="shared" si="27"/>
        <v/>
      </c>
      <c r="BO87" s="50"/>
      <c r="BP87" s="50"/>
      <c r="BQ87" s="50"/>
      <c r="BR87" s="50"/>
      <c r="BS87" s="50"/>
      <c r="BT87" s="50"/>
      <c r="BU87" s="50"/>
      <c r="BV87" s="48" t="str">
        <f t="shared" si="28"/>
        <v/>
      </c>
      <c r="BW87" s="44"/>
      <c r="BX87" s="44"/>
      <c r="BY87" s="44"/>
      <c r="BZ87" s="44"/>
      <c r="CA87" s="44"/>
      <c r="CB87" s="44"/>
      <c r="CC87" s="55"/>
      <c r="CD87" s="48" t="str">
        <f t="shared" si="29"/>
        <v/>
      </c>
    </row>
    <row r="88" spans="1:82" ht="40" customHeight="1" x14ac:dyDescent="0.15">
      <c r="A88" s="71" t="s">
        <v>217</v>
      </c>
      <c r="B88" s="72" t="s">
        <v>218</v>
      </c>
      <c r="C88" s="70"/>
      <c r="D88" s="44"/>
      <c r="E88" s="44"/>
      <c r="F88" s="44"/>
      <c r="G88" s="44"/>
      <c r="H88" s="44"/>
      <c r="I88" s="44"/>
      <c r="J88" s="48" t="str">
        <f t="shared" si="20"/>
        <v/>
      </c>
      <c r="K88" s="44"/>
      <c r="L88" s="44"/>
      <c r="M88" s="44"/>
      <c r="N88" s="44"/>
      <c r="O88" s="44"/>
      <c r="P88" s="44"/>
      <c r="Q88" s="44"/>
      <c r="R88" s="48" t="str">
        <f t="shared" si="21"/>
        <v/>
      </c>
      <c r="S88" s="47"/>
      <c r="T88" s="47"/>
      <c r="U88" s="47"/>
      <c r="V88" s="47"/>
      <c r="W88" s="47"/>
      <c r="X88" s="47"/>
      <c r="Y88" s="47"/>
      <c r="Z88" s="48" t="str">
        <f t="shared" si="22"/>
        <v/>
      </c>
      <c r="AA88" s="44"/>
      <c r="AB88" s="44"/>
      <c r="AC88" s="44"/>
      <c r="AD88" s="44"/>
      <c r="AE88" s="44"/>
      <c r="AF88" s="44"/>
      <c r="AG88" s="44"/>
      <c r="AH88" s="48" t="str">
        <f t="shared" si="23"/>
        <v/>
      </c>
      <c r="AI88" s="44"/>
      <c r="AJ88" s="44"/>
      <c r="AK88" s="44"/>
      <c r="AL88" s="44"/>
      <c r="AM88" s="44"/>
      <c r="AN88" s="44"/>
      <c r="AO88" s="44"/>
      <c r="AP88" s="48" t="str">
        <f t="shared" si="24"/>
        <v/>
      </c>
      <c r="AQ88" s="44"/>
      <c r="AR88" s="44"/>
      <c r="AS88" s="44"/>
      <c r="AT88" s="44"/>
      <c r="AU88" s="44"/>
      <c r="AV88" s="44"/>
      <c r="AW88" s="44"/>
      <c r="AX88" s="48" t="str">
        <f t="shared" si="25"/>
        <v/>
      </c>
      <c r="AY88" s="50"/>
      <c r="AZ88" s="50"/>
      <c r="BA88" s="50"/>
      <c r="BB88" s="50"/>
      <c r="BC88" s="50"/>
      <c r="BD88" s="50"/>
      <c r="BE88" s="50"/>
      <c r="BF88" s="48" t="str">
        <f t="shared" si="26"/>
        <v/>
      </c>
      <c r="BG88" s="44"/>
      <c r="BH88" s="44"/>
      <c r="BI88" s="44"/>
      <c r="BJ88" s="44"/>
      <c r="BK88" s="44"/>
      <c r="BL88" s="44"/>
      <c r="BM88" s="44"/>
      <c r="BN88" s="48" t="str">
        <f t="shared" si="27"/>
        <v/>
      </c>
      <c r="BO88" s="50"/>
      <c r="BP88" s="50"/>
      <c r="BQ88" s="50"/>
      <c r="BR88" s="50"/>
      <c r="BS88" s="50"/>
      <c r="BT88" s="50"/>
      <c r="BU88" s="50"/>
      <c r="BV88" s="48" t="str">
        <f t="shared" si="28"/>
        <v/>
      </c>
      <c r="BW88" s="44"/>
      <c r="BX88" s="44"/>
      <c r="BY88" s="44"/>
      <c r="BZ88" s="44"/>
      <c r="CA88" s="44"/>
      <c r="CB88" s="44"/>
      <c r="CC88" s="55"/>
      <c r="CD88" s="48" t="str">
        <f t="shared" si="29"/>
        <v/>
      </c>
    </row>
    <row r="89" spans="1:82" ht="40" customHeight="1" x14ac:dyDescent="0.15">
      <c r="A89" s="73" t="s">
        <v>219</v>
      </c>
      <c r="B89" s="74" t="s">
        <v>220</v>
      </c>
      <c r="C89" s="70"/>
      <c r="D89" s="44"/>
      <c r="E89" s="44"/>
      <c r="F89" s="44"/>
      <c r="G89" s="44"/>
      <c r="H89" s="44"/>
      <c r="I89" s="44"/>
      <c r="J89" s="48" t="str">
        <f t="shared" si="20"/>
        <v/>
      </c>
      <c r="K89" s="44"/>
      <c r="L89" s="44"/>
      <c r="M89" s="44"/>
      <c r="N89" s="44"/>
      <c r="O89" s="44"/>
      <c r="P89" s="44"/>
      <c r="Q89" s="44"/>
      <c r="R89" s="48" t="str">
        <f t="shared" si="21"/>
        <v/>
      </c>
      <c r="S89" s="47"/>
      <c r="T89" s="47"/>
      <c r="U89" s="47"/>
      <c r="V89" s="47"/>
      <c r="W89" s="47"/>
      <c r="X89" s="47"/>
      <c r="Y89" s="47"/>
      <c r="Z89" s="48" t="str">
        <f t="shared" si="22"/>
        <v/>
      </c>
      <c r="AA89" s="44"/>
      <c r="AB89" s="44"/>
      <c r="AC89" s="44"/>
      <c r="AD89" s="44"/>
      <c r="AE89" s="44"/>
      <c r="AF89" s="44"/>
      <c r="AG89" s="44"/>
      <c r="AH89" s="48" t="str">
        <f t="shared" si="23"/>
        <v/>
      </c>
      <c r="AI89" s="44"/>
      <c r="AJ89" s="44"/>
      <c r="AK89" s="44"/>
      <c r="AL89" s="44"/>
      <c r="AM89" s="44"/>
      <c r="AN89" s="44"/>
      <c r="AO89" s="44"/>
      <c r="AP89" s="48" t="str">
        <f t="shared" si="24"/>
        <v/>
      </c>
      <c r="AQ89" s="44"/>
      <c r="AR89" s="44"/>
      <c r="AS89" s="44"/>
      <c r="AT89" s="44"/>
      <c r="AU89" s="44"/>
      <c r="AV89" s="44"/>
      <c r="AW89" s="44"/>
      <c r="AX89" s="48" t="str">
        <f t="shared" si="25"/>
        <v/>
      </c>
      <c r="AY89" s="50"/>
      <c r="AZ89" s="50"/>
      <c r="BA89" s="50"/>
      <c r="BB89" s="50"/>
      <c r="BC89" s="50"/>
      <c r="BD89" s="50"/>
      <c r="BE89" s="50"/>
      <c r="BF89" s="48" t="str">
        <f t="shared" si="26"/>
        <v/>
      </c>
      <c r="BG89" s="44"/>
      <c r="BH89" s="44"/>
      <c r="BI89" s="44"/>
      <c r="BJ89" s="44"/>
      <c r="BK89" s="44"/>
      <c r="BL89" s="44"/>
      <c r="BM89" s="44"/>
      <c r="BN89" s="48" t="str">
        <f t="shared" si="27"/>
        <v/>
      </c>
      <c r="BO89" s="50"/>
      <c r="BP89" s="50"/>
      <c r="BQ89" s="50"/>
      <c r="BR89" s="50"/>
      <c r="BS89" s="50"/>
      <c r="BT89" s="50"/>
      <c r="BU89" s="50"/>
      <c r="BV89" s="48" t="str">
        <f t="shared" si="28"/>
        <v/>
      </c>
      <c r="BW89" s="44"/>
      <c r="BX89" s="44"/>
      <c r="BY89" s="44"/>
      <c r="BZ89" s="44"/>
      <c r="CA89" s="44"/>
      <c r="CB89" s="44"/>
      <c r="CC89" s="55"/>
      <c r="CD89" s="48" t="str">
        <f t="shared" si="29"/>
        <v/>
      </c>
    </row>
    <row r="90" spans="1:82" ht="40" customHeight="1" x14ac:dyDescent="0.15">
      <c r="A90" s="71" t="s">
        <v>221</v>
      </c>
      <c r="B90" s="72" t="s">
        <v>222</v>
      </c>
      <c r="C90" s="70"/>
      <c r="D90" s="44"/>
      <c r="E90" s="44"/>
      <c r="F90" s="44"/>
      <c r="G90" s="44"/>
      <c r="H90" s="44"/>
      <c r="I90" s="44"/>
      <c r="J90" s="48" t="str">
        <f t="shared" si="20"/>
        <v/>
      </c>
      <c r="K90" s="44"/>
      <c r="L90" s="44"/>
      <c r="M90" s="44"/>
      <c r="N90" s="44"/>
      <c r="O90" s="44"/>
      <c r="P90" s="44"/>
      <c r="Q90" s="44"/>
      <c r="R90" s="48" t="str">
        <f t="shared" si="21"/>
        <v/>
      </c>
      <c r="S90" s="47"/>
      <c r="T90" s="47"/>
      <c r="U90" s="47"/>
      <c r="V90" s="47"/>
      <c r="W90" s="47"/>
      <c r="X90" s="47"/>
      <c r="Y90" s="47"/>
      <c r="Z90" s="48" t="str">
        <f t="shared" si="22"/>
        <v/>
      </c>
      <c r="AA90" s="44"/>
      <c r="AB90" s="44"/>
      <c r="AC90" s="44"/>
      <c r="AD90" s="44"/>
      <c r="AE90" s="44"/>
      <c r="AF90" s="44"/>
      <c r="AG90" s="44"/>
      <c r="AH90" s="48" t="str">
        <f t="shared" si="23"/>
        <v/>
      </c>
      <c r="AI90" s="44"/>
      <c r="AJ90" s="44"/>
      <c r="AK90" s="44"/>
      <c r="AL90" s="44"/>
      <c r="AM90" s="44"/>
      <c r="AN90" s="44"/>
      <c r="AO90" s="44"/>
      <c r="AP90" s="48" t="str">
        <f t="shared" si="24"/>
        <v/>
      </c>
      <c r="AQ90" s="44"/>
      <c r="AR90" s="44"/>
      <c r="AS90" s="44"/>
      <c r="AT90" s="44"/>
      <c r="AU90" s="44"/>
      <c r="AV90" s="44"/>
      <c r="AW90" s="44"/>
      <c r="AX90" s="48" t="str">
        <f t="shared" si="25"/>
        <v/>
      </c>
      <c r="AY90" s="50"/>
      <c r="AZ90" s="50"/>
      <c r="BA90" s="50"/>
      <c r="BB90" s="50"/>
      <c r="BC90" s="50"/>
      <c r="BD90" s="50"/>
      <c r="BE90" s="50"/>
      <c r="BF90" s="48" t="str">
        <f t="shared" si="26"/>
        <v/>
      </c>
      <c r="BG90" s="44"/>
      <c r="BH90" s="44"/>
      <c r="BI90" s="44"/>
      <c r="BJ90" s="44"/>
      <c r="BK90" s="44"/>
      <c r="BL90" s="44"/>
      <c r="BM90" s="44"/>
      <c r="BN90" s="48" t="str">
        <f t="shared" si="27"/>
        <v/>
      </c>
      <c r="BO90" s="50"/>
      <c r="BP90" s="50"/>
      <c r="BQ90" s="50"/>
      <c r="BR90" s="50"/>
      <c r="BS90" s="50"/>
      <c r="BT90" s="50"/>
      <c r="BU90" s="50"/>
      <c r="BV90" s="48" t="str">
        <f t="shared" si="28"/>
        <v/>
      </c>
      <c r="BW90" s="44"/>
      <c r="BX90" s="44"/>
      <c r="BY90" s="44"/>
      <c r="BZ90" s="44"/>
      <c r="CA90" s="44"/>
      <c r="CB90" s="44"/>
      <c r="CC90" s="55"/>
      <c r="CD90" s="48" t="str">
        <f t="shared" si="29"/>
        <v/>
      </c>
    </row>
    <row r="91" spans="1:82" ht="40" customHeight="1" x14ac:dyDescent="0.15">
      <c r="A91" s="73" t="s">
        <v>223</v>
      </c>
      <c r="B91" s="74" t="s">
        <v>224</v>
      </c>
      <c r="C91" s="70"/>
      <c r="D91" s="44"/>
      <c r="E91" s="44"/>
      <c r="F91" s="44"/>
      <c r="G91" s="44"/>
      <c r="H91" s="44"/>
      <c r="I91" s="44"/>
      <c r="J91" s="48" t="str">
        <f t="shared" si="20"/>
        <v/>
      </c>
      <c r="K91" s="44"/>
      <c r="L91" s="44"/>
      <c r="M91" s="44"/>
      <c r="N91" s="44"/>
      <c r="O91" s="44"/>
      <c r="P91" s="44"/>
      <c r="Q91" s="44"/>
      <c r="R91" s="48" t="str">
        <f t="shared" si="21"/>
        <v/>
      </c>
      <c r="S91" s="47"/>
      <c r="T91" s="47"/>
      <c r="U91" s="47"/>
      <c r="V91" s="47"/>
      <c r="W91" s="47"/>
      <c r="X91" s="47"/>
      <c r="Y91" s="47"/>
      <c r="Z91" s="48" t="str">
        <f t="shared" si="22"/>
        <v/>
      </c>
      <c r="AA91" s="44"/>
      <c r="AB91" s="44"/>
      <c r="AC91" s="44"/>
      <c r="AD91" s="44"/>
      <c r="AE91" s="44"/>
      <c r="AF91" s="44"/>
      <c r="AG91" s="44"/>
      <c r="AH91" s="48" t="str">
        <f t="shared" si="23"/>
        <v/>
      </c>
      <c r="AI91" s="44"/>
      <c r="AJ91" s="44"/>
      <c r="AK91" s="44"/>
      <c r="AL91" s="44"/>
      <c r="AM91" s="44"/>
      <c r="AN91" s="44"/>
      <c r="AO91" s="44"/>
      <c r="AP91" s="48" t="str">
        <f t="shared" si="24"/>
        <v/>
      </c>
      <c r="AQ91" s="44"/>
      <c r="AR91" s="44"/>
      <c r="AS91" s="44"/>
      <c r="AT91" s="44"/>
      <c r="AU91" s="44"/>
      <c r="AV91" s="44"/>
      <c r="AW91" s="44"/>
      <c r="AX91" s="48" t="str">
        <f t="shared" si="25"/>
        <v/>
      </c>
      <c r="AY91" s="50"/>
      <c r="AZ91" s="50"/>
      <c r="BA91" s="50"/>
      <c r="BB91" s="50"/>
      <c r="BC91" s="50"/>
      <c r="BD91" s="50"/>
      <c r="BE91" s="50"/>
      <c r="BF91" s="48" t="str">
        <f t="shared" si="26"/>
        <v/>
      </c>
      <c r="BG91" s="44"/>
      <c r="BH91" s="44"/>
      <c r="BI91" s="44"/>
      <c r="BJ91" s="44"/>
      <c r="BK91" s="44"/>
      <c r="BL91" s="44"/>
      <c r="BM91" s="44"/>
      <c r="BN91" s="48" t="str">
        <f t="shared" si="27"/>
        <v/>
      </c>
      <c r="BO91" s="50"/>
      <c r="BP91" s="50"/>
      <c r="BQ91" s="50"/>
      <c r="BR91" s="50"/>
      <c r="BS91" s="50"/>
      <c r="BT91" s="50"/>
      <c r="BU91" s="50"/>
      <c r="BV91" s="48" t="str">
        <f t="shared" si="28"/>
        <v/>
      </c>
      <c r="BW91" s="44"/>
      <c r="BX91" s="44"/>
      <c r="BY91" s="44"/>
      <c r="BZ91" s="44"/>
      <c r="CA91" s="44"/>
      <c r="CB91" s="44"/>
      <c r="CC91" s="55"/>
      <c r="CD91" s="48" t="str">
        <f t="shared" si="29"/>
        <v/>
      </c>
    </row>
    <row r="92" spans="1:82" ht="40" customHeight="1" x14ac:dyDescent="0.15">
      <c r="A92" s="71" t="s">
        <v>225</v>
      </c>
      <c r="B92" s="72" t="s">
        <v>226</v>
      </c>
      <c r="C92" s="70"/>
      <c r="D92" s="44"/>
      <c r="E92" s="44"/>
      <c r="F92" s="44"/>
      <c r="G92" s="44"/>
      <c r="H92" s="44"/>
      <c r="I92" s="44"/>
      <c r="J92" s="48" t="str">
        <f t="shared" si="20"/>
        <v/>
      </c>
      <c r="K92" s="44"/>
      <c r="L92" s="44"/>
      <c r="M92" s="44"/>
      <c r="N92" s="44"/>
      <c r="O92" s="44"/>
      <c r="P92" s="44"/>
      <c r="Q92" s="44"/>
      <c r="R92" s="48" t="str">
        <f t="shared" si="21"/>
        <v/>
      </c>
      <c r="S92" s="47"/>
      <c r="T92" s="47"/>
      <c r="U92" s="47"/>
      <c r="V92" s="47"/>
      <c r="W92" s="47"/>
      <c r="X92" s="47"/>
      <c r="Y92" s="47"/>
      <c r="Z92" s="48" t="str">
        <f t="shared" si="22"/>
        <v/>
      </c>
      <c r="AA92" s="44"/>
      <c r="AB92" s="44"/>
      <c r="AC92" s="44"/>
      <c r="AD92" s="44"/>
      <c r="AE92" s="44"/>
      <c r="AF92" s="44"/>
      <c r="AG92" s="44"/>
      <c r="AH92" s="48" t="str">
        <f t="shared" si="23"/>
        <v/>
      </c>
      <c r="AI92" s="44"/>
      <c r="AJ92" s="44"/>
      <c r="AK92" s="44"/>
      <c r="AL92" s="44"/>
      <c r="AM92" s="44"/>
      <c r="AN92" s="44"/>
      <c r="AO92" s="44"/>
      <c r="AP92" s="48" t="str">
        <f t="shared" si="24"/>
        <v/>
      </c>
      <c r="AQ92" s="44"/>
      <c r="AR92" s="44"/>
      <c r="AS92" s="44"/>
      <c r="AT92" s="44"/>
      <c r="AU92" s="44"/>
      <c r="AV92" s="44"/>
      <c r="AW92" s="44"/>
      <c r="AX92" s="48" t="str">
        <f t="shared" si="25"/>
        <v/>
      </c>
      <c r="AY92" s="50"/>
      <c r="AZ92" s="50"/>
      <c r="BA92" s="50"/>
      <c r="BB92" s="50"/>
      <c r="BC92" s="50"/>
      <c r="BD92" s="50"/>
      <c r="BE92" s="50"/>
      <c r="BF92" s="48" t="str">
        <f t="shared" si="26"/>
        <v/>
      </c>
      <c r="BG92" s="44"/>
      <c r="BH92" s="44"/>
      <c r="BI92" s="44"/>
      <c r="BJ92" s="44"/>
      <c r="BK92" s="44"/>
      <c r="BL92" s="44"/>
      <c r="BM92" s="44"/>
      <c r="BN92" s="48" t="str">
        <f t="shared" si="27"/>
        <v/>
      </c>
      <c r="BO92" s="50"/>
      <c r="BP92" s="50"/>
      <c r="BQ92" s="50"/>
      <c r="BR92" s="50"/>
      <c r="BS92" s="50"/>
      <c r="BT92" s="50"/>
      <c r="BU92" s="50"/>
      <c r="BV92" s="48" t="str">
        <f t="shared" si="28"/>
        <v/>
      </c>
      <c r="BW92" s="44"/>
      <c r="BX92" s="44"/>
      <c r="BY92" s="44"/>
      <c r="BZ92" s="44"/>
      <c r="CA92" s="44"/>
      <c r="CB92" s="44"/>
      <c r="CC92" s="55"/>
      <c r="CD92" s="48" t="str">
        <f t="shared" si="29"/>
        <v/>
      </c>
    </row>
    <row r="93" spans="1:82" ht="40" customHeight="1" x14ac:dyDescent="0.15">
      <c r="A93" s="71" t="s">
        <v>227</v>
      </c>
      <c r="B93" s="72" t="s">
        <v>228</v>
      </c>
      <c r="C93" s="70"/>
      <c r="D93" s="44"/>
      <c r="E93" s="44"/>
      <c r="F93" s="44"/>
      <c r="G93" s="44"/>
      <c r="H93" s="44"/>
      <c r="I93" s="44"/>
      <c r="J93" s="48" t="str">
        <f t="shared" si="20"/>
        <v/>
      </c>
      <c r="K93" s="44"/>
      <c r="L93" s="44"/>
      <c r="M93" s="44"/>
      <c r="N93" s="44"/>
      <c r="O93" s="44"/>
      <c r="P93" s="44"/>
      <c r="Q93" s="44"/>
      <c r="R93" s="48" t="str">
        <f t="shared" si="21"/>
        <v/>
      </c>
      <c r="S93" s="47"/>
      <c r="T93" s="47"/>
      <c r="U93" s="47"/>
      <c r="V93" s="47"/>
      <c r="W93" s="47"/>
      <c r="X93" s="47"/>
      <c r="Y93" s="47"/>
      <c r="Z93" s="48" t="str">
        <f t="shared" si="22"/>
        <v/>
      </c>
      <c r="AA93" s="44"/>
      <c r="AB93" s="44"/>
      <c r="AC93" s="44"/>
      <c r="AD93" s="44"/>
      <c r="AE93" s="44"/>
      <c r="AF93" s="44"/>
      <c r="AG93" s="44"/>
      <c r="AH93" s="48" t="str">
        <f t="shared" si="23"/>
        <v/>
      </c>
      <c r="AI93" s="44"/>
      <c r="AJ93" s="44"/>
      <c r="AK93" s="44"/>
      <c r="AL93" s="44"/>
      <c r="AM93" s="44"/>
      <c r="AN93" s="44"/>
      <c r="AO93" s="44"/>
      <c r="AP93" s="48" t="str">
        <f t="shared" si="24"/>
        <v/>
      </c>
      <c r="AQ93" s="44"/>
      <c r="AR93" s="44"/>
      <c r="AS93" s="44"/>
      <c r="AT93" s="44"/>
      <c r="AU93" s="44"/>
      <c r="AV93" s="44"/>
      <c r="AW93" s="44"/>
      <c r="AX93" s="48" t="str">
        <f t="shared" si="25"/>
        <v/>
      </c>
      <c r="AY93" s="50"/>
      <c r="AZ93" s="50"/>
      <c r="BA93" s="50"/>
      <c r="BB93" s="50"/>
      <c r="BC93" s="50"/>
      <c r="BD93" s="50"/>
      <c r="BE93" s="50"/>
      <c r="BF93" s="48" t="str">
        <f t="shared" si="26"/>
        <v/>
      </c>
      <c r="BG93" s="44"/>
      <c r="BH93" s="44"/>
      <c r="BI93" s="44"/>
      <c r="BJ93" s="44"/>
      <c r="BK93" s="44"/>
      <c r="BL93" s="44"/>
      <c r="BM93" s="44"/>
      <c r="BN93" s="48" t="str">
        <f t="shared" si="27"/>
        <v/>
      </c>
      <c r="BO93" s="50"/>
      <c r="BP93" s="50"/>
      <c r="BQ93" s="50"/>
      <c r="BR93" s="50"/>
      <c r="BS93" s="50"/>
      <c r="BT93" s="50"/>
      <c r="BU93" s="50"/>
      <c r="BV93" s="48" t="str">
        <f t="shared" si="28"/>
        <v/>
      </c>
      <c r="BW93" s="44"/>
      <c r="BX93" s="44"/>
      <c r="BY93" s="44"/>
      <c r="BZ93" s="44"/>
      <c r="CA93" s="44"/>
      <c r="CB93" s="44"/>
      <c r="CC93" s="55"/>
      <c r="CD93" s="48" t="str">
        <f t="shared" si="29"/>
        <v/>
      </c>
    </row>
    <row r="94" spans="1:82" ht="40" customHeight="1" x14ac:dyDescent="0.15">
      <c r="A94" s="68" t="s">
        <v>229</v>
      </c>
      <c r="B94" s="69"/>
      <c r="C94" s="70"/>
      <c r="D94" s="44"/>
      <c r="E94" s="44"/>
      <c r="F94" s="44"/>
      <c r="G94" s="44"/>
      <c r="H94" s="44"/>
      <c r="I94" s="44"/>
      <c r="J94" s="48" t="str">
        <f t="shared" si="20"/>
        <v/>
      </c>
      <c r="K94" s="44"/>
      <c r="L94" s="44"/>
      <c r="M94" s="44"/>
      <c r="N94" s="44"/>
      <c r="O94" s="44"/>
      <c r="P94" s="44"/>
      <c r="Q94" s="44"/>
      <c r="R94" s="48" t="str">
        <f t="shared" si="21"/>
        <v/>
      </c>
      <c r="S94" s="47"/>
      <c r="T94" s="47"/>
      <c r="U94" s="47"/>
      <c r="V94" s="47"/>
      <c r="W94" s="47"/>
      <c r="X94" s="47"/>
      <c r="Y94" s="47"/>
      <c r="Z94" s="48" t="str">
        <f t="shared" si="22"/>
        <v/>
      </c>
      <c r="AA94" s="44"/>
      <c r="AB94" s="44"/>
      <c r="AC94" s="44"/>
      <c r="AD94" s="44"/>
      <c r="AE94" s="44"/>
      <c r="AF94" s="44"/>
      <c r="AG94" s="44"/>
      <c r="AH94" s="48" t="str">
        <f t="shared" si="23"/>
        <v/>
      </c>
      <c r="AI94" s="44"/>
      <c r="AJ94" s="44"/>
      <c r="AK94" s="44"/>
      <c r="AL94" s="44"/>
      <c r="AM94" s="44"/>
      <c r="AN94" s="44"/>
      <c r="AO94" s="44"/>
      <c r="AP94" s="48" t="str">
        <f t="shared" si="24"/>
        <v/>
      </c>
      <c r="AQ94" s="44"/>
      <c r="AR94" s="44"/>
      <c r="AS94" s="44"/>
      <c r="AT94" s="44"/>
      <c r="AU94" s="44"/>
      <c r="AV94" s="44"/>
      <c r="AW94" s="44"/>
      <c r="AX94" s="48" t="str">
        <f t="shared" si="25"/>
        <v/>
      </c>
      <c r="AY94" s="50"/>
      <c r="AZ94" s="50"/>
      <c r="BA94" s="50"/>
      <c r="BB94" s="50"/>
      <c r="BC94" s="50"/>
      <c r="BD94" s="50"/>
      <c r="BE94" s="50"/>
      <c r="BF94" s="48" t="str">
        <f t="shared" si="26"/>
        <v/>
      </c>
      <c r="BG94" s="44"/>
      <c r="BH94" s="44"/>
      <c r="BI94" s="44"/>
      <c r="BJ94" s="44"/>
      <c r="BK94" s="44"/>
      <c r="BL94" s="44"/>
      <c r="BM94" s="44"/>
      <c r="BN94" s="48" t="str">
        <f t="shared" si="27"/>
        <v/>
      </c>
      <c r="BO94" s="50"/>
      <c r="BP94" s="50"/>
      <c r="BQ94" s="50"/>
      <c r="BR94" s="50"/>
      <c r="BS94" s="50"/>
      <c r="BT94" s="50"/>
      <c r="BU94" s="50"/>
      <c r="BV94" s="48" t="str">
        <f t="shared" si="28"/>
        <v/>
      </c>
      <c r="BW94" s="44"/>
      <c r="BX94" s="44"/>
      <c r="BY94" s="44"/>
      <c r="BZ94" s="44"/>
      <c r="CA94" s="44"/>
      <c r="CB94" s="44"/>
      <c r="CC94" s="55"/>
      <c r="CD94" s="48" t="str">
        <f t="shared" si="29"/>
        <v/>
      </c>
    </row>
    <row r="95" spans="1:82" ht="40" customHeight="1" x14ac:dyDescent="0.15">
      <c r="A95" s="71" t="s">
        <v>230</v>
      </c>
      <c r="B95" s="72" t="s">
        <v>231</v>
      </c>
      <c r="C95" s="70"/>
      <c r="D95" s="44"/>
      <c r="E95" s="44"/>
      <c r="F95" s="44"/>
      <c r="G95" s="44"/>
      <c r="H95" s="44"/>
      <c r="I95" s="44"/>
      <c r="J95" s="48" t="str">
        <f t="shared" si="20"/>
        <v/>
      </c>
      <c r="K95" s="44"/>
      <c r="L95" s="44"/>
      <c r="M95" s="44"/>
      <c r="N95" s="44"/>
      <c r="O95" s="44"/>
      <c r="P95" s="44"/>
      <c r="Q95" s="44"/>
      <c r="R95" s="48" t="str">
        <f t="shared" si="21"/>
        <v/>
      </c>
      <c r="S95" s="47"/>
      <c r="T95" s="47"/>
      <c r="U95" s="47"/>
      <c r="V95" s="47"/>
      <c r="W95" s="47"/>
      <c r="X95" s="47"/>
      <c r="Y95" s="47"/>
      <c r="Z95" s="48" t="str">
        <f t="shared" si="22"/>
        <v/>
      </c>
      <c r="AA95" s="44"/>
      <c r="AB95" s="44"/>
      <c r="AC95" s="44"/>
      <c r="AD95" s="44"/>
      <c r="AE95" s="44"/>
      <c r="AF95" s="44"/>
      <c r="AG95" s="44"/>
      <c r="AH95" s="48" t="str">
        <f t="shared" si="23"/>
        <v/>
      </c>
      <c r="AI95" s="44"/>
      <c r="AJ95" s="44"/>
      <c r="AK95" s="44"/>
      <c r="AL95" s="44"/>
      <c r="AM95" s="44"/>
      <c r="AN95" s="44"/>
      <c r="AO95" s="44"/>
      <c r="AP95" s="48" t="str">
        <f t="shared" si="24"/>
        <v/>
      </c>
      <c r="AQ95" s="44"/>
      <c r="AR95" s="44"/>
      <c r="AS95" s="44"/>
      <c r="AT95" s="44"/>
      <c r="AU95" s="44"/>
      <c r="AV95" s="44"/>
      <c r="AW95" s="44"/>
      <c r="AX95" s="48" t="str">
        <f t="shared" si="25"/>
        <v/>
      </c>
      <c r="AY95" s="50"/>
      <c r="AZ95" s="50"/>
      <c r="BA95" s="50"/>
      <c r="BB95" s="50"/>
      <c r="BC95" s="50"/>
      <c r="BD95" s="50"/>
      <c r="BE95" s="50"/>
      <c r="BF95" s="48" t="str">
        <f t="shared" si="26"/>
        <v/>
      </c>
      <c r="BG95" s="44"/>
      <c r="BH95" s="44"/>
      <c r="BI95" s="44"/>
      <c r="BJ95" s="44"/>
      <c r="BK95" s="44"/>
      <c r="BL95" s="44"/>
      <c r="BM95" s="44"/>
      <c r="BN95" s="48" t="str">
        <f t="shared" si="27"/>
        <v/>
      </c>
      <c r="BO95" s="50"/>
      <c r="BP95" s="50"/>
      <c r="BQ95" s="50"/>
      <c r="BR95" s="50"/>
      <c r="BS95" s="50"/>
      <c r="BT95" s="50"/>
      <c r="BU95" s="50"/>
      <c r="BV95" s="48" t="str">
        <f t="shared" si="28"/>
        <v/>
      </c>
      <c r="BW95" s="44"/>
      <c r="BX95" s="44"/>
      <c r="BY95" s="44"/>
      <c r="BZ95" s="44"/>
      <c r="CA95" s="44"/>
      <c r="CB95" s="44"/>
      <c r="CC95" s="55"/>
      <c r="CD95" s="48" t="str">
        <f t="shared" si="29"/>
        <v/>
      </c>
    </row>
    <row r="96" spans="1:82" ht="40" customHeight="1" x14ac:dyDescent="0.15">
      <c r="A96" s="73" t="s">
        <v>232</v>
      </c>
      <c r="B96" s="74" t="s">
        <v>233</v>
      </c>
      <c r="C96" s="70"/>
      <c r="D96" s="44"/>
      <c r="E96" s="44"/>
      <c r="F96" s="44"/>
      <c r="G96" s="44"/>
      <c r="H96" s="44"/>
      <c r="I96" s="44"/>
      <c r="J96" s="48" t="str">
        <f t="shared" si="20"/>
        <v/>
      </c>
      <c r="K96" s="44"/>
      <c r="L96" s="44"/>
      <c r="M96" s="44"/>
      <c r="N96" s="44"/>
      <c r="O96" s="44"/>
      <c r="P96" s="44"/>
      <c r="Q96" s="44"/>
      <c r="R96" s="48" t="str">
        <f t="shared" si="21"/>
        <v/>
      </c>
      <c r="S96" s="47"/>
      <c r="T96" s="47"/>
      <c r="U96" s="47"/>
      <c r="V96" s="47"/>
      <c r="W96" s="47"/>
      <c r="X96" s="47"/>
      <c r="Y96" s="47"/>
      <c r="Z96" s="48" t="str">
        <f t="shared" si="22"/>
        <v/>
      </c>
      <c r="AA96" s="44"/>
      <c r="AB96" s="44"/>
      <c r="AC96" s="44"/>
      <c r="AD96" s="44"/>
      <c r="AE96" s="44"/>
      <c r="AF96" s="44"/>
      <c r="AG96" s="44"/>
      <c r="AH96" s="48" t="str">
        <f t="shared" si="23"/>
        <v/>
      </c>
      <c r="AI96" s="44"/>
      <c r="AJ96" s="44"/>
      <c r="AK96" s="44"/>
      <c r="AL96" s="44"/>
      <c r="AM96" s="44"/>
      <c r="AN96" s="44"/>
      <c r="AO96" s="44"/>
      <c r="AP96" s="48" t="str">
        <f t="shared" si="24"/>
        <v/>
      </c>
      <c r="AQ96" s="44"/>
      <c r="AR96" s="44"/>
      <c r="AS96" s="44"/>
      <c r="AT96" s="44"/>
      <c r="AU96" s="44"/>
      <c r="AV96" s="44"/>
      <c r="AW96" s="44"/>
      <c r="AX96" s="48" t="str">
        <f t="shared" si="25"/>
        <v/>
      </c>
      <c r="AY96" s="50"/>
      <c r="AZ96" s="50"/>
      <c r="BA96" s="50"/>
      <c r="BB96" s="50"/>
      <c r="BC96" s="50"/>
      <c r="BD96" s="50"/>
      <c r="BE96" s="50"/>
      <c r="BF96" s="48" t="str">
        <f t="shared" si="26"/>
        <v/>
      </c>
      <c r="BG96" s="44"/>
      <c r="BH96" s="44"/>
      <c r="BI96" s="44"/>
      <c r="BJ96" s="44"/>
      <c r="BK96" s="44"/>
      <c r="BL96" s="44"/>
      <c r="BM96" s="44"/>
      <c r="BN96" s="48" t="str">
        <f t="shared" si="27"/>
        <v/>
      </c>
      <c r="BO96" s="50"/>
      <c r="BP96" s="50"/>
      <c r="BQ96" s="50"/>
      <c r="BR96" s="50"/>
      <c r="BS96" s="50"/>
      <c r="BT96" s="50"/>
      <c r="BU96" s="50"/>
      <c r="BV96" s="48" t="str">
        <f t="shared" si="28"/>
        <v/>
      </c>
      <c r="BW96" s="44"/>
      <c r="BX96" s="44"/>
      <c r="BY96" s="44"/>
      <c r="BZ96" s="44"/>
      <c r="CA96" s="44"/>
      <c r="CB96" s="44"/>
      <c r="CC96" s="55"/>
      <c r="CD96" s="48" t="str">
        <f t="shared" si="29"/>
        <v/>
      </c>
    </row>
    <row r="97" spans="1:82" ht="40" customHeight="1" x14ac:dyDescent="0.15">
      <c r="A97" s="71" t="s">
        <v>234</v>
      </c>
      <c r="B97" s="72" t="s">
        <v>235</v>
      </c>
      <c r="C97" s="70"/>
      <c r="D97" s="44"/>
      <c r="E97" s="44"/>
      <c r="F97" s="44"/>
      <c r="G97" s="44"/>
      <c r="H97" s="44"/>
      <c r="I97" s="44"/>
      <c r="J97" s="48" t="str">
        <f t="shared" si="20"/>
        <v/>
      </c>
      <c r="K97" s="44"/>
      <c r="L97" s="44"/>
      <c r="M97" s="44"/>
      <c r="N97" s="44"/>
      <c r="O97" s="44"/>
      <c r="P97" s="44"/>
      <c r="Q97" s="44"/>
      <c r="R97" s="48" t="str">
        <f t="shared" si="21"/>
        <v/>
      </c>
      <c r="S97" s="47"/>
      <c r="T97" s="47"/>
      <c r="U97" s="47"/>
      <c r="V97" s="47"/>
      <c r="W97" s="47"/>
      <c r="X97" s="47"/>
      <c r="Y97" s="47"/>
      <c r="Z97" s="48" t="str">
        <f t="shared" si="22"/>
        <v/>
      </c>
      <c r="AA97" s="44"/>
      <c r="AB97" s="44"/>
      <c r="AC97" s="44"/>
      <c r="AD97" s="44"/>
      <c r="AE97" s="44"/>
      <c r="AF97" s="44"/>
      <c r="AG97" s="44"/>
      <c r="AH97" s="48" t="str">
        <f t="shared" si="23"/>
        <v/>
      </c>
      <c r="AI97" s="44"/>
      <c r="AJ97" s="44"/>
      <c r="AK97" s="44"/>
      <c r="AL97" s="44"/>
      <c r="AM97" s="44"/>
      <c r="AN97" s="44"/>
      <c r="AO97" s="44"/>
      <c r="AP97" s="48" t="str">
        <f t="shared" si="24"/>
        <v/>
      </c>
      <c r="AQ97" s="44"/>
      <c r="AR97" s="44"/>
      <c r="AS97" s="44"/>
      <c r="AT97" s="44"/>
      <c r="AU97" s="44"/>
      <c r="AV97" s="44"/>
      <c r="AW97" s="44"/>
      <c r="AX97" s="48" t="str">
        <f t="shared" si="25"/>
        <v/>
      </c>
      <c r="AY97" s="50"/>
      <c r="AZ97" s="50"/>
      <c r="BA97" s="50"/>
      <c r="BB97" s="50"/>
      <c r="BC97" s="50"/>
      <c r="BD97" s="50"/>
      <c r="BE97" s="50"/>
      <c r="BF97" s="48" t="str">
        <f t="shared" si="26"/>
        <v/>
      </c>
      <c r="BG97" s="44"/>
      <c r="BH97" s="44"/>
      <c r="BI97" s="44"/>
      <c r="BJ97" s="44"/>
      <c r="BK97" s="44"/>
      <c r="BL97" s="44"/>
      <c r="BM97" s="44"/>
      <c r="BN97" s="48" t="str">
        <f t="shared" si="27"/>
        <v/>
      </c>
      <c r="BO97" s="50"/>
      <c r="BP97" s="50"/>
      <c r="BQ97" s="50"/>
      <c r="BR97" s="50"/>
      <c r="BS97" s="50"/>
      <c r="BT97" s="50"/>
      <c r="BU97" s="50"/>
      <c r="BV97" s="48" t="str">
        <f t="shared" si="28"/>
        <v/>
      </c>
      <c r="BW97" s="44"/>
      <c r="BX97" s="44"/>
      <c r="BY97" s="44"/>
      <c r="BZ97" s="44"/>
      <c r="CA97" s="44"/>
      <c r="CB97" s="44"/>
      <c r="CC97" s="55"/>
      <c r="CD97" s="48" t="str">
        <f t="shared" si="29"/>
        <v/>
      </c>
    </row>
    <row r="98" spans="1:82" ht="40" customHeight="1" x14ac:dyDescent="0.15">
      <c r="A98" s="71" t="s">
        <v>236</v>
      </c>
      <c r="B98" s="72" t="s">
        <v>237</v>
      </c>
      <c r="C98" s="70"/>
      <c r="D98" s="44"/>
      <c r="E98" s="44"/>
      <c r="F98" s="44"/>
      <c r="G98" s="44"/>
      <c r="H98" s="44"/>
      <c r="I98" s="44"/>
      <c r="J98" s="48" t="str">
        <f t="shared" si="20"/>
        <v/>
      </c>
      <c r="K98" s="44"/>
      <c r="L98" s="44"/>
      <c r="M98" s="44"/>
      <c r="N98" s="44"/>
      <c r="O98" s="44"/>
      <c r="P98" s="44"/>
      <c r="Q98" s="44"/>
      <c r="R98" s="48" t="str">
        <f t="shared" si="21"/>
        <v/>
      </c>
      <c r="S98" s="47"/>
      <c r="T98" s="47"/>
      <c r="U98" s="47"/>
      <c r="V98" s="47"/>
      <c r="W98" s="47"/>
      <c r="X98" s="47"/>
      <c r="Y98" s="47"/>
      <c r="Z98" s="48" t="str">
        <f t="shared" si="22"/>
        <v/>
      </c>
      <c r="AA98" s="44"/>
      <c r="AB98" s="44"/>
      <c r="AC98" s="44"/>
      <c r="AD98" s="44"/>
      <c r="AE98" s="44"/>
      <c r="AF98" s="44"/>
      <c r="AG98" s="44"/>
      <c r="AH98" s="48" t="str">
        <f t="shared" si="23"/>
        <v/>
      </c>
      <c r="AI98" s="44"/>
      <c r="AJ98" s="44"/>
      <c r="AK98" s="44"/>
      <c r="AL98" s="44"/>
      <c r="AM98" s="44"/>
      <c r="AN98" s="44"/>
      <c r="AO98" s="44"/>
      <c r="AP98" s="48" t="str">
        <f t="shared" si="24"/>
        <v/>
      </c>
      <c r="AQ98" s="44"/>
      <c r="AR98" s="44"/>
      <c r="AS98" s="44"/>
      <c r="AT98" s="44"/>
      <c r="AU98" s="44"/>
      <c r="AV98" s="44"/>
      <c r="AW98" s="44"/>
      <c r="AX98" s="48" t="str">
        <f t="shared" si="25"/>
        <v/>
      </c>
      <c r="AY98" s="50"/>
      <c r="AZ98" s="50"/>
      <c r="BA98" s="50"/>
      <c r="BB98" s="50"/>
      <c r="BC98" s="50"/>
      <c r="BD98" s="50"/>
      <c r="BE98" s="50"/>
      <c r="BF98" s="48" t="str">
        <f t="shared" si="26"/>
        <v/>
      </c>
      <c r="BG98" s="44"/>
      <c r="BH98" s="44"/>
      <c r="BI98" s="44"/>
      <c r="BJ98" s="44"/>
      <c r="BK98" s="44"/>
      <c r="BL98" s="44"/>
      <c r="BM98" s="44"/>
      <c r="BN98" s="48" t="str">
        <f t="shared" si="27"/>
        <v/>
      </c>
      <c r="BO98" s="50"/>
      <c r="BP98" s="50"/>
      <c r="BQ98" s="50"/>
      <c r="BR98" s="50"/>
      <c r="BS98" s="50"/>
      <c r="BT98" s="50"/>
      <c r="BU98" s="50"/>
      <c r="BV98" s="48" t="str">
        <f t="shared" si="28"/>
        <v/>
      </c>
      <c r="BW98" s="44"/>
      <c r="BX98" s="44"/>
      <c r="BY98" s="44"/>
      <c r="BZ98" s="44"/>
      <c r="CA98" s="44"/>
      <c r="CB98" s="44"/>
      <c r="CC98" s="55"/>
      <c r="CD98" s="48" t="str">
        <f t="shared" si="29"/>
        <v/>
      </c>
    </row>
    <row r="99" spans="1:82" ht="40" customHeight="1" x14ac:dyDescent="0.15">
      <c r="A99" s="68" t="s">
        <v>238</v>
      </c>
      <c r="B99" s="69"/>
      <c r="C99" s="70"/>
      <c r="D99" s="44"/>
      <c r="E99" s="44"/>
      <c r="F99" s="44"/>
      <c r="G99" s="44"/>
      <c r="H99" s="44"/>
      <c r="I99" s="44"/>
      <c r="J99" s="48" t="str">
        <f t="shared" si="20"/>
        <v/>
      </c>
      <c r="K99" s="44"/>
      <c r="L99" s="44"/>
      <c r="M99" s="44"/>
      <c r="N99" s="44"/>
      <c r="O99" s="44"/>
      <c r="P99" s="44"/>
      <c r="Q99" s="44"/>
      <c r="R99" s="48" t="str">
        <f t="shared" si="21"/>
        <v/>
      </c>
      <c r="S99" s="47"/>
      <c r="T99" s="47"/>
      <c r="U99" s="47"/>
      <c r="V99" s="47"/>
      <c r="W99" s="47"/>
      <c r="X99" s="47"/>
      <c r="Y99" s="47"/>
      <c r="Z99" s="48" t="str">
        <f t="shared" si="22"/>
        <v/>
      </c>
      <c r="AA99" s="44"/>
      <c r="AB99" s="44"/>
      <c r="AC99" s="44"/>
      <c r="AD99" s="44"/>
      <c r="AE99" s="44"/>
      <c r="AF99" s="44"/>
      <c r="AG99" s="44"/>
      <c r="AH99" s="48" t="str">
        <f t="shared" si="23"/>
        <v/>
      </c>
      <c r="AI99" s="44"/>
      <c r="AJ99" s="44"/>
      <c r="AK99" s="44"/>
      <c r="AL99" s="44"/>
      <c r="AM99" s="44"/>
      <c r="AN99" s="44"/>
      <c r="AO99" s="44"/>
      <c r="AP99" s="48" t="str">
        <f t="shared" si="24"/>
        <v/>
      </c>
      <c r="AQ99" s="44"/>
      <c r="AR99" s="44"/>
      <c r="AS99" s="44"/>
      <c r="AT99" s="44"/>
      <c r="AU99" s="44"/>
      <c r="AV99" s="44"/>
      <c r="AW99" s="44"/>
      <c r="AX99" s="48" t="str">
        <f t="shared" si="25"/>
        <v/>
      </c>
      <c r="AY99" s="50"/>
      <c r="AZ99" s="50"/>
      <c r="BA99" s="50"/>
      <c r="BB99" s="50"/>
      <c r="BC99" s="50"/>
      <c r="BD99" s="50"/>
      <c r="BE99" s="50"/>
      <c r="BF99" s="48" t="str">
        <f t="shared" si="26"/>
        <v/>
      </c>
      <c r="BG99" s="44"/>
      <c r="BH99" s="44"/>
      <c r="BI99" s="44"/>
      <c r="BJ99" s="44"/>
      <c r="BK99" s="44"/>
      <c r="BL99" s="44"/>
      <c r="BM99" s="44"/>
      <c r="BN99" s="48" t="str">
        <f t="shared" si="27"/>
        <v/>
      </c>
      <c r="BO99" s="50"/>
      <c r="BP99" s="50"/>
      <c r="BQ99" s="50"/>
      <c r="BR99" s="50"/>
      <c r="BS99" s="50"/>
      <c r="BT99" s="50"/>
      <c r="BU99" s="50"/>
      <c r="BV99" s="48" t="str">
        <f t="shared" si="28"/>
        <v/>
      </c>
      <c r="BW99" s="44"/>
      <c r="BX99" s="44"/>
      <c r="BY99" s="44"/>
      <c r="BZ99" s="44"/>
      <c r="CA99" s="44"/>
      <c r="CB99" s="44"/>
      <c r="CC99" s="55"/>
      <c r="CD99" s="48" t="str">
        <f t="shared" si="29"/>
        <v/>
      </c>
    </row>
    <row r="100" spans="1:82" ht="40" customHeight="1" x14ac:dyDescent="0.15">
      <c r="A100" s="71" t="s">
        <v>239</v>
      </c>
      <c r="B100" s="72" t="s">
        <v>240</v>
      </c>
      <c r="C100" s="186"/>
      <c r="D100" s="50"/>
      <c r="E100" s="50"/>
      <c r="F100" s="50"/>
      <c r="G100" s="50"/>
      <c r="H100" s="50"/>
      <c r="I100" s="50"/>
      <c r="J100" s="48" t="str">
        <f t="shared" si="20"/>
        <v/>
      </c>
      <c r="K100" s="50"/>
      <c r="L100" s="50"/>
      <c r="M100" s="50"/>
      <c r="N100" s="50"/>
      <c r="O100" s="50"/>
      <c r="P100" s="50"/>
      <c r="Q100" s="50"/>
      <c r="R100" s="48" t="str">
        <f t="shared" si="21"/>
        <v/>
      </c>
      <c r="S100" s="47"/>
      <c r="T100" s="47"/>
      <c r="U100" s="47"/>
      <c r="V100" s="47"/>
      <c r="W100" s="47"/>
      <c r="X100" s="47"/>
      <c r="Y100" s="47"/>
      <c r="Z100" s="48" t="str">
        <f t="shared" si="22"/>
        <v/>
      </c>
      <c r="AA100" s="50"/>
      <c r="AB100" s="50"/>
      <c r="AC100" s="50"/>
      <c r="AD100" s="50"/>
      <c r="AE100" s="50"/>
      <c r="AF100" s="50"/>
      <c r="AG100" s="50"/>
      <c r="AH100" s="48" t="str">
        <f t="shared" si="23"/>
        <v/>
      </c>
      <c r="AI100" s="50"/>
      <c r="AJ100" s="50"/>
      <c r="AK100" s="50"/>
      <c r="AL100" s="50"/>
      <c r="AM100" s="50"/>
      <c r="AN100" s="50"/>
      <c r="AO100" s="50"/>
      <c r="AP100" s="48" t="str">
        <f t="shared" si="24"/>
        <v/>
      </c>
      <c r="AQ100" s="50"/>
      <c r="AR100" s="50"/>
      <c r="AS100" s="50"/>
      <c r="AT100" s="50"/>
      <c r="AU100" s="50"/>
      <c r="AV100" s="50"/>
      <c r="AW100" s="50"/>
      <c r="AX100" s="48" t="str">
        <f t="shared" si="25"/>
        <v/>
      </c>
      <c r="AY100" s="50"/>
      <c r="AZ100" s="50"/>
      <c r="BA100" s="50"/>
      <c r="BB100" s="50"/>
      <c r="BC100" s="50"/>
      <c r="BD100" s="50"/>
      <c r="BE100" s="50"/>
      <c r="BF100" s="48" t="str">
        <f t="shared" si="26"/>
        <v/>
      </c>
      <c r="BG100" s="50"/>
      <c r="BH100" s="50"/>
      <c r="BI100" s="50"/>
      <c r="BJ100" s="50"/>
      <c r="BK100" s="50"/>
      <c r="BL100" s="50"/>
      <c r="BM100" s="50"/>
      <c r="BN100" s="48" t="str">
        <f t="shared" si="27"/>
        <v/>
      </c>
      <c r="BO100" s="50"/>
      <c r="BP100" s="50"/>
      <c r="BQ100" s="50"/>
      <c r="BR100" s="50"/>
      <c r="BS100" s="50"/>
      <c r="BT100" s="50"/>
      <c r="BU100" s="50"/>
      <c r="BV100" s="48" t="str">
        <f t="shared" si="28"/>
        <v/>
      </c>
      <c r="BW100" s="50"/>
      <c r="BX100" s="50"/>
      <c r="BY100" s="50"/>
      <c r="BZ100" s="50"/>
      <c r="CA100" s="50"/>
      <c r="CB100" s="50"/>
      <c r="CC100" s="75"/>
      <c r="CD100" s="48" t="str">
        <f t="shared" si="29"/>
        <v/>
      </c>
    </row>
    <row r="101" spans="1:82" ht="40" customHeight="1" x14ac:dyDescent="0.15">
      <c r="A101" s="73" t="s">
        <v>241</v>
      </c>
      <c r="B101" s="74" t="s">
        <v>242</v>
      </c>
      <c r="C101" s="186"/>
      <c r="D101" s="50"/>
      <c r="E101" s="50"/>
      <c r="F101" s="50"/>
      <c r="G101" s="50"/>
      <c r="H101" s="50"/>
      <c r="I101" s="50"/>
      <c r="J101" s="48" t="str">
        <f t="shared" si="20"/>
        <v/>
      </c>
      <c r="K101" s="50"/>
      <c r="L101" s="50"/>
      <c r="M101" s="50"/>
      <c r="N101" s="50"/>
      <c r="O101" s="50"/>
      <c r="P101" s="50"/>
      <c r="Q101" s="50"/>
      <c r="R101" s="48" t="str">
        <f t="shared" si="21"/>
        <v/>
      </c>
      <c r="S101" s="47"/>
      <c r="T101" s="47"/>
      <c r="U101" s="47"/>
      <c r="V101" s="47"/>
      <c r="W101" s="47"/>
      <c r="X101" s="47"/>
      <c r="Y101" s="47"/>
      <c r="Z101" s="48" t="str">
        <f t="shared" si="22"/>
        <v/>
      </c>
      <c r="AA101" s="50"/>
      <c r="AB101" s="50"/>
      <c r="AC101" s="50"/>
      <c r="AD101" s="50"/>
      <c r="AE101" s="50"/>
      <c r="AF101" s="50"/>
      <c r="AG101" s="50"/>
      <c r="AH101" s="48" t="str">
        <f t="shared" si="23"/>
        <v/>
      </c>
      <c r="AI101" s="50"/>
      <c r="AJ101" s="50"/>
      <c r="AK101" s="50"/>
      <c r="AL101" s="50"/>
      <c r="AM101" s="50"/>
      <c r="AN101" s="50"/>
      <c r="AO101" s="50"/>
      <c r="AP101" s="48" t="str">
        <f t="shared" si="24"/>
        <v/>
      </c>
      <c r="AQ101" s="50"/>
      <c r="AR101" s="50"/>
      <c r="AS101" s="50"/>
      <c r="AT101" s="50"/>
      <c r="AU101" s="50"/>
      <c r="AV101" s="50"/>
      <c r="AW101" s="50"/>
      <c r="AX101" s="48" t="str">
        <f t="shared" si="25"/>
        <v/>
      </c>
      <c r="AY101" s="50"/>
      <c r="AZ101" s="50"/>
      <c r="BA101" s="50"/>
      <c r="BB101" s="50"/>
      <c r="BC101" s="50"/>
      <c r="BD101" s="50"/>
      <c r="BE101" s="50"/>
      <c r="BF101" s="48" t="str">
        <f t="shared" si="26"/>
        <v/>
      </c>
      <c r="BG101" s="50"/>
      <c r="BH101" s="50"/>
      <c r="BI101" s="50"/>
      <c r="BJ101" s="50"/>
      <c r="BK101" s="50"/>
      <c r="BL101" s="50"/>
      <c r="BM101" s="50"/>
      <c r="BN101" s="48" t="str">
        <f t="shared" si="27"/>
        <v/>
      </c>
      <c r="BO101" s="50"/>
      <c r="BP101" s="50"/>
      <c r="BQ101" s="50"/>
      <c r="BR101" s="50"/>
      <c r="BS101" s="50"/>
      <c r="BT101" s="50"/>
      <c r="BU101" s="50"/>
      <c r="BV101" s="48" t="str">
        <f t="shared" si="28"/>
        <v/>
      </c>
      <c r="BW101" s="50"/>
      <c r="BX101" s="50"/>
      <c r="BY101" s="50"/>
      <c r="BZ101" s="50"/>
      <c r="CA101" s="50"/>
      <c r="CB101" s="50"/>
      <c r="CC101" s="75"/>
      <c r="CD101" s="48" t="str">
        <f t="shared" si="29"/>
        <v/>
      </c>
    </row>
    <row r="102" spans="1:82" ht="40" customHeight="1" x14ac:dyDescent="0.15">
      <c r="A102" s="71" t="s">
        <v>243</v>
      </c>
      <c r="B102" s="72" t="s">
        <v>244</v>
      </c>
      <c r="C102" s="186"/>
      <c r="D102" s="50"/>
      <c r="E102" s="50"/>
      <c r="F102" s="50"/>
      <c r="G102" s="50"/>
      <c r="H102" s="50"/>
      <c r="I102" s="50"/>
      <c r="J102" s="48" t="str">
        <f t="shared" si="20"/>
        <v/>
      </c>
      <c r="K102" s="50"/>
      <c r="L102" s="50"/>
      <c r="M102" s="50"/>
      <c r="N102" s="50"/>
      <c r="O102" s="50"/>
      <c r="P102" s="50"/>
      <c r="Q102" s="50"/>
      <c r="R102" s="48" t="str">
        <f t="shared" si="21"/>
        <v/>
      </c>
      <c r="S102" s="47"/>
      <c r="T102" s="47"/>
      <c r="U102" s="47"/>
      <c r="V102" s="47"/>
      <c r="W102" s="47"/>
      <c r="X102" s="47"/>
      <c r="Y102" s="47"/>
      <c r="Z102" s="48" t="str">
        <f t="shared" si="22"/>
        <v/>
      </c>
      <c r="AA102" s="50"/>
      <c r="AB102" s="50"/>
      <c r="AC102" s="50"/>
      <c r="AD102" s="50"/>
      <c r="AE102" s="50"/>
      <c r="AF102" s="50"/>
      <c r="AG102" s="50"/>
      <c r="AH102" s="48" t="str">
        <f t="shared" si="23"/>
        <v/>
      </c>
      <c r="AI102" s="50"/>
      <c r="AJ102" s="50"/>
      <c r="AK102" s="50"/>
      <c r="AL102" s="50"/>
      <c r="AM102" s="50"/>
      <c r="AN102" s="50"/>
      <c r="AO102" s="50"/>
      <c r="AP102" s="48" t="str">
        <f t="shared" si="24"/>
        <v/>
      </c>
      <c r="AQ102" s="50"/>
      <c r="AR102" s="50"/>
      <c r="AS102" s="50"/>
      <c r="AT102" s="50"/>
      <c r="AU102" s="50"/>
      <c r="AV102" s="50"/>
      <c r="AW102" s="50"/>
      <c r="AX102" s="48" t="str">
        <f t="shared" si="25"/>
        <v/>
      </c>
      <c r="AY102" s="50"/>
      <c r="AZ102" s="50"/>
      <c r="BA102" s="50"/>
      <c r="BB102" s="50"/>
      <c r="BC102" s="50"/>
      <c r="BD102" s="50"/>
      <c r="BE102" s="50"/>
      <c r="BF102" s="48" t="str">
        <f t="shared" si="26"/>
        <v/>
      </c>
      <c r="BG102" s="50"/>
      <c r="BH102" s="50"/>
      <c r="BI102" s="50"/>
      <c r="BJ102" s="50"/>
      <c r="BK102" s="50"/>
      <c r="BL102" s="50"/>
      <c r="BM102" s="50"/>
      <c r="BN102" s="48" t="str">
        <f t="shared" si="27"/>
        <v/>
      </c>
      <c r="BO102" s="50"/>
      <c r="BP102" s="50"/>
      <c r="BQ102" s="50"/>
      <c r="BR102" s="50"/>
      <c r="BS102" s="50"/>
      <c r="BT102" s="50"/>
      <c r="BU102" s="50"/>
      <c r="BV102" s="48" t="str">
        <f t="shared" si="28"/>
        <v/>
      </c>
      <c r="BW102" s="50"/>
      <c r="BX102" s="50"/>
      <c r="BY102" s="50"/>
      <c r="BZ102" s="50"/>
      <c r="CA102" s="50"/>
      <c r="CB102" s="50"/>
      <c r="CC102" s="75"/>
      <c r="CD102" s="48" t="str">
        <f t="shared" si="29"/>
        <v/>
      </c>
    </row>
    <row r="103" spans="1:82" ht="40" customHeight="1" x14ac:dyDescent="0.15">
      <c r="A103" s="73" t="s">
        <v>245</v>
      </c>
      <c r="B103" s="74" t="s">
        <v>246</v>
      </c>
      <c r="C103" s="186"/>
      <c r="D103" s="50"/>
      <c r="E103" s="50"/>
      <c r="F103" s="50"/>
      <c r="G103" s="50"/>
      <c r="H103" s="50"/>
      <c r="I103" s="50"/>
      <c r="J103" s="48" t="str">
        <f t="shared" si="20"/>
        <v/>
      </c>
      <c r="K103" s="50"/>
      <c r="L103" s="50"/>
      <c r="M103" s="50"/>
      <c r="N103" s="50"/>
      <c r="O103" s="50"/>
      <c r="P103" s="50"/>
      <c r="Q103" s="50"/>
      <c r="R103" s="48" t="str">
        <f t="shared" si="21"/>
        <v/>
      </c>
      <c r="S103" s="47"/>
      <c r="T103" s="47"/>
      <c r="U103" s="47"/>
      <c r="V103" s="47"/>
      <c r="W103" s="47"/>
      <c r="X103" s="47"/>
      <c r="Y103" s="47"/>
      <c r="Z103" s="48" t="str">
        <f t="shared" si="22"/>
        <v/>
      </c>
      <c r="AA103" s="50"/>
      <c r="AB103" s="50"/>
      <c r="AC103" s="50"/>
      <c r="AD103" s="50"/>
      <c r="AE103" s="50"/>
      <c r="AF103" s="50"/>
      <c r="AG103" s="50"/>
      <c r="AH103" s="48" t="str">
        <f t="shared" si="23"/>
        <v/>
      </c>
      <c r="AI103" s="50"/>
      <c r="AJ103" s="50"/>
      <c r="AK103" s="50"/>
      <c r="AL103" s="50"/>
      <c r="AM103" s="50"/>
      <c r="AN103" s="50"/>
      <c r="AO103" s="50"/>
      <c r="AP103" s="48" t="str">
        <f t="shared" si="24"/>
        <v/>
      </c>
      <c r="AQ103" s="50"/>
      <c r="AR103" s="50"/>
      <c r="AS103" s="50"/>
      <c r="AT103" s="50"/>
      <c r="AU103" s="50"/>
      <c r="AV103" s="50"/>
      <c r="AW103" s="50"/>
      <c r="AX103" s="48" t="str">
        <f t="shared" si="25"/>
        <v/>
      </c>
      <c r="AY103" s="50"/>
      <c r="AZ103" s="50"/>
      <c r="BA103" s="50"/>
      <c r="BB103" s="50"/>
      <c r="BC103" s="50"/>
      <c r="BD103" s="50"/>
      <c r="BE103" s="50"/>
      <c r="BF103" s="48" t="str">
        <f t="shared" si="26"/>
        <v/>
      </c>
      <c r="BG103" s="50"/>
      <c r="BH103" s="50"/>
      <c r="BI103" s="50"/>
      <c r="BJ103" s="50"/>
      <c r="BK103" s="50"/>
      <c r="BL103" s="50"/>
      <c r="BM103" s="50"/>
      <c r="BN103" s="48" t="str">
        <f t="shared" si="27"/>
        <v/>
      </c>
      <c r="BO103" s="50"/>
      <c r="BP103" s="50"/>
      <c r="BQ103" s="50"/>
      <c r="BR103" s="50"/>
      <c r="BS103" s="50"/>
      <c r="BT103" s="50"/>
      <c r="BU103" s="50"/>
      <c r="BV103" s="48" t="str">
        <f t="shared" si="28"/>
        <v/>
      </c>
      <c r="BW103" s="50"/>
      <c r="BX103" s="50"/>
      <c r="BY103" s="50"/>
      <c r="BZ103" s="50"/>
      <c r="CA103" s="50"/>
      <c r="CB103" s="50"/>
      <c r="CC103" s="75"/>
      <c r="CD103" s="48" t="str">
        <f t="shared" si="29"/>
        <v/>
      </c>
    </row>
    <row r="104" spans="1:82" ht="40" customHeight="1" x14ac:dyDescent="0.15">
      <c r="A104" s="73" t="s">
        <v>247</v>
      </c>
      <c r="B104" s="74" t="s">
        <v>248</v>
      </c>
      <c r="C104" s="186"/>
      <c r="D104" s="50"/>
      <c r="E104" s="50"/>
      <c r="F104" s="50"/>
      <c r="G104" s="50"/>
      <c r="H104" s="50"/>
      <c r="I104" s="50"/>
      <c r="J104" s="48" t="str">
        <f t="shared" ref="J104:J135" si="30">IFERROR((SUM(C104:I104)/SUM($C$6:$I$6))*100,"")</f>
        <v/>
      </c>
      <c r="K104" s="50"/>
      <c r="L104" s="50"/>
      <c r="M104" s="50"/>
      <c r="N104" s="50"/>
      <c r="O104" s="50"/>
      <c r="P104" s="50"/>
      <c r="Q104" s="50"/>
      <c r="R104" s="48" t="str">
        <f t="shared" ref="R104:R135" si="31">IFERROR((SUM(K104:Q104)/SUM($K$6:$Q$6))*100,"")</f>
        <v/>
      </c>
      <c r="S104" s="47"/>
      <c r="T104" s="47"/>
      <c r="U104" s="47"/>
      <c r="V104" s="47"/>
      <c r="W104" s="47"/>
      <c r="X104" s="47"/>
      <c r="Y104" s="47"/>
      <c r="Z104" s="48" t="str">
        <f t="shared" ref="Z104:Z135" si="32">IFERROR((SUM(S104:Y104)/SUM($S$6:$Y$6))*100,"")</f>
        <v/>
      </c>
      <c r="AA104" s="50"/>
      <c r="AB104" s="50"/>
      <c r="AC104" s="50"/>
      <c r="AD104" s="50"/>
      <c r="AE104" s="50"/>
      <c r="AF104" s="50"/>
      <c r="AG104" s="50"/>
      <c r="AH104" s="48" t="str">
        <f t="shared" ref="AH104:AH135" si="33">IFERROR((SUM(AA104:AG104)/SUM($AA$6:$AG$6))*100,"")</f>
        <v/>
      </c>
      <c r="AI104" s="50"/>
      <c r="AJ104" s="50"/>
      <c r="AK104" s="50"/>
      <c r="AL104" s="50"/>
      <c r="AM104" s="50"/>
      <c r="AN104" s="50"/>
      <c r="AO104" s="50"/>
      <c r="AP104" s="48" t="str">
        <f t="shared" ref="AP104:AP135" si="34">IFERROR((SUM(AI104:AO104)/SUM($AI$6:$AO$6))*100,"")</f>
        <v/>
      </c>
      <c r="AQ104" s="50"/>
      <c r="AR104" s="50"/>
      <c r="AS104" s="50"/>
      <c r="AT104" s="50"/>
      <c r="AU104" s="50"/>
      <c r="AV104" s="50"/>
      <c r="AW104" s="50"/>
      <c r="AX104" s="48" t="str">
        <f t="shared" ref="AX104:AX135" si="35">IFERROR((SUM(AQ104:AW104)/SUM($AQ$6:$AW$6))*100,"")</f>
        <v/>
      </c>
      <c r="AY104" s="50"/>
      <c r="AZ104" s="50"/>
      <c r="BA104" s="50"/>
      <c r="BB104" s="50"/>
      <c r="BC104" s="50"/>
      <c r="BD104" s="50"/>
      <c r="BE104" s="50"/>
      <c r="BF104" s="48" t="str">
        <f t="shared" ref="BF104:BF135" si="36">IFERROR((SUM(AY104:BE104)/SUM($AY$6:$BE$6))*100,"")</f>
        <v/>
      </c>
      <c r="BG104" s="50"/>
      <c r="BH104" s="50"/>
      <c r="BI104" s="50"/>
      <c r="BJ104" s="50"/>
      <c r="BK104" s="50"/>
      <c r="BL104" s="50"/>
      <c r="BM104" s="50"/>
      <c r="BN104" s="48" t="str">
        <f t="shared" ref="BN104:BN135" si="37">IFERROR((SUM(BG104:BM104)/SUM($BG$6:$BM$6))*100,"")</f>
        <v/>
      </c>
      <c r="BO104" s="50"/>
      <c r="BP104" s="50"/>
      <c r="BQ104" s="50"/>
      <c r="BR104" s="50"/>
      <c r="BS104" s="50"/>
      <c r="BT104" s="50"/>
      <c r="BU104" s="50"/>
      <c r="BV104" s="48" t="str">
        <f t="shared" ref="BV104:BV135" si="38">IFERROR((SUM(BO104:BU104)/SUM($BP$6:$BU$6))*100,"")</f>
        <v/>
      </c>
      <c r="BW104" s="50"/>
      <c r="BX104" s="50"/>
      <c r="BY104" s="50"/>
      <c r="BZ104" s="50"/>
      <c r="CA104" s="50"/>
      <c r="CB104" s="50"/>
      <c r="CC104" s="75"/>
      <c r="CD104" s="48" t="str">
        <f t="shared" ref="CD104:CD135" si="39">IFERROR((SUM(BW104:CC104)/SUM($BW$6:$CC$6))*100,"")</f>
        <v/>
      </c>
    </row>
    <row r="105" spans="1:82" ht="40" customHeight="1" x14ac:dyDescent="0.15">
      <c r="A105" s="68" t="s">
        <v>249</v>
      </c>
      <c r="B105" s="69" t="s">
        <v>250</v>
      </c>
      <c r="C105" s="186"/>
      <c r="D105" s="50"/>
      <c r="E105" s="50"/>
      <c r="F105" s="50"/>
      <c r="G105" s="50"/>
      <c r="H105" s="50"/>
      <c r="I105" s="50"/>
      <c r="J105" s="48" t="str">
        <f t="shared" si="30"/>
        <v/>
      </c>
      <c r="K105" s="50"/>
      <c r="L105" s="50"/>
      <c r="M105" s="50"/>
      <c r="N105" s="50"/>
      <c r="O105" s="50"/>
      <c r="P105" s="50"/>
      <c r="Q105" s="50"/>
      <c r="R105" s="48" t="str">
        <f t="shared" si="31"/>
        <v/>
      </c>
      <c r="S105" s="47"/>
      <c r="T105" s="47"/>
      <c r="U105" s="47"/>
      <c r="V105" s="47"/>
      <c r="W105" s="47"/>
      <c r="X105" s="47"/>
      <c r="Y105" s="47"/>
      <c r="Z105" s="48" t="str">
        <f t="shared" si="32"/>
        <v/>
      </c>
      <c r="AA105" s="50"/>
      <c r="AB105" s="50"/>
      <c r="AC105" s="50"/>
      <c r="AD105" s="50"/>
      <c r="AE105" s="50"/>
      <c r="AF105" s="50"/>
      <c r="AG105" s="50"/>
      <c r="AH105" s="48" t="str">
        <f t="shared" si="33"/>
        <v/>
      </c>
      <c r="AI105" s="50"/>
      <c r="AJ105" s="50"/>
      <c r="AK105" s="50"/>
      <c r="AL105" s="50"/>
      <c r="AM105" s="50"/>
      <c r="AN105" s="50"/>
      <c r="AO105" s="50"/>
      <c r="AP105" s="48" t="str">
        <f t="shared" si="34"/>
        <v/>
      </c>
      <c r="AQ105" s="50"/>
      <c r="AR105" s="50"/>
      <c r="AS105" s="50"/>
      <c r="AT105" s="50"/>
      <c r="AU105" s="50"/>
      <c r="AV105" s="50"/>
      <c r="AW105" s="50"/>
      <c r="AX105" s="48" t="str">
        <f t="shared" si="35"/>
        <v/>
      </c>
      <c r="AY105" s="50"/>
      <c r="AZ105" s="50"/>
      <c r="BA105" s="50"/>
      <c r="BB105" s="50"/>
      <c r="BC105" s="50"/>
      <c r="BD105" s="50"/>
      <c r="BE105" s="50"/>
      <c r="BF105" s="48" t="str">
        <f t="shared" si="36"/>
        <v/>
      </c>
      <c r="BG105" s="50"/>
      <c r="BH105" s="50"/>
      <c r="BI105" s="50"/>
      <c r="BJ105" s="50"/>
      <c r="BK105" s="50"/>
      <c r="BL105" s="50"/>
      <c r="BM105" s="50"/>
      <c r="BN105" s="48" t="str">
        <f t="shared" si="37"/>
        <v/>
      </c>
      <c r="BO105" s="50"/>
      <c r="BP105" s="50"/>
      <c r="BQ105" s="50"/>
      <c r="BR105" s="50"/>
      <c r="BS105" s="50"/>
      <c r="BT105" s="50"/>
      <c r="BU105" s="50"/>
      <c r="BV105" s="48" t="str">
        <f t="shared" si="38"/>
        <v/>
      </c>
      <c r="BW105" s="50"/>
      <c r="BX105" s="50"/>
      <c r="BY105" s="50"/>
      <c r="BZ105" s="50"/>
      <c r="CA105" s="50"/>
      <c r="CB105" s="50"/>
      <c r="CC105" s="75"/>
      <c r="CD105" s="48" t="str">
        <f t="shared" si="39"/>
        <v/>
      </c>
    </row>
    <row r="106" spans="1:82" ht="40" customHeight="1" x14ac:dyDescent="0.15">
      <c r="A106" s="71" t="s">
        <v>251</v>
      </c>
      <c r="B106" s="72" t="s">
        <v>252</v>
      </c>
      <c r="C106" s="186"/>
      <c r="D106" s="50"/>
      <c r="E106" s="50"/>
      <c r="F106" s="50"/>
      <c r="G106" s="50"/>
      <c r="H106" s="50"/>
      <c r="I106" s="50"/>
      <c r="J106" s="48" t="str">
        <f t="shared" si="30"/>
        <v/>
      </c>
      <c r="K106" s="50"/>
      <c r="L106" s="50"/>
      <c r="M106" s="50"/>
      <c r="N106" s="50"/>
      <c r="O106" s="50"/>
      <c r="P106" s="50"/>
      <c r="Q106" s="50"/>
      <c r="R106" s="48" t="str">
        <f t="shared" si="31"/>
        <v/>
      </c>
      <c r="S106" s="47"/>
      <c r="T106" s="47"/>
      <c r="U106" s="47"/>
      <c r="V106" s="47"/>
      <c r="W106" s="47"/>
      <c r="X106" s="47"/>
      <c r="Y106" s="47"/>
      <c r="Z106" s="48" t="str">
        <f t="shared" si="32"/>
        <v/>
      </c>
      <c r="AA106" s="50"/>
      <c r="AB106" s="50"/>
      <c r="AC106" s="50"/>
      <c r="AD106" s="50"/>
      <c r="AE106" s="50"/>
      <c r="AF106" s="50"/>
      <c r="AG106" s="50"/>
      <c r="AH106" s="48" t="str">
        <f t="shared" si="33"/>
        <v/>
      </c>
      <c r="AI106" s="50"/>
      <c r="AJ106" s="50"/>
      <c r="AK106" s="50"/>
      <c r="AL106" s="50"/>
      <c r="AM106" s="50"/>
      <c r="AN106" s="50"/>
      <c r="AO106" s="50"/>
      <c r="AP106" s="48" t="str">
        <f t="shared" si="34"/>
        <v/>
      </c>
      <c r="AQ106" s="50"/>
      <c r="AR106" s="50"/>
      <c r="AS106" s="50"/>
      <c r="AT106" s="50"/>
      <c r="AU106" s="50"/>
      <c r="AV106" s="50"/>
      <c r="AW106" s="50"/>
      <c r="AX106" s="48" t="str">
        <f t="shared" si="35"/>
        <v/>
      </c>
      <c r="AY106" s="50"/>
      <c r="AZ106" s="50"/>
      <c r="BA106" s="50"/>
      <c r="BB106" s="50"/>
      <c r="BC106" s="50"/>
      <c r="BD106" s="50"/>
      <c r="BE106" s="50"/>
      <c r="BF106" s="48" t="str">
        <f t="shared" si="36"/>
        <v/>
      </c>
      <c r="BG106" s="50"/>
      <c r="BH106" s="50"/>
      <c r="BI106" s="50"/>
      <c r="BJ106" s="50"/>
      <c r="BK106" s="50"/>
      <c r="BL106" s="50"/>
      <c r="BM106" s="50"/>
      <c r="BN106" s="48" t="str">
        <f t="shared" si="37"/>
        <v/>
      </c>
      <c r="BO106" s="50"/>
      <c r="BP106" s="50"/>
      <c r="BQ106" s="50"/>
      <c r="BR106" s="50"/>
      <c r="BS106" s="50"/>
      <c r="BT106" s="50"/>
      <c r="BU106" s="50"/>
      <c r="BV106" s="48" t="str">
        <f t="shared" si="38"/>
        <v/>
      </c>
      <c r="BW106" s="50"/>
      <c r="BX106" s="50"/>
      <c r="BY106" s="50"/>
      <c r="BZ106" s="50"/>
      <c r="CA106" s="50"/>
      <c r="CB106" s="50"/>
      <c r="CC106" s="75"/>
      <c r="CD106" s="48" t="str">
        <f t="shared" si="39"/>
        <v/>
      </c>
    </row>
    <row r="107" spans="1:82" ht="40" customHeight="1" x14ac:dyDescent="0.15">
      <c r="A107" s="68" t="s">
        <v>253</v>
      </c>
      <c r="B107" s="69"/>
      <c r="C107" s="186"/>
      <c r="D107" s="50"/>
      <c r="E107" s="50"/>
      <c r="F107" s="50"/>
      <c r="G107" s="50"/>
      <c r="H107" s="50"/>
      <c r="I107" s="50"/>
      <c r="J107" s="48" t="str">
        <f t="shared" si="30"/>
        <v/>
      </c>
      <c r="K107" s="50"/>
      <c r="L107" s="50"/>
      <c r="M107" s="50"/>
      <c r="N107" s="50"/>
      <c r="O107" s="50"/>
      <c r="P107" s="50"/>
      <c r="Q107" s="50"/>
      <c r="R107" s="48" t="str">
        <f t="shared" si="31"/>
        <v/>
      </c>
      <c r="S107" s="47"/>
      <c r="T107" s="47"/>
      <c r="U107" s="47"/>
      <c r="V107" s="47"/>
      <c r="W107" s="47"/>
      <c r="X107" s="47"/>
      <c r="Y107" s="47"/>
      <c r="Z107" s="48" t="str">
        <f t="shared" si="32"/>
        <v/>
      </c>
      <c r="AA107" s="50"/>
      <c r="AB107" s="50"/>
      <c r="AC107" s="50"/>
      <c r="AD107" s="50"/>
      <c r="AE107" s="50"/>
      <c r="AF107" s="50"/>
      <c r="AG107" s="50"/>
      <c r="AH107" s="48" t="str">
        <f t="shared" si="33"/>
        <v/>
      </c>
      <c r="AI107" s="50"/>
      <c r="AJ107" s="50"/>
      <c r="AK107" s="50"/>
      <c r="AL107" s="50"/>
      <c r="AM107" s="50"/>
      <c r="AN107" s="50"/>
      <c r="AO107" s="50"/>
      <c r="AP107" s="48" t="str">
        <f t="shared" si="34"/>
        <v/>
      </c>
      <c r="AQ107" s="50"/>
      <c r="AR107" s="50"/>
      <c r="AS107" s="50"/>
      <c r="AT107" s="50"/>
      <c r="AU107" s="50"/>
      <c r="AV107" s="50"/>
      <c r="AW107" s="50"/>
      <c r="AX107" s="48" t="str">
        <f t="shared" si="35"/>
        <v/>
      </c>
      <c r="AY107" s="50"/>
      <c r="AZ107" s="50"/>
      <c r="BA107" s="50"/>
      <c r="BB107" s="50"/>
      <c r="BC107" s="50"/>
      <c r="BD107" s="50"/>
      <c r="BE107" s="50"/>
      <c r="BF107" s="48" t="str">
        <f t="shared" si="36"/>
        <v/>
      </c>
      <c r="BG107" s="50"/>
      <c r="BH107" s="50"/>
      <c r="BI107" s="50"/>
      <c r="BJ107" s="50"/>
      <c r="BK107" s="50"/>
      <c r="BL107" s="50"/>
      <c r="BM107" s="50"/>
      <c r="BN107" s="48" t="str">
        <f t="shared" si="37"/>
        <v/>
      </c>
      <c r="BO107" s="50"/>
      <c r="BP107" s="50"/>
      <c r="BQ107" s="50"/>
      <c r="BR107" s="50"/>
      <c r="BS107" s="50"/>
      <c r="BT107" s="50"/>
      <c r="BU107" s="50"/>
      <c r="BV107" s="48" t="str">
        <f t="shared" si="38"/>
        <v/>
      </c>
      <c r="BW107" s="50"/>
      <c r="BX107" s="50"/>
      <c r="BY107" s="50"/>
      <c r="BZ107" s="50"/>
      <c r="CA107" s="50"/>
      <c r="CB107" s="50"/>
      <c r="CC107" s="75"/>
      <c r="CD107" s="48" t="str">
        <f t="shared" si="39"/>
        <v/>
      </c>
    </row>
    <row r="108" spans="1:82" ht="40" customHeight="1" x14ac:dyDescent="0.15">
      <c r="A108" s="71" t="s">
        <v>254</v>
      </c>
      <c r="B108" s="72" t="s">
        <v>255</v>
      </c>
      <c r="C108" s="186"/>
      <c r="D108" s="50"/>
      <c r="E108" s="50"/>
      <c r="F108" s="50"/>
      <c r="G108" s="50"/>
      <c r="H108" s="50"/>
      <c r="I108" s="50"/>
      <c r="J108" s="48" t="str">
        <f t="shared" si="30"/>
        <v/>
      </c>
      <c r="K108" s="50"/>
      <c r="L108" s="50"/>
      <c r="M108" s="50"/>
      <c r="N108" s="50"/>
      <c r="O108" s="50"/>
      <c r="P108" s="50"/>
      <c r="Q108" s="50"/>
      <c r="R108" s="48" t="str">
        <f t="shared" si="31"/>
        <v/>
      </c>
      <c r="S108" s="47"/>
      <c r="T108" s="47"/>
      <c r="U108" s="47"/>
      <c r="V108" s="47"/>
      <c r="W108" s="47"/>
      <c r="X108" s="47"/>
      <c r="Y108" s="47"/>
      <c r="Z108" s="48" t="str">
        <f t="shared" si="32"/>
        <v/>
      </c>
      <c r="AA108" s="50"/>
      <c r="AB108" s="50"/>
      <c r="AC108" s="50"/>
      <c r="AD108" s="50"/>
      <c r="AE108" s="50"/>
      <c r="AF108" s="50"/>
      <c r="AG108" s="50"/>
      <c r="AH108" s="48" t="str">
        <f t="shared" si="33"/>
        <v/>
      </c>
      <c r="AI108" s="50"/>
      <c r="AJ108" s="50"/>
      <c r="AK108" s="50"/>
      <c r="AL108" s="50"/>
      <c r="AM108" s="50"/>
      <c r="AN108" s="50"/>
      <c r="AO108" s="50"/>
      <c r="AP108" s="48" t="str">
        <f t="shared" si="34"/>
        <v/>
      </c>
      <c r="AQ108" s="50"/>
      <c r="AR108" s="50"/>
      <c r="AS108" s="50"/>
      <c r="AT108" s="50"/>
      <c r="AU108" s="50"/>
      <c r="AV108" s="50"/>
      <c r="AW108" s="50"/>
      <c r="AX108" s="48" t="str">
        <f t="shared" si="35"/>
        <v/>
      </c>
      <c r="AY108" s="50"/>
      <c r="AZ108" s="50"/>
      <c r="BA108" s="50"/>
      <c r="BB108" s="50"/>
      <c r="BC108" s="50"/>
      <c r="BD108" s="50"/>
      <c r="BE108" s="50"/>
      <c r="BF108" s="48" t="str">
        <f t="shared" si="36"/>
        <v/>
      </c>
      <c r="BG108" s="50"/>
      <c r="BH108" s="50"/>
      <c r="BI108" s="50"/>
      <c r="BJ108" s="50"/>
      <c r="BK108" s="50"/>
      <c r="BL108" s="50"/>
      <c r="BM108" s="50"/>
      <c r="BN108" s="48" t="str">
        <f t="shared" si="37"/>
        <v/>
      </c>
      <c r="BO108" s="50"/>
      <c r="BP108" s="50"/>
      <c r="BQ108" s="50"/>
      <c r="BR108" s="50"/>
      <c r="BS108" s="50"/>
      <c r="BT108" s="50"/>
      <c r="BU108" s="50"/>
      <c r="BV108" s="48" t="str">
        <f t="shared" si="38"/>
        <v/>
      </c>
      <c r="BW108" s="50"/>
      <c r="BX108" s="50"/>
      <c r="BY108" s="50"/>
      <c r="BZ108" s="50"/>
      <c r="CA108" s="50"/>
      <c r="CB108" s="50"/>
      <c r="CC108" s="75"/>
      <c r="CD108" s="48" t="str">
        <f t="shared" si="39"/>
        <v/>
      </c>
    </row>
    <row r="109" spans="1:82" ht="40" customHeight="1" x14ac:dyDescent="0.15">
      <c r="A109" s="73"/>
      <c r="B109" s="74"/>
      <c r="C109" s="186"/>
      <c r="D109" s="50"/>
      <c r="E109" s="50"/>
      <c r="F109" s="50"/>
      <c r="G109" s="50"/>
      <c r="H109" s="50"/>
      <c r="I109" s="50"/>
      <c r="J109" s="48" t="str">
        <f t="shared" si="30"/>
        <v/>
      </c>
      <c r="K109" s="50"/>
      <c r="L109" s="50"/>
      <c r="M109" s="50"/>
      <c r="N109" s="50"/>
      <c r="O109" s="50"/>
      <c r="P109" s="50"/>
      <c r="Q109" s="50"/>
      <c r="R109" s="48" t="str">
        <f t="shared" si="31"/>
        <v/>
      </c>
      <c r="S109" s="47"/>
      <c r="T109" s="47"/>
      <c r="U109" s="47"/>
      <c r="V109" s="47"/>
      <c r="W109" s="47"/>
      <c r="X109" s="47"/>
      <c r="Y109" s="47"/>
      <c r="Z109" s="48" t="str">
        <f t="shared" si="32"/>
        <v/>
      </c>
      <c r="AA109" s="50"/>
      <c r="AB109" s="50"/>
      <c r="AC109" s="50"/>
      <c r="AD109" s="50"/>
      <c r="AE109" s="50"/>
      <c r="AF109" s="50"/>
      <c r="AG109" s="50"/>
      <c r="AH109" s="48" t="str">
        <f t="shared" si="33"/>
        <v/>
      </c>
      <c r="AI109" s="50"/>
      <c r="AJ109" s="50"/>
      <c r="AK109" s="50"/>
      <c r="AL109" s="50"/>
      <c r="AM109" s="50"/>
      <c r="AN109" s="50"/>
      <c r="AO109" s="50"/>
      <c r="AP109" s="48" t="str">
        <f t="shared" si="34"/>
        <v/>
      </c>
      <c r="AQ109" s="50"/>
      <c r="AR109" s="50"/>
      <c r="AS109" s="50"/>
      <c r="AT109" s="50"/>
      <c r="AU109" s="50"/>
      <c r="AV109" s="50"/>
      <c r="AW109" s="50"/>
      <c r="AX109" s="48" t="str">
        <f t="shared" si="35"/>
        <v/>
      </c>
      <c r="AY109" s="50"/>
      <c r="AZ109" s="50"/>
      <c r="BA109" s="50"/>
      <c r="BB109" s="50"/>
      <c r="BC109" s="50"/>
      <c r="BD109" s="50"/>
      <c r="BE109" s="50"/>
      <c r="BF109" s="48" t="str">
        <f t="shared" si="36"/>
        <v/>
      </c>
      <c r="BG109" s="50"/>
      <c r="BH109" s="50"/>
      <c r="BI109" s="50"/>
      <c r="BJ109" s="50"/>
      <c r="BK109" s="50"/>
      <c r="BL109" s="50"/>
      <c r="BM109" s="50"/>
      <c r="BN109" s="48" t="str">
        <f t="shared" si="37"/>
        <v/>
      </c>
      <c r="BO109" s="50"/>
      <c r="BP109" s="50"/>
      <c r="BQ109" s="50"/>
      <c r="BR109" s="50"/>
      <c r="BS109" s="50"/>
      <c r="BT109" s="50"/>
      <c r="BU109" s="50"/>
      <c r="BV109" s="48" t="str">
        <f t="shared" si="38"/>
        <v/>
      </c>
      <c r="BW109" s="50"/>
      <c r="BX109" s="50"/>
      <c r="BY109" s="50"/>
      <c r="BZ109" s="50"/>
      <c r="CA109" s="50"/>
      <c r="CB109" s="50"/>
      <c r="CC109" s="75"/>
      <c r="CD109" s="48" t="str">
        <f t="shared" si="39"/>
        <v/>
      </c>
    </row>
    <row r="110" spans="1:82" ht="40" customHeight="1" x14ac:dyDescent="0.15">
      <c r="A110" s="76"/>
      <c r="B110" s="77"/>
      <c r="C110" s="187"/>
      <c r="D110" s="78"/>
      <c r="E110" s="78"/>
      <c r="F110" s="78"/>
      <c r="G110" s="78"/>
      <c r="H110" s="78"/>
      <c r="I110" s="78"/>
      <c r="J110" s="48" t="str">
        <f t="shared" si="30"/>
        <v/>
      </c>
      <c r="K110" s="78"/>
      <c r="L110" s="78"/>
      <c r="M110" s="78"/>
      <c r="N110" s="78"/>
      <c r="O110" s="78"/>
      <c r="P110" s="78"/>
      <c r="Q110" s="78"/>
      <c r="R110" s="48" t="str">
        <f t="shared" si="31"/>
        <v/>
      </c>
      <c r="S110" s="47"/>
      <c r="T110" s="47"/>
      <c r="U110" s="47"/>
      <c r="V110" s="47"/>
      <c r="W110" s="47"/>
      <c r="X110" s="47"/>
      <c r="Y110" s="47"/>
      <c r="Z110" s="48" t="str">
        <f t="shared" si="32"/>
        <v/>
      </c>
      <c r="AA110" s="78"/>
      <c r="AB110" s="78"/>
      <c r="AC110" s="78"/>
      <c r="AD110" s="78"/>
      <c r="AE110" s="78"/>
      <c r="AF110" s="78"/>
      <c r="AG110" s="78"/>
      <c r="AH110" s="48" t="str">
        <f t="shared" si="33"/>
        <v/>
      </c>
      <c r="AI110" s="78"/>
      <c r="AJ110" s="78"/>
      <c r="AK110" s="78"/>
      <c r="AL110" s="78"/>
      <c r="AM110" s="78"/>
      <c r="AN110" s="78"/>
      <c r="AO110" s="78"/>
      <c r="AP110" s="48" t="str">
        <f t="shared" si="34"/>
        <v/>
      </c>
      <c r="AQ110" s="78"/>
      <c r="AR110" s="78"/>
      <c r="AS110" s="78"/>
      <c r="AT110" s="78"/>
      <c r="AU110" s="78"/>
      <c r="AV110" s="78"/>
      <c r="AW110" s="78"/>
      <c r="AX110" s="48" t="str">
        <f t="shared" si="35"/>
        <v/>
      </c>
      <c r="AY110" s="78"/>
      <c r="AZ110" s="78"/>
      <c r="BA110" s="78"/>
      <c r="BB110" s="78"/>
      <c r="BC110" s="78"/>
      <c r="BD110" s="78"/>
      <c r="BE110" s="78"/>
      <c r="BF110" s="48" t="str">
        <f t="shared" si="36"/>
        <v/>
      </c>
      <c r="BG110" s="78"/>
      <c r="BH110" s="78"/>
      <c r="BI110" s="78"/>
      <c r="BJ110" s="78"/>
      <c r="BK110" s="78"/>
      <c r="BL110" s="78"/>
      <c r="BM110" s="78"/>
      <c r="BN110" s="48" t="str">
        <f t="shared" si="37"/>
        <v/>
      </c>
      <c r="BO110" s="78"/>
      <c r="BP110" s="78"/>
      <c r="BQ110" s="78"/>
      <c r="BR110" s="78"/>
      <c r="BS110" s="78"/>
      <c r="BT110" s="78"/>
      <c r="BU110" s="78"/>
      <c r="BV110" s="48" t="str">
        <f t="shared" si="38"/>
        <v/>
      </c>
      <c r="BW110" s="78"/>
      <c r="BX110" s="78"/>
      <c r="BY110" s="78"/>
      <c r="BZ110" s="78"/>
      <c r="CA110" s="78"/>
      <c r="CB110" s="78"/>
      <c r="CC110" s="47"/>
      <c r="CD110" s="48" t="str">
        <f t="shared" si="39"/>
        <v/>
      </c>
    </row>
    <row r="111" spans="1:82" ht="40" customHeight="1" x14ac:dyDescent="0.15">
      <c r="A111" s="79"/>
      <c r="B111" s="56" t="s">
        <v>292</v>
      </c>
      <c r="C111" s="57" t="str">
        <f t="shared" ref="C111:I111" si="40">IFERROR((SUM(C8:C110)/C6)*100,"")</f>
        <v/>
      </c>
      <c r="D111" s="57" t="str">
        <f t="shared" si="40"/>
        <v/>
      </c>
      <c r="E111" s="57" t="str">
        <f t="shared" si="40"/>
        <v/>
      </c>
      <c r="F111" s="57" t="str">
        <f t="shared" si="40"/>
        <v/>
      </c>
      <c r="G111" s="57" t="str">
        <f t="shared" si="40"/>
        <v/>
      </c>
      <c r="H111" s="57" t="str">
        <f t="shared" si="40"/>
        <v/>
      </c>
      <c r="I111" s="57" t="str">
        <f t="shared" si="40"/>
        <v/>
      </c>
      <c r="J111" s="48" t="s">
        <v>293</v>
      </c>
      <c r="K111" s="57" t="str">
        <f t="shared" ref="K111:Q111" si="41">IFERROR((SUM(K8:K110)/K6)*100,"")</f>
        <v/>
      </c>
      <c r="L111" s="57" t="str">
        <f t="shared" si="41"/>
        <v/>
      </c>
      <c r="M111" s="57" t="str">
        <f t="shared" si="41"/>
        <v/>
      </c>
      <c r="N111" s="57" t="str">
        <f t="shared" si="41"/>
        <v/>
      </c>
      <c r="O111" s="57" t="str">
        <f t="shared" si="41"/>
        <v/>
      </c>
      <c r="P111" s="57" t="str">
        <f t="shared" si="41"/>
        <v/>
      </c>
      <c r="Q111" s="57" t="str">
        <f t="shared" si="41"/>
        <v/>
      </c>
      <c r="R111" s="48" t="s">
        <v>293</v>
      </c>
      <c r="S111" s="57" t="str">
        <f t="shared" ref="S111:Y111" si="42">IFERROR((SUM(S8:S110)/S6)*100,"")</f>
        <v/>
      </c>
      <c r="T111" s="57" t="str">
        <f t="shared" si="42"/>
        <v/>
      </c>
      <c r="U111" s="57" t="str">
        <f t="shared" si="42"/>
        <v/>
      </c>
      <c r="V111" s="57" t="str">
        <f t="shared" si="42"/>
        <v/>
      </c>
      <c r="W111" s="57" t="str">
        <f t="shared" si="42"/>
        <v/>
      </c>
      <c r="X111" s="57" t="str">
        <f t="shared" si="42"/>
        <v/>
      </c>
      <c r="Y111" s="57" t="str">
        <f t="shared" si="42"/>
        <v/>
      </c>
      <c r="Z111" s="48" t="s">
        <v>293</v>
      </c>
      <c r="AA111" s="57" t="str">
        <f t="shared" ref="AA111:AG111" si="43">IFERROR((SUM(AA8:AA110)/AA6)*100,"")</f>
        <v/>
      </c>
      <c r="AB111" s="57" t="str">
        <f t="shared" si="43"/>
        <v/>
      </c>
      <c r="AC111" s="57" t="str">
        <f t="shared" si="43"/>
        <v/>
      </c>
      <c r="AD111" s="57" t="str">
        <f t="shared" si="43"/>
        <v/>
      </c>
      <c r="AE111" s="57" t="str">
        <f t="shared" si="43"/>
        <v/>
      </c>
      <c r="AF111" s="57" t="str">
        <f t="shared" si="43"/>
        <v/>
      </c>
      <c r="AG111" s="57" t="str">
        <f t="shared" si="43"/>
        <v/>
      </c>
      <c r="AH111" s="48" t="s">
        <v>293</v>
      </c>
      <c r="AI111" s="57" t="str">
        <f t="shared" ref="AI111:AO111" si="44">IFERROR((SUM(AI8:AI110)/AI6)*100,"")</f>
        <v/>
      </c>
      <c r="AJ111" s="57" t="str">
        <f t="shared" si="44"/>
        <v/>
      </c>
      <c r="AK111" s="57" t="str">
        <f t="shared" si="44"/>
        <v/>
      </c>
      <c r="AL111" s="57" t="str">
        <f t="shared" si="44"/>
        <v/>
      </c>
      <c r="AM111" s="57" t="str">
        <f t="shared" si="44"/>
        <v/>
      </c>
      <c r="AN111" s="57" t="str">
        <f t="shared" si="44"/>
        <v/>
      </c>
      <c r="AO111" s="57" t="str">
        <f t="shared" si="44"/>
        <v/>
      </c>
      <c r="AP111" s="48" t="s">
        <v>293</v>
      </c>
      <c r="AQ111" s="57" t="str">
        <f t="shared" ref="AQ111:AW111" si="45">IFERROR((SUM(AQ8:AQ110)/AQ6)*100,"")</f>
        <v/>
      </c>
      <c r="AR111" s="57" t="str">
        <f t="shared" si="45"/>
        <v/>
      </c>
      <c r="AS111" s="57" t="str">
        <f t="shared" si="45"/>
        <v/>
      </c>
      <c r="AT111" s="57" t="str">
        <f t="shared" si="45"/>
        <v/>
      </c>
      <c r="AU111" s="57" t="str">
        <f t="shared" si="45"/>
        <v/>
      </c>
      <c r="AV111" s="57" t="str">
        <f t="shared" si="45"/>
        <v/>
      </c>
      <c r="AW111" s="57" t="str">
        <f t="shared" si="45"/>
        <v/>
      </c>
      <c r="AX111" s="48" t="s">
        <v>293</v>
      </c>
      <c r="AY111" s="57" t="str">
        <f t="shared" ref="AY111:BE111" si="46">IFERROR((SUM(AY8:AY110)/AY6)*100,"")</f>
        <v/>
      </c>
      <c r="AZ111" s="57" t="str">
        <f t="shared" si="46"/>
        <v/>
      </c>
      <c r="BA111" s="57" t="str">
        <f t="shared" si="46"/>
        <v/>
      </c>
      <c r="BB111" s="57" t="str">
        <f t="shared" si="46"/>
        <v/>
      </c>
      <c r="BC111" s="57" t="str">
        <f t="shared" si="46"/>
        <v/>
      </c>
      <c r="BD111" s="57" t="str">
        <f t="shared" si="46"/>
        <v/>
      </c>
      <c r="BE111" s="57" t="str">
        <f t="shared" si="46"/>
        <v/>
      </c>
      <c r="BF111" s="48" t="s">
        <v>293</v>
      </c>
      <c r="BG111" s="57" t="str">
        <f t="shared" ref="BG111:BM111" si="47">IFERROR((SUM(BG8:BG110)/BG6)*100,"")</f>
        <v/>
      </c>
      <c r="BH111" s="57" t="str">
        <f t="shared" si="47"/>
        <v/>
      </c>
      <c r="BI111" s="57" t="str">
        <f t="shared" si="47"/>
        <v/>
      </c>
      <c r="BJ111" s="57" t="str">
        <f t="shared" si="47"/>
        <v/>
      </c>
      <c r="BK111" s="57" t="str">
        <f t="shared" si="47"/>
        <v/>
      </c>
      <c r="BL111" s="57" t="str">
        <f t="shared" si="47"/>
        <v/>
      </c>
      <c r="BM111" s="57" t="str">
        <f t="shared" si="47"/>
        <v/>
      </c>
      <c r="BN111" s="48" t="s">
        <v>293</v>
      </c>
      <c r="BO111" s="57" t="str">
        <f t="shared" ref="BO111:BU111" si="48">IFERROR((SUM(BO8:BO110)/BO6)*100,"")</f>
        <v/>
      </c>
      <c r="BP111" s="57" t="str">
        <f t="shared" si="48"/>
        <v/>
      </c>
      <c r="BQ111" s="57" t="str">
        <f t="shared" si="48"/>
        <v/>
      </c>
      <c r="BR111" s="57" t="str">
        <f t="shared" si="48"/>
        <v/>
      </c>
      <c r="BS111" s="57" t="str">
        <f t="shared" si="48"/>
        <v/>
      </c>
      <c r="BT111" s="57" t="str">
        <f t="shared" si="48"/>
        <v/>
      </c>
      <c r="BU111" s="57" t="str">
        <f t="shared" si="48"/>
        <v/>
      </c>
      <c r="BV111" s="48" t="s">
        <v>293</v>
      </c>
      <c r="BW111" s="57" t="str">
        <f t="shared" ref="BW111:CC111" si="49">IFERROR((SUM(BW8:BW110)/BW6)*100,"")</f>
        <v/>
      </c>
      <c r="BX111" s="57" t="str">
        <f t="shared" si="49"/>
        <v/>
      </c>
      <c r="BY111" s="57" t="str">
        <f t="shared" si="49"/>
        <v/>
      </c>
      <c r="BZ111" s="57" t="str">
        <f t="shared" si="49"/>
        <v/>
      </c>
      <c r="CA111" s="57" t="str">
        <f t="shared" si="49"/>
        <v/>
      </c>
      <c r="CB111" s="57" t="str">
        <f t="shared" si="49"/>
        <v/>
      </c>
      <c r="CC111" s="57" t="str">
        <f t="shared" si="49"/>
        <v/>
      </c>
      <c r="CD111" s="48" t="s">
        <v>293</v>
      </c>
    </row>
    <row r="112" spans="1:82" ht="40" customHeight="1" x14ac:dyDescent="0.15">
      <c r="B112" s="56" t="s">
        <v>294</v>
      </c>
      <c r="C112" s="80" t="str">
        <f>IFERROR(AVERAGE(C111:I111),"")</f>
        <v/>
      </c>
      <c r="D112" s="81"/>
      <c r="E112" s="81"/>
      <c r="F112" s="81"/>
      <c r="G112" s="81"/>
      <c r="H112" s="81"/>
      <c r="I112" s="82"/>
      <c r="J112" s="45" t="str">
        <f>IF(SUM(J8:J110)=0,"",SUM(J8:J110))</f>
        <v/>
      </c>
      <c r="K112" s="80" t="str">
        <f>IFERROR(AVERAGE(K111:Q111),"")</f>
        <v/>
      </c>
      <c r="L112" s="81"/>
      <c r="M112" s="81"/>
      <c r="N112" s="81"/>
      <c r="O112" s="81"/>
      <c r="P112" s="81"/>
      <c r="Q112" s="82"/>
      <c r="R112" s="45" t="str">
        <f>IF(SUM(R8:R110)=0,"",SUM(R8:R110))</f>
        <v/>
      </c>
      <c r="S112" s="80" t="str">
        <f>IFERROR(AVERAGE(S111:Y111),"")</f>
        <v/>
      </c>
      <c r="T112" s="81"/>
      <c r="U112" s="81"/>
      <c r="V112" s="81"/>
      <c r="W112" s="81"/>
      <c r="X112" s="81"/>
      <c r="Y112" s="82"/>
      <c r="Z112" s="45" t="str">
        <f>IF(SUM(Z8:Z110)=0,"",SUM(Z8:Z110))</f>
        <v/>
      </c>
      <c r="AA112" s="80" t="str">
        <f>IFERROR(AVERAGE(AA111:AG111),"")</f>
        <v/>
      </c>
      <c r="AB112" s="81"/>
      <c r="AC112" s="81"/>
      <c r="AD112" s="81"/>
      <c r="AE112" s="81"/>
      <c r="AF112" s="81"/>
      <c r="AG112" s="82"/>
      <c r="AH112" s="45" t="str">
        <f>IF(SUM(AH8:AH110)=0,"",SUM(AH8:AH110))</f>
        <v/>
      </c>
      <c r="AI112" s="80" t="str">
        <f>IFERROR(AVERAGE(AI111:AO111),"")</f>
        <v/>
      </c>
      <c r="AJ112" s="81"/>
      <c r="AK112" s="81"/>
      <c r="AL112" s="81"/>
      <c r="AM112" s="81"/>
      <c r="AN112" s="81"/>
      <c r="AO112" s="82"/>
      <c r="AP112" s="45" t="str">
        <f>IF(SUM(AP8:AP110)=0,"",SUM(AP8:AP110))</f>
        <v/>
      </c>
      <c r="AQ112" s="80" t="str">
        <f>IFERROR(AVERAGE(AQ111:AW111),"")</f>
        <v/>
      </c>
      <c r="AR112" s="81"/>
      <c r="AS112" s="81"/>
      <c r="AT112" s="81"/>
      <c r="AU112" s="81"/>
      <c r="AV112" s="81"/>
      <c r="AW112" s="82"/>
      <c r="AX112" s="45" t="str">
        <f>IF(SUM(AX8:AX110)=0,"",SUM(AX8:AX110))</f>
        <v/>
      </c>
      <c r="AY112" s="80" t="str">
        <f>IFERROR(AVERAGE(AY111:BE111),"")</f>
        <v/>
      </c>
      <c r="AZ112" s="81"/>
      <c r="BA112" s="81"/>
      <c r="BB112" s="81"/>
      <c r="BC112" s="81"/>
      <c r="BD112" s="81"/>
      <c r="BE112" s="82"/>
      <c r="BF112" s="45" t="str">
        <f>IF(SUM(BF8:BF110)=0,"",SUM(BF8:BF110))</f>
        <v/>
      </c>
      <c r="BG112" s="80" t="str">
        <f>IFERROR(AVERAGE(BG111:BM111),"")</f>
        <v/>
      </c>
      <c r="BH112" s="81"/>
      <c r="BI112" s="81"/>
      <c r="BJ112" s="81"/>
      <c r="BK112" s="81"/>
      <c r="BL112" s="81"/>
      <c r="BM112" s="82"/>
      <c r="BN112" s="45" t="str">
        <f>IF(SUM(BN8:BN110)=0,"",SUM(BN8:BN110))</f>
        <v/>
      </c>
      <c r="BO112" s="80" t="str">
        <f>IFERROR(AVERAGE(BO111:BU111),"")</f>
        <v/>
      </c>
      <c r="BP112" s="81"/>
      <c r="BQ112" s="81"/>
      <c r="BR112" s="81"/>
      <c r="BS112" s="81"/>
      <c r="BT112" s="81"/>
      <c r="BU112" s="82"/>
      <c r="BV112" s="45" t="str">
        <f>IF(SUM(BV8:BV110)=0,"",SUM(BV8:BV110))</f>
        <v/>
      </c>
      <c r="BW112" s="80" t="str">
        <f>IFERROR(AVERAGE(BW111:CC111),"")</f>
        <v/>
      </c>
      <c r="BX112" s="81"/>
      <c r="BY112" s="81"/>
      <c r="BZ112" s="81"/>
      <c r="CA112" s="81"/>
      <c r="CB112" s="81"/>
      <c r="CC112" s="82"/>
      <c r="CD112" s="45" t="str">
        <f>IF(SUM(CD8:CD110)=0,"",SUM(CD8:CD110))</f>
        <v/>
      </c>
    </row>
    <row r="113" spans="1:82" ht="40" customHeight="1" x14ac:dyDescent="0.15">
      <c r="B113" s="56" t="s">
        <v>295</v>
      </c>
      <c r="C113" s="59" t="str">
        <f>IF(100-(SUM(J8:J110))=100,"",100-(SUM(J8:J110)))</f>
        <v/>
      </c>
      <c r="D113" s="81"/>
      <c r="E113" s="81"/>
      <c r="F113" s="81"/>
      <c r="G113" s="81"/>
      <c r="H113" s="81"/>
      <c r="I113" s="82"/>
      <c r="J113" s="63"/>
      <c r="K113" s="59" t="str">
        <f>IF(100-(SUM(R8:R110))=100,"",100-(SUM(R8:R110)))</f>
        <v/>
      </c>
      <c r="L113" s="81"/>
      <c r="M113" s="81"/>
      <c r="N113" s="81"/>
      <c r="O113" s="81"/>
      <c r="P113" s="81"/>
      <c r="Q113" s="82"/>
      <c r="R113" s="63"/>
      <c r="S113" s="59" t="str">
        <f>IF(100-(SUM(Z8:Z110))=100,"",100-(SUM(Z8:Z110)))</f>
        <v/>
      </c>
      <c r="T113" s="81"/>
      <c r="U113" s="81"/>
      <c r="V113" s="81"/>
      <c r="W113" s="81"/>
      <c r="X113" s="81"/>
      <c r="Y113" s="82"/>
      <c r="Z113" s="83"/>
      <c r="AA113" s="59" t="str">
        <f>IF(100-(SUM(AH8:AH110))=100,"",100-(SUM(AH8:AH110)))</f>
        <v/>
      </c>
      <c r="AB113" s="81"/>
      <c r="AC113" s="81"/>
      <c r="AD113" s="81"/>
      <c r="AE113" s="81"/>
      <c r="AF113" s="81"/>
      <c r="AG113" s="82"/>
      <c r="AH113" s="63"/>
      <c r="AI113" s="59" t="str">
        <f>IF(100-(SUM(AP8:AP110))=100,"",100-(SUM(AP8:AP110)))</f>
        <v/>
      </c>
      <c r="AJ113" s="81"/>
      <c r="AK113" s="81"/>
      <c r="AL113" s="81"/>
      <c r="AM113" s="81"/>
      <c r="AN113" s="81"/>
      <c r="AO113" s="82"/>
      <c r="AP113" s="63"/>
      <c r="AQ113" s="59" t="str">
        <f>IF(100-(SUM(AX8:AX110))=100,"",100-(SUM(AX8:AX110)))</f>
        <v/>
      </c>
      <c r="AR113" s="81"/>
      <c r="AS113" s="81"/>
      <c r="AT113" s="81"/>
      <c r="AU113" s="81"/>
      <c r="AV113" s="81"/>
      <c r="AW113" s="82"/>
      <c r="AX113" s="63"/>
      <c r="AY113" s="80" t="str">
        <f>IF(100-(SUM(BF8:BF110))=100,"",100-(SUM(BF8:BF110)))</f>
        <v/>
      </c>
      <c r="AZ113" s="81"/>
      <c r="BA113" s="81"/>
      <c r="BB113" s="81"/>
      <c r="BC113" s="81"/>
      <c r="BD113" s="81"/>
      <c r="BE113" s="82"/>
      <c r="BF113" s="63"/>
      <c r="BG113" s="59" t="str">
        <f>IF(100-(SUM(BN8:BN110))=100,"",100-(SUM(BN8:BN110)))</f>
        <v/>
      </c>
      <c r="BH113" s="81"/>
      <c r="BI113" s="81"/>
      <c r="BJ113" s="81"/>
      <c r="BK113" s="81"/>
      <c r="BL113" s="81"/>
      <c r="BM113" s="82"/>
      <c r="BN113" s="63"/>
      <c r="BO113" s="59" t="str">
        <f>IF(100-(SUM(BV8:BV110))=100,"",100-(SUM(BV8:BV110)))</f>
        <v/>
      </c>
      <c r="BP113" s="81"/>
      <c r="BQ113" s="81"/>
      <c r="BR113" s="81"/>
      <c r="BS113" s="81"/>
      <c r="BT113" s="81"/>
      <c r="BU113" s="82"/>
      <c r="BV113" s="63"/>
      <c r="BW113" s="59" t="str">
        <f>IF(100-(SUM(CD8:CD110))=100,"",100-(SUM(CD8:CD110)))</f>
        <v/>
      </c>
      <c r="BX113" s="81"/>
      <c r="BY113" s="81"/>
      <c r="BZ113" s="81"/>
      <c r="CA113" s="81"/>
      <c r="CB113" s="81"/>
      <c r="CC113" s="82"/>
      <c r="CD113" s="63"/>
    </row>
    <row r="114" spans="1:82" ht="28" x14ac:dyDescent="0.15"/>
    <row r="115" spans="1:82" ht="28" x14ac:dyDescent="0.15"/>
    <row r="116" spans="1:82" ht="28" x14ac:dyDescent="0.15"/>
    <row r="117" spans="1:82" ht="40" customHeight="1" x14ac:dyDescent="0.15">
      <c r="A117" s="158" t="s">
        <v>51</v>
      </c>
      <c r="B117" s="159" t="s">
        <v>52</v>
      </c>
      <c r="C117" s="159" t="s">
        <v>18</v>
      </c>
      <c r="D117" s="159" t="s">
        <v>19</v>
      </c>
      <c r="E117" s="159" t="s">
        <v>20</v>
      </c>
      <c r="F117" s="159" t="s">
        <v>314</v>
      </c>
      <c r="G117" s="159" t="s">
        <v>21</v>
      </c>
      <c r="H117" s="159" t="s">
        <v>22</v>
      </c>
      <c r="I117" s="159" t="s">
        <v>23</v>
      </c>
      <c r="J117" s="159" t="s">
        <v>315</v>
      </c>
      <c r="K117" s="159" t="s">
        <v>24</v>
      </c>
      <c r="L117" s="162" t="s">
        <v>316</v>
      </c>
      <c r="M117" s="162" t="s">
        <v>46</v>
      </c>
    </row>
    <row r="118" spans="1:82" ht="40" customHeight="1" x14ac:dyDescent="0.15">
      <c r="A118" s="163" t="s">
        <v>55</v>
      </c>
      <c r="B118" s="164"/>
      <c r="C118" s="63" t="str">
        <f t="shared" ref="C118:C149" si="50">J8</f>
        <v/>
      </c>
      <c r="D118" s="63" t="str">
        <f t="shared" ref="D118:D149" si="51">R8</f>
        <v/>
      </c>
      <c r="E118" s="63" t="str">
        <f t="shared" ref="E118:E149" si="52">Z8</f>
        <v/>
      </c>
      <c r="F118" s="63" t="str">
        <f t="shared" ref="F118:F149" si="53">AH8</f>
        <v/>
      </c>
      <c r="G118" s="63" t="str">
        <f t="shared" ref="G118:G149" si="54">AP8</f>
        <v/>
      </c>
      <c r="H118" s="63" t="str">
        <f t="shared" ref="H118:H149" si="55">AX8</f>
        <v/>
      </c>
      <c r="I118" s="63" t="str">
        <f t="shared" ref="I118:I149" si="56">BF8</f>
        <v/>
      </c>
      <c r="J118" s="63" t="str">
        <f t="shared" ref="J118:J149" si="57">BN8</f>
        <v/>
      </c>
      <c r="K118" s="63" t="str">
        <f t="shared" ref="K118:K149" si="58">BV8</f>
        <v/>
      </c>
      <c r="L118" s="165" t="str">
        <f t="shared" ref="L118:L149" si="59">CD8</f>
        <v/>
      </c>
      <c r="M118" s="166">
        <f>SUM(Table386[[#This Row],[M11-7]:[M17-124]])</f>
        <v>0</v>
      </c>
    </row>
    <row r="119" spans="1:82" ht="40" customHeight="1" x14ac:dyDescent="0.15">
      <c r="A119" s="174" t="s">
        <v>56</v>
      </c>
      <c r="B119" s="175" t="s">
        <v>57</v>
      </c>
      <c r="C119" s="63" t="str">
        <f t="shared" si="50"/>
        <v/>
      </c>
      <c r="D119" s="63" t="str">
        <f t="shared" si="51"/>
        <v/>
      </c>
      <c r="E119" s="63" t="str">
        <f t="shared" si="52"/>
        <v/>
      </c>
      <c r="F119" s="63" t="str">
        <f t="shared" si="53"/>
        <v/>
      </c>
      <c r="G119" s="63" t="str">
        <f t="shared" si="54"/>
        <v/>
      </c>
      <c r="H119" s="63" t="str">
        <f t="shared" si="55"/>
        <v/>
      </c>
      <c r="I119" s="63" t="str">
        <f t="shared" si="56"/>
        <v/>
      </c>
      <c r="J119" s="63" t="str">
        <f t="shared" si="57"/>
        <v/>
      </c>
      <c r="K119" s="63" t="str">
        <f t="shared" si="58"/>
        <v/>
      </c>
      <c r="L119" s="165" t="str">
        <f t="shared" si="59"/>
        <v/>
      </c>
      <c r="M119" s="165">
        <f>SUM(Table386[[#This Row],[M11-7]:[M17-124]])</f>
        <v>0</v>
      </c>
    </row>
    <row r="120" spans="1:82" ht="40" customHeight="1" x14ac:dyDescent="0.15">
      <c r="A120" s="176" t="s">
        <v>58</v>
      </c>
      <c r="B120" s="177" t="s">
        <v>59</v>
      </c>
      <c r="C120" s="63" t="str">
        <f t="shared" si="50"/>
        <v/>
      </c>
      <c r="D120" s="63" t="str">
        <f t="shared" si="51"/>
        <v/>
      </c>
      <c r="E120" s="63" t="str">
        <f t="shared" si="52"/>
        <v/>
      </c>
      <c r="F120" s="63" t="str">
        <f t="shared" si="53"/>
        <v/>
      </c>
      <c r="G120" s="63" t="str">
        <f t="shared" si="54"/>
        <v/>
      </c>
      <c r="H120" s="63" t="str">
        <f t="shared" si="55"/>
        <v/>
      </c>
      <c r="I120" s="63" t="str">
        <f t="shared" si="56"/>
        <v/>
      </c>
      <c r="J120" s="63" t="str">
        <f t="shared" si="57"/>
        <v/>
      </c>
      <c r="K120" s="63" t="str">
        <f t="shared" si="58"/>
        <v/>
      </c>
      <c r="L120" s="165" t="str">
        <f t="shared" si="59"/>
        <v/>
      </c>
      <c r="M120" s="165">
        <f>SUM(Table386[[#This Row],[M11-7]:[M17-124]])</f>
        <v>0</v>
      </c>
    </row>
    <row r="121" spans="1:82" ht="40" customHeight="1" x14ac:dyDescent="0.15">
      <c r="A121" s="174" t="s">
        <v>60</v>
      </c>
      <c r="B121" s="175" t="s">
        <v>61</v>
      </c>
      <c r="C121" s="63" t="str">
        <f t="shared" si="50"/>
        <v/>
      </c>
      <c r="D121" s="63" t="str">
        <f t="shared" si="51"/>
        <v/>
      </c>
      <c r="E121" s="63" t="str">
        <f t="shared" si="52"/>
        <v/>
      </c>
      <c r="F121" s="63" t="str">
        <f t="shared" si="53"/>
        <v/>
      </c>
      <c r="G121" s="63" t="str">
        <f t="shared" si="54"/>
        <v/>
      </c>
      <c r="H121" s="63" t="str">
        <f t="shared" si="55"/>
        <v/>
      </c>
      <c r="I121" s="63" t="str">
        <f t="shared" si="56"/>
        <v/>
      </c>
      <c r="J121" s="63" t="str">
        <f t="shared" si="57"/>
        <v/>
      </c>
      <c r="K121" s="63" t="str">
        <f t="shared" si="58"/>
        <v/>
      </c>
      <c r="L121" s="165" t="str">
        <f t="shared" si="59"/>
        <v/>
      </c>
      <c r="M121" s="165">
        <f>SUM(Table386[[#This Row],[M11-7]:[M17-124]])</f>
        <v>0</v>
      </c>
    </row>
    <row r="122" spans="1:82" ht="40" customHeight="1" x14ac:dyDescent="0.15">
      <c r="A122" s="176" t="s">
        <v>62</v>
      </c>
      <c r="B122" s="177" t="s">
        <v>63</v>
      </c>
      <c r="C122" s="63" t="str">
        <f t="shared" si="50"/>
        <v/>
      </c>
      <c r="D122" s="63" t="str">
        <f t="shared" si="51"/>
        <v/>
      </c>
      <c r="E122" s="63" t="str">
        <f t="shared" si="52"/>
        <v/>
      </c>
      <c r="F122" s="63" t="str">
        <f t="shared" si="53"/>
        <v/>
      </c>
      <c r="G122" s="63" t="str">
        <f t="shared" si="54"/>
        <v/>
      </c>
      <c r="H122" s="63" t="str">
        <f t="shared" si="55"/>
        <v/>
      </c>
      <c r="I122" s="63" t="str">
        <f t="shared" si="56"/>
        <v/>
      </c>
      <c r="J122" s="63" t="str">
        <f t="shared" si="57"/>
        <v/>
      </c>
      <c r="K122" s="63" t="str">
        <f t="shared" si="58"/>
        <v/>
      </c>
      <c r="L122" s="165" t="str">
        <f t="shared" si="59"/>
        <v/>
      </c>
      <c r="M122" s="165">
        <f>SUM(Table386[[#This Row],[M11-7]:[M17-124]])</f>
        <v>0</v>
      </c>
    </row>
    <row r="123" spans="1:82" ht="40" customHeight="1" x14ac:dyDescent="0.15">
      <c r="A123" s="174" t="s">
        <v>64</v>
      </c>
      <c r="B123" s="175" t="s">
        <v>65</v>
      </c>
      <c r="C123" s="63" t="str">
        <f t="shared" si="50"/>
        <v/>
      </c>
      <c r="D123" s="63" t="str">
        <f t="shared" si="51"/>
        <v/>
      </c>
      <c r="E123" s="63" t="str">
        <f t="shared" si="52"/>
        <v/>
      </c>
      <c r="F123" s="63" t="str">
        <f t="shared" si="53"/>
        <v/>
      </c>
      <c r="G123" s="63" t="str">
        <f t="shared" si="54"/>
        <v/>
      </c>
      <c r="H123" s="63" t="str">
        <f t="shared" si="55"/>
        <v/>
      </c>
      <c r="I123" s="63" t="str">
        <f t="shared" si="56"/>
        <v/>
      </c>
      <c r="J123" s="63" t="str">
        <f t="shared" si="57"/>
        <v/>
      </c>
      <c r="K123" s="63" t="str">
        <f t="shared" si="58"/>
        <v/>
      </c>
      <c r="L123" s="165" t="str">
        <f t="shared" si="59"/>
        <v/>
      </c>
      <c r="M123" s="165">
        <f>SUM(Table386[[#This Row],[M11-7]:[M17-124]])</f>
        <v>0</v>
      </c>
    </row>
    <row r="124" spans="1:82" ht="40" customHeight="1" x14ac:dyDescent="0.15">
      <c r="A124" s="163" t="s">
        <v>66</v>
      </c>
      <c r="B124" s="164"/>
      <c r="C124" s="63" t="str">
        <f t="shared" si="50"/>
        <v/>
      </c>
      <c r="D124" s="63" t="str">
        <f t="shared" si="51"/>
        <v/>
      </c>
      <c r="E124" s="63" t="str">
        <f t="shared" si="52"/>
        <v/>
      </c>
      <c r="F124" s="63" t="str">
        <f t="shared" si="53"/>
        <v/>
      </c>
      <c r="G124" s="63" t="str">
        <f t="shared" si="54"/>
        <v/>
      </c>
      <c r="H124" s="63" t="str">
        <f t="shared" si="55"/>
        <v/>
      </c>
      <c r="I124" s="63" t="str">
        <f t="shared" si="56"/>
        <v/>
      </c>
      <c r="J124" s="63" t="str">
        <f t="shared" si="57"/>
        <v/>
      </c>
      <c r="K124" s="63" t="str">
        <f t="shared" si="58"/>
        <v/>
      </c>
      <c r="L124" s="165" t="str">
        <f t="shared" si="59"/>
        <v/>
      </c>
      <c r="M124" s="165">
        <f>SUM(Table386[[#This Row],[M11-7]:[M17-124]])</f>
        <v>0</v>
      </c>
    </row>
    <row r="125" spans="1:82" ht="40" customHeight="1" x14ac:dyDescent="0.15">
      <c r="A125" s="176" t="s">
        <v>67</v>
      </c>
      <c r="B125" s="177" t="s">
        <v>66</v>
      </c>
      <c r="C125" s="63" t="str">
        <f t="shared" si="50"/>
        <v/>
      </c>
      <c r="D125" s="63" t="str">
        <f t="shared" si="51"/>
        <v/>
      </c>
      <c r="E125" s="63" t="str">
        <f t="shared" si="52"/>
        <v/>
      </c>
      <c r="F125" s="63" t="str">
        <f t="shared" si="53"/>
        <v/>
      </c>
      <c r="G125" s="63" t="str">
        <f t="shared" si="54"/>
        <v/>
      </c>
      <c r="H125" s="63" t="str">
        <f t="shared" si="55"/>
        <v/>
      </c>
      <c r="I125" s="63" t="str">
        <f t="shared" si="56"/>
        <v/>
      </c>
      <c r="J125" s="63" t="str">
        <f t="shared" si="57"/>
        <v/>
      </c>
      <c r="K125" s="63" t="str">
        <f t="shared" si="58"/>
        <v/>
      </c>
      <c r="L125" s="165" t="str">
        <f t="shared" si="59"/>
        <v/>
      </c>
      <c r="M125" s="165">
        <f>SUM(Table386[[#This Row],[M11-7]:[M17-124]])</f>
        <v>0</v>
      </c>
    </row>
    <row r="126" spans="1:82" ht="40" customHeight="1" x14ac:dyDescent="0.15">
      <c r="A126" s="163" t="s">
        <v>68</v>
      </c>
      <c r="B126" s="164"/>
      <c r="C126" s="63" t="str">
        <f t="shared" si="50"/>
        <v/>
      </c>
      <c r="D126" s="63" t="str">
        <f t="shared" si="51"/>
        <v/>
      </c>
      <c r="E126" s="63" t="str">
        <f t="shared" si="52"/>
        <v/>
      </c>
      <c r="F126" s="63" t="str">
        <f t="shared" si="53"/>
        <v/>
      </c>
      <c r="G126" s="63" t="str">
        <f t="shared" si="54"/>
        <v/>
      </c>
      <c r="H126" s="63" t="str">
        <f t="shared" si="55"/>
        <v/>
      </c>
      <c r="I126" s="63" t="str">
        <f t="shared" si="56"/>
        <v/>
      </c>
      <c r="J126" s="63" t="str">
        <f t="shared" si="57"/>
        <v/>
      </c>
      <c r="K126" s="63" t="str">
        <f t="shared" si="58"/>
        <v/>
      </c>
      <c r="L126" s="165" t="str">
        <f t="shared" si="59"/>
        <v/>
      </c>
      <c r="M126" s="165">
        <f>SUM(Table386[[#This Row],[M11-7]:[M17-124]])</f>
        <v>0</v>
      </c>
    </row>
    <row r="127" spans="1:82" ht="40" customHeight="1" x14ac:dyDescent="0.15">
      <c r="A127" s="176" t="s">
        <v>69</v>
      </c>
      <c r="B127" s="177" t="s">
        <v>70</v>
      </c>
      <c r="C127" s="63" t="str">
        <f t="shared" si="50"/>
        <v/>
      </c>
      <c r="D127" s="63" t="str">
        <f t="shared" si="51"/>
        <v/>
      </c>
      <c r="E127" s="63" t="str">
        <f t="shared" si="52"/>
        <v/>
      </c>
      <c r="F127" s="63" t="str">
        <f t="shared" si="53"/>
        <v/>
      </c>
      <c r="G127" s="63" t="str">
        <f t="shared" si="54"/>
        <v/>
      </c>
      <c r="H127" s="63" t="str">
        <f t="shared" si="55"/>
        <v/>
      </c>
      <c r="I127" s="63" t="str">
        <f t="shared" si="56"/>
        <v/>
      </c>
      <c r="J127" s="63" t="str">
        <f t="shared" si="57"/>
        <v/>
      </c>
      <c r="K127" s="63" t="str">
        <f t="shared" si="58"/>
        <v/>
      </c>
      <c r="L127" s="165" t="str">
        <f t="shared" si="59"/>
        <v/>
      </c>
      <c r="M127" s="165">
        <f>SUM(Table386[[#This Row],[M11-7]:[M17-124]])</f>
        <v>0</v>
      </c>
    </row>
    <row r="128" spans="1:82" ht="40" customHeight="1" x14ac:dyDescent="0.15">
      <c r="A128" s="174" t="s">
        <v>71</v>
      </c>
      <c r="B128" s="175" t="s">
        <v>72</v>
      </c>
      <c r="C128" s="63" t="str">
        <f t="shared" si="50"/>
        <v/>
      </c>
      <c r="D128" s="63" t="str">
        <f t="shared" si="51"/>
        <v/>
      </c>
      <c r="E128" s="63" t="str">
        <f t="shared" si="52"/>
        <v/>
      </c>
      <c r="F128" s="63" t="str">
        <f t="shared" si="53"/>
        <v/>
      </c>
      <c r="G128" s="63" t="str">
        <f t="shared" si="54"/>
        <v/>
      </c>
      <c r="H128" s="63" t="str">
        <f t="shared" si="55"/>
        <v/>
      </c>
      <c r="I128" s="63" t="str">
        <f t="shared" si="56"/>
        <v/>
      </c>
      <c r="J128" s="63" t="str">
        <f t="shared" si="57"/>
        <v/>
      </c>
      <c r="K128" s="63" t="str">
        <f t="shared" si="58"/>
        <v/>
      </c>
      <c r="L128" s="165" t="str">
        <f t="shared" si="59"/>
        <v/>
      </c>
      <c r="M128" s="165">
        <f>SUM(Table386[[#This Row],[M11-7]:[M17-124]])</f>
        <v>0</v>
      </c>
    </row>
    <row r="129" spans="1:13" ht="40" customHeight="1" x14ac:dyDescent="0.15">
      <c r="A129" s="176" t="s">
        <v>73</v>
      </c>
      <c r="B129" s="177" t="s">
        <v>74</v>
      </c>
      <c r="C129" s="63" t="str">
        <f t="shared" si="50"/>
        <v/>
      </c>
      <c r="D129" s="63" t="str">
        <f t="shared" si="51"/>
        <v/>
      </c>
      <c r="E129" s="63" t="str">
        <f t="shared" si="52"/>
        <v/>
      </c>
      <c r="F129" s="63" t="str">
        <f t="shared" si="53"/>
        <v/>
      </c>
      <c r="G129" s="63" t="str">
        <f t="shared" si="54"/>
        <v/>
      </c>
      <c r="H129" s="63" t="str">
        <f t="shared" si="55"/>
        <v/>
      </c>
      <c r="I129" s="63" t="str">
        <f t="shared" si="56"/>
        <v/>
      </c>
      <c r="J129" s="63" t="str">
        <f t="shared" si="57"/>
        <v/>
      </c>
      <c r="K129" s="63" t="str">
        <f t="shared" si="58"/>
        <v/>
      </c>
      <c r="L129" s="165" t="str">
        <f t="shared" si="59"/>
        <v/>
      </c>
      <c r="M129" s="165">
        <f>SUM(Table386[[#This Row],[M11-7]:[M17-124]])</f>
        <v>0</v>
      </c>
    </row>
    <row r="130" spans="1:13" ht="40" customHeight="1" x14ac:dyDescent="0.15">
      <c r="A130" s="174" t="s">
        <v>75</v>
      </c>
      <c r="B130" s="175" t="s">
        <v>76</v>
      </c>
      <c r="C130" s="63" t="str">
        <f t="shared" si="50"/>
        <v/>
      </c>
      <c r="D130" s="63" t="str">
        <f t="shared" si="51"/>
        <v/>
      </c>
      <c r="E130" s="63" t="str">
        <f t="shared" si="52"/>
        <v/>
      </c>
      <c r="F130" s="63" t="str">
        <f t="shared" si="53"/>
        <v/>
      </c>
      <c r="G130" s="63" t="str">
        <f t="shared" si="54"/>
        <v/>
      </c>
      <c r="H130" s="63" t="str">
        <f t="shared" si="55"/>
        <v/>
      </c>
      <c r="I130" s="63" t="str">
        <f t="shared" si="56"/>
        <v/>
      </c>
      <c r="J130" s="63" t="str">
        <f t="shared" si="57"/>
        <v/>
      </c>
      <c r="K130" s="63" t="str">
        <f t="shared" si="58"/>
        <v/>
      </c>
      <c r="L130" s="165" t="str">
        <f t="shared" si="59"/>
        <v/>
      </c>
      <c r="M130" s="165">
        <f>SUM(Table386[[#This Row],[M11-7]:[M17-124]])</f>
        <v>0</v>
      </c>
    </row>
    <row r="131" spans="1:13" ht="40" customHeight="1" x14ac:dyDescent="0.15">
      <c r="A131" s="174" t="s">
        <v>77</v>
      </c>
      <c r="B131" s="175" t="s">
        <v>78</v>
      </c>
      <c r="C131" s="63" t="str">
        <f t="shared" si="50"/>
        <v/>
      </c>
      <c r="D131" s="63" t="str">
        <f t="shared" si="51"/>
        <v/>
      </c>
      <c r="E131" s="63" t="str">
        <f t="shared" si="52"/>
        <v/>
      </c>
      <c r="F131" s="63" t="str">
        <f t="shared" si="53"/>
        <v/>
      </c>
      <c r="G131" s="63" t="str">
        <f t="shared" si="54"/>
        <v/>
      </c>
      <c r="H131" s="63" t="str">
        <f t="shared" si="55"/>
        <v/>
      </c>
      <c r="I131" s="63" t="str">
        <f t="shared" si="56"/>
        <v/>
      </c>
      <c r="J131" s="63" t="str">
        <f t="shared" si="57"/>
        <v/>
      </c>
      <c r="K131" s="63" t="str">
        <f t="shared" si="58"/>
        <v/>
      </c>
      <c r="L131" s="165" t="str">
        <f t="shared" si="59"/>
        <v/>
      </c>
      <c r="M131" s="165">
        <f>SUM(Table386[[#This Row],[M11-7]:[M17-124]])</f>
        <v>0</v>
      </c>
    </row>
    <row r="132" spans="1:13" ht="40" customHeight="1" x14ac:dyDescent="0.15">
      <c r="A132" s="176" t="s">
        <v>79</v>
      </c>
      <c r="B132" s="177" t="s">
        <v>80</v>
      </c>
      <c r="C132" s="63" t="str">
        <f t="shared" si="50"/>
        <v/>
      </c>
      <c r="D132" s="63" t="str">
        <f t="shared" si="51"/>
        <v/>
      </c>
      <c r="E132" s="63" t="str">
        <f t="shared" si="52"/>
        <v/>
      </c>
      <c r="F132" s="63" t="str">
        <f t="shared" si="53"/>
        <v/>
      </c>
      <c r="G132" s="63" t="str">
        <f t="shared" si="54"/>
        <v/>
      </c>
      <c r="H132" s="63" t="str">
        <f t="shared" si="55"/>
        <v/>
      </c>
      <c r="I132" s="63" t="str">
        <f t="shared" si="56"/>
        <v/>
      </c>
      <c r="J132" s="63" t="str">
        <f t="shared" si="57"/>
        <v/>
      </c>
      <c r="K132" s="63" t="str">
        <f t="shared" si="58"/>
        <v/>
      </c>
      <c r="L132" s="165" t="str">
        <f t="shared" si="59"/>
        <v/>
      </c>
      <c r="M132" s="165">
        <f>SUM(Table386[[#This Row],[M11-7]:[M17-124]])</f>
        <v>0</v>
      </c>
    </row>
    <row r="133" spans="1:13" ht="40" customHeight="1" x14ac:dyDescent="0.15">
      <c r="A133" s="163" t="s">
        <v>81</v>
      </c>
      <c r="B133" s="164"/>
      <c r="C133" s="63" t="str">
        <f t="shared" si="50"/>
        <v/>
      </c>
      <c r="D133" s="63" t="str">
        <f t="shared" si="51"/>
        <v/>
      </c>
      <c r="E133" s="63" t="str">
        <f t="shared" si="52"/>
        <v/>
      </c>
      <c r="F133" s="63" t="str">
        <f t="shared" si="53"/>
        <v/>
      </c>
      <c r="G133" s="63" t="str">
        <f t="shared" si="54"/>
        <v/>
      </c>
      <c r="H133" s="63" t="str">
        <f t="shared" si="55"/>
        <v/>
      </c>
      <c r="I133" s="63" t="str">
        <f t="shared" si="56"/>
        <v/>
      </c>
      <c r="J133" s="63" t="str">
        <f t="shared" si="57"/>
        <v/>
      </c>
      <c r="K133" s="63" t="str">
        <f t="shared" si="58"/>
        <v/>
      </c>
      <c r="L133" s="165" t="str">
        <f t="shared" si="59"/>
        <v/>
      </c>
      <c r="M133" s="165">
        <f>SUM(Table386[[#This Row],[M11-7]:[M17-124]])</f>
        <v>0</v>
      </c>
    </row>
    <row r="134" spans="1:13" ht="40" customHeight="1" x14ac:dyDescent="0.15">
      <c r="A134" s="174" t="s">
        <v>82</v>
      </c>
      <c r="B134" s="175" t="s">
        <v>83</v>
      </c>
      <c r="C134" s="63" t="str">
        <f t="shared" si="50"/>
        <v/>
      </c>
      <c r="D134" s="63" t="str">
        <f t="shared" si="51"/>
        <v/>
      </c>
      <c r="E134" s="63" t="str">
        <f t="shared" si="52"/>
        <v/>
      </c>
      <c r="F134" s="63" t="str">
        <f t="shared" si="53"/>
        <v/>
      </c>
      <c r="G134" s="63" t="str">
        <f t="shared" si="54"/>
        <v/>
      </c>
      <c r="H134" s="63" t="str">
        <f t="shared" si="55"/>
        <v/>
      </c>
      <c r="I134" s="63" t="str">
        <f t="shared" si="56"/>
        <v/>
      </c>
      <c r="J134" s="63" t="str">
        <f t="shared" si="57"/>
        <v/>
      </c>
      <c r="K134" s="63" t="str">
        <f t="shared" si="58"/>
        <v/>
      </c>
      <c r="L134" s="165" t="str">
        <f t="shared" si="59"/>
        <v/>
      </c>
      <c r="M134" s="165">
        <f>SUM(Table386[[#This Row],[M11-7]:[M17-124]])</f>
        <v>0</v>
      </c>
    </row>
    <row r="135" spans="1:13" ht="40" customHeight="1" x14ac:dyDescent="0.15">
      <c r="A135" s="163" t="s">
        <v>84</v>
      </c>
      <c r="B135" s="164"/>
      <c r="C135" s="63" t="str">
        <f t="shared" si="50"/>
        <v/>
      </c>
      <c r="D135" s="63" t="str">
        <f t="shared" si="51"/>
        <v/>
      </c>
      <c r="E135" s="63" t="str">
        <f t="shared" si="52"/>
        <v/>
      </c>
      <c r="F135" s="63" t="str">
        <f t="shared" si="53"/>
        <v/>
      </c>
      <c r="G135" s="63" t="str">
        <f t="shared" si="54"/>
        <v/>
      </c>
      <c r="H135" s="63" t="str">
        <f t="shared" si="55"/>
        <v/>
      </c>
      <c r="I135" s="63" t="str">
        <f t="shared" si="56"/>
        <v/>
      </c>
      <c r="J135" s="63" t="str">
        <f t="shared" si="57"/>
        <v/>
      </c>
      <c r="K135" s="63" t="str">
        <f t="shared" si="58"/>
        <v/>
      </c>
      <c r="L135" s="165" t="str">
        <f t="shared" si="59"/>
        <v/>
      </c>
      <c r="M135" s="165">
        <f>SUM(Table386[[#This Row],[M11-7]:[M17-124]])</f>
        <v>0</v>
      </c>
    </row>
    <row r="136" spans="1:13" ht="40" customHeight="1" x14ac:dyDescent="0.15">
      <c r="A136" s="174" t="s">
        <v>85</v>
      </c>
      <c r="B136" s="175" t="s">
        <v>86</v>
      </c>
      <c r="C136" s="63" t="str">
        <f t="shared" si="50"/>
        <v/>
      </c>
      <c r="D136" s="63" t="str">
        <f t="shared" si="51"/>
        <v/>
      </c>
      <c r="E136" s="63" t="str">
        <f t="shared" si="52"/>
        <v/>
      </c>
      <c r="F136" s="63" t="str">
        <f t="shared" si="53"/>
        <v/>
      </c>
      <c r="G136" s="63" t="str">
        <f t="shared" si="54"/>
        <v/>
      </c>
      <c r="H136" s="63" t="str">
        <f t="shared" si="55"/>
        <v/>
      </c>
      <c r="I136" s="63" t="str">
        <f t="shared" si="56"/>
        <v/>
      </c>
      <c r="J136" s="63" t="str">
        <f t="shared" si="57"/>
        <v/>
      </c>
      <c r="K136" s="63" t="str">
        <f t="shared" si="58"/>
        <v/>
      </c>
      <c r="L136" s="165" t="str">
        <f t="shared" si="59"/>
        <v/>
      </c>
      <c r="M136" s="165">
        <f>SUM(Table386[[#This Row],[M11-7]:[M17-124]])</f>
        <v>0</v>
      </c>
    </row>
    <row r="137" spans="1:13" ht="40" customHeight="1" x14ac:dyDescent="0.15">
      <c r="A137" s="176" t="s">
        <v>87</v>
      </c>
      <c r="B137" s="177" t="s">
        <v>88</v>
      </c>
      <c r="C137" s="63" t="str">
        <f t="shared" si="50"/>
        <v/>
      </c>
      <c r="D137" s="63" t="str">
        <f t="shared" si="51"/>
        <v/>
      </c>
      <c r="E137" s="63" t="str">
        <f t="shared" si="52"/>
        <v/>
      </c>
      <c r="F137" s="63" t="str">
        <f t="shared" si="53"/>
        <v/>
      </c>
      <c r="G137" s="63" t="str">
        <f t="shared" si="54"/>
        <v/>
      </c>
      <c r="H137" s="63" t="str">
        <f t="shared" si="55"/>
        <v/>
      </c>
      <c r="I137" s="63" t="str">
        <f t="shared" si="56"/>
        <v/>
      </c>
      <c r="J137" s="63" t="str">
        <f t="shared" si="57"/>
        <v/>
      </c>
      <c r="K137" s="63" t="str">
        <f t="shared" si="58"/>
        <v/>
      </c>
      <c r="L137" s="165" t="str">
        <f t="shared" si="59"/>
        <v/>
      </c>
      <c r="M137" s="165">
        <f>SUM(Table386[[#This Row],[M11-7]:[M17-124]])</f>
        <v>0</v>
      </c>
    </row>
    <row r="138" spans="1:13" ht="40" customHeight="1" x14ac:dyDescent="0.15">
      <c r="A138" s="174" t="s">
        <v>89</v>
      </c>
      <c r="B138" s="175" t="s">
        <v>90</v>
      </c>
      <c r="C138" s="63" t="str">
        <f t="shared" si="50"/>
        <v/>
      </c>
      <c r="D138" s="63" t="str">
        <f t="shared" si="51"/>
        <v/>
      </c>
      <c r="E138" s="63" t="str">
        <f t="shared" si="52"/>
        <v/>
      </c>
      <c r="F138" s="63" t="str">
        <f t="shared" si="53"/>
        <v/>
      </c>
      <c r="G138" s="63" t="str">
        <f t="shared" si="54"/>
        <v/>
      </c>
      <c r="H138" s="63" t="str">
        <f t="shared" si="55"/>
        <v/>
      </c>
      <c r="I138" s="63" t="str">
        <f t="shared" si="56"/>
        <v/>
      </c>
      <c r="J138" s="63" t="str">
        <f t="shared" si="57"/>
        <v/>
      </c>
      <c r="K138" s="63" t="str">
        <f t="shared" si="58"/>
        <v/>
      </c>
      <c r="L138" s="165" t="str">
        <f t="shared" si="59"/>
        <v/>
      </c>
      <c r="M138" s="165">
        <f>SUM(Table386[[#This Row],[M11-7]:[M17-124]])</f>
        <v>0</v>
      </c>
    </row>
    <row r="139" spans="1:13" ht="40" customHeight="1" x14ac:dyDescent="0.15">
      <c r="A139" s="176" t="s">
        <v>91</v>
      </c>
      <c r="B139" s="177" t="s">
        <v>92</v>
      </c>
      <c r="C139" s="63" t="str">
        <f t="shared" si="50"/>
        <v/>
      </c>
      <c r="D139" s="63" t="str">
        <f t="shared" si="51"/>
        <v/>
      </c>
      <c r="E139" s="63" t="str">
        <f t="shared" si="52"/>
        <v/>
      </c>
      <c r="F139" s="63" t="str">
        <f t="shared" si="53"/>
        <v/>
      </c>
      <c r="G139" s="63" t="str">
        <f t="shared" si="54"/>
        <v/>
      </c>
      <c r="H139" s="63" t="str">
        <f t="shared" si="55"/>
        <v/>
      </c>
      <c r="I139" s="63" t="str">
        <f t="shared" si="56"/>
        <v/>
      </c>
      <c r="J139" s="63" t="str">
        <f t="shared" si="57"/>
        <v/>
      </c>
      <c r="K139" s="63" t="str">
        <f t="shared" si="58"/>
        <v/>
      </c>
      <c r="L139" s="165" t="str">
        <f t="shared" si="59"/>
        <v/>
      </c>
      <c r="M139" s="165">
        <f>SUM(Table386[[#This Row],[M11-7]:[M17-124]])</f>
        <v>0</v>
      </c>
    </row>
    <row r="140" spans="1:13" ht="40" customHeight="1" x14ac:dyDescent="0.15">
      <c r="A140" s="174" t="s">
        <v>93</v>
      </c>
      <c r="B140" s="175" t="s">
        <v>94</v>
      </c>
      <c r="C140" s="63" t="str">
        <f t="shared" si="50"/>
        <v/>
      </c>
      <c r="D140" s="63" t="str">
        <f t="shared" si="51"/>
        <v/>
      </c>
      <c r="E140" s="63" t="str">
        <f t="shared" si="52"/>
        <v/>
      </c>
      <c r="F140" s="63" t="str">
        <f t="shared" si="53"/>
        <v/>
      </c>
      <c r="G140" s="63" t="str">
        <f t="shared" si="54"/>
        <v/>
      </c>
      <c r="H140" s="63" t="str">
        <f t="shared" si="55"/>
        <v/>
      </c>
      <c r="I140" s="63" t="str">
        <f t="shared" si="56"/>
        <v/>
      </c>
      <c r="J140" s="63" t="str">
        <f t="shared" si="57"/>
        <v/>
      </c>
      <c r="K140" s="63" t="str">
        <f t="shared" si="58"/>
        <v/>
      </c>
      <c r="L140" s="165" t="str">
        <f t="shared" si="59"/>
        <v/>
      </c>
      <c r="M140" s="165">
        <f>SUM(Table386[[#This Row],[M11-7]:[M17-124]])</f>
        <v>0</v>
      </c>
    </row>
    <row r="141" spans="1:13" ht="40" customHeight="1" x14ac:dyDescent="0.15">
      <c r="A141" s="176" t="s">
        <v>95</v>
      </c>
      <c r="B141" s="177" t="s">
        <v>96</v>
      </c>
      <c r="C141" s="63" t="str">
        <f t="shared" si="50"/>
        <v/>
      </c>
      <c r="D141" s="63" t="str">
        <f t="shared" si="51"/>
        <v/>
      </c>
      <c r="E141" s="63" t="str">
        <f t="shared" si="52"/>
        <v/>
      </c>
      <c r="F141" s="63" t="str">
        <f t="shared" si="53"/>
        <v/>
      </c>
      <c r="G141" s="63" t="str">
        <f t="shared" si="54"/>
        <v/>
      </c>
      <c r="H141" s="63" t="str">
        <f t="shared" si="55"/>
        <v/>
      </c>
      <c r="I141" s="63" t="str">
        <f t="shared" si="56"/>
        <v/>
      </c>
      <c r="J141" s="63" t="str">
        <f t="shared" si="57"/>
        <v/>
      </c>
      <c r="K141" s="63" t="str">
        <f t="shared" si="58"/>
        <v/>
      </c>
      <c r="L141" s="165" t="str">
        <f t="shared" si="59"/>
        <v/>
      </c>
      <c r="M141" s="165">
        <f>SUM(Table386[[#This Row],[M11-7]:[M17-124]])</f>
        <v>0</v>
      </c>
    </row>
    <row r="142" spans="1:13" ht="40" customHeight="1" x14ac:dyDescent="0.15">
      <c r="A142" s="174" t="s">
        <v>97</v>
      </c>
      <c r="B142" s="175" t="s">
        <v>98</v>
      </c>
      <c r="C142" s="63" t="str">
        <f t="shared" si="50"/>
        <v/>
      </c>
      <c r="D142" s="63" t="str">
        <f t="shared" si="51"/>
        <v/>
      </c>
      <c r="E142" s="63" t="str">
        <f t="shared" si="52"/>
        <v/>
      </c>
      <c r="F142" s="63" t="str">
        <f t="shared" si="53"/>
        <v/>
      </c>
      <c r="G142" s="63" t="str">
        <f t="shared" si="54"/>
        <v/>
      </c>
      <c r="H142" s="63" t="str">
        <f t="shared" si="55"/>
        <v/>
      </c>
      <c r="I142" s="63" t="str">
        <f t="shared" si="56"/>
        <v/>
      </c>
      <c r="J142" s="63" t="str">
        <f t="shared" si="57"/>
        <v/>
      </c>
      <c r="K142" s="63" t="str">
        <f t="shared" si="58"/>
        <v/>
      </c>
      <c r="L142" s="165" t="str">
        <f t="shared" si="59"/>
        <v/>
      </c>
      <c r="M142" s="165">
        <f>SUM(Table386[[#This Row],[M11-7]:[M17-124]])</f>
        <v>0</v>
      </c>
    </row>
    <row r="143" spans="1:13" ht="40" customHeight="1" x14ac:dyDescent="0.15">
      <c r="A143" s="174" t="s">
        <v>99</v>
      </c>
      <c r="B143" s="175" t="s">
        <v>100</v>
      </c>
      <c r="C143" s="63" t="str">
        <f t="shared" si="50"/>
        <v/>
      </c>
      <c r="D143" s="63" t="str">
        <f t="shared" si="51"/>
        <v/>
      </c>
      <c r="E143" s="63" t="str">
        <f t="shared" si="52"/>
        <v/>
      </c>
      <c r="F143" s="63" t="str">
        <f t="shared" si="53"/>
        <v/>
      </c>
      <c r="G143" s="63" t="str">
        <f t="shared" si="54"/>
        <v/>
      </c>
      <c r="H143" s="63" t="str">
        <f t="shared" si="55"/>
        <v/>
      </c>
      <c r="I143" s="63" t="str">
        <f t="shared" si="56"/>
        <v/>
      </c>
      <c r="J143" s="63" t="str">
        <f t="shared" si="57"/>
        <v/>
      </c>
      <c r="K143" s="63" t="str">
        <f t="shared" si="58"/>
        <v/>
      </c>
      <c r="L143" s="165" t="str">
        <f t="shared" si="59"/>
        <v/>
      </c>
      <c r="M143" s="165">
        <f>SUM(Table386[[#This Row],[M11-7]:[M17-124]])</f>
        <v>0</v>
      </c>
    </row>
    <row r="144" spans="1:13" ht="40" customHeight="1" x14ac:dyDescent="0.15">
      <c r="A144" s="176" t="s">
        <v>101</v>
      </c>
      <c r="B144" s="177" t="s">
        <v>102</v>
      </c>
      <c r="C144" s="63" t="str">
        <f t="shared" si="50"/>
        <v/>
      </c>
      <c r="D144" s="63" t="str">
        <f t="shared" si="51"/>
        <v/>
      </c>
      <c r="E144" s="63" t="str">
        <f t="shared" si="52"/>
        <v/>
      </c>
      <c r="F144" s="63" t="str">
        <f t="shared" si="53"/>
        <v/>
      </c>
      <c r="G144" s="63" t="str">
        <f t="shared" si="54"/>
        <v/>
      </c>
      <c r="H144" s="63" t="str">
        <f t="shared" si="55"/>
        <v/>
      </c>
      <c r="I144" s="63" t="str">
        <f t="shared" si="56"/>
        <v/>
      </c>
      <c r="J144" s="63" t="str">
        <f t="shared" si="57"/>
        <v/>
      </c>
      <c r="K144" s="63" t="str">
        <f t="shared" si="58"/>
        <v/>
      </c>
      <c r="L144" s="165" t="str">
        <f t="shared" si="59"/>
        <v/>
      </c>
      <c r="M144" s="165">
        <f>SUM(Table386[[#This Row],[M11-7]:[M17-124]])</f>
        <v>0</v>
      </c>
    </row>
    <row r="145" spans="1:13" ht="40" customHeight="1" x14ac:dyDescent="0.15">
      <c r="A145" s="163" t="s">
        <v>103</v>
      </c>
      <c r="B145" s="164"/>
      <c r="C145" s="63" t="str">
        <f t="shared" si="50"/>
        <v/>
      </c>
      <c r="D145" s="63" t="str">
        <f t="shared" si="51"/>
        <v/>
      </c>
      <c r="E145" s="63" t="str">
        <f t="shared" si="52"/>
        <v/>
      </c>
      <c r="F145" s="63" t="str">
        <f t="shared" si="53"/>
        <v/>
      </c>
      <c r="G145" s="63" t="str">
        <f t="shared" si="54"/>
        <v/>
      </c>
      <c r="H145" s="63" t="str">
        <f t="shared" si="55"/>
        <v/>
      </c>
      <c r="I145" s="63" t="str">
        <f t="shared" si="56"/>
        <v/>
      </c>
      <c r="J145" s="63" t="str">
        <f t="shared" si="57"/>
        <v/>
      </c>
      <c r="K145" s="63" t="str">
        <f t="shared" si="58"/>
        <v/>
      </c>
      <c r="L145" s="165" t="str">
        <f t="shared" si="59"/>
        <v/>
      </c>
      <c r="M145" s="165">
        <f>SUM(Table386[[#This Row],[M11-7]:[M17-124]])</f>
        <v>0</v>
      </c>
    </row>
    <row r="146" spans="1:13" ht="40" customHeight="1" x14ac:dyDescent="0.15">
      <c r="A146" s="174" t="s">
        <v>104</v>
      </c>
      <c r="B146" s="175" t="s">
        <v>105</v>
      </c>
      <c r="C146" s="63" t="str">
        <f t="shared" si="50"/>
        <v/>
      </c>
      <c r="D146" s="63" t="str">
        <f t="shared" si="51"/>
        <v/>
      </c>
      <c r="E146" s="63" t="str">
        <f t="shared" si="52"/>
        <v/>
      </c>
      <c r="F146" s="63" t="str">
        <f t="shared" si="53"/>
        <v/>
      </c>
      <c r="G146" s="63" t="str">
        <f t="shared" si="54"/>
        <v/>
      </c>
      <c r="H146" s="63" t="str">
        <f t="shared" si="55"/>
        <v/>
      </c>
      <c r="I146" s="63" t="str">
        <f t="shared" si="56"/>
        <v/>
      </c>
      <c r="J146" s="63" t="str">
        <f t="shared" si="57"/>
        <v/>
      </c>
      <c r="K146" s="63" t="str">
        <f t="shared" si="58"/>
        <v/>
      </c>
      <c r="L146" s="165" t="str">
        <f t="shared" si="59"/>
        <v/>
      </c>
      <c r="M146" s="165">
        <f>SUM(Table386[[#This Row],[M11-7]:[M17-124]])</f>
        <v>0</v>
      </c>
    </row>
    <row r="147" spans="1:13" ht="40" customHeight="1" x14ac:dyDescent="0.15">
      <c r="A147" s="174" t="s">
        <v>106</v>
      </c>
      <c r="B147" s="175" t="s">
        <v>107</v>
      </c>
      <c r="C147" s="63" t="str">
        <f t="shared" si="50"/>
        <v/>
      </c>
      <c r="D147" s="63" t="str">
        <f t="shared" si="51"/>
        <v/>
      </c>
      <c r="E147" s="63" t="str">
        <f t="shared" si="52"/>
        <v/>
      </c>
      <c r="F147" s="63" t="str">
        <f t="shared" si="53"/>
        <v/>
      </c>
      <c r="G147" s="63" t="str">
        <f t="shared" si="54"/>
        <v/>
      </c>
      <c r="H147" s="63" t="str">
        <f t="shared" si="55"/>
        <v/>
      </c>
      <c r="I147" s="63" t="str">
        <f t="shared" si="56"/>
        <v/>
      </c>
      <c r="J147" s="63" t="str">
        <f t="shared" si="57"/>
        <v/>
      </c>
      <c r="K147" s="63" t="str">
        <f t="shared" si="58"/>
        <v/>
      </c>
      <c r="L147" s="165" t="str">
        <f t="shared" si="59"/>
        <v/>
      </c>
      <c r="M147" s="165">
        <f>SUM(Table386[[#This Row],[M11-7]:[M17-124]])</f>
        <v>0</v>
      </c>
    </row>
    <row r="148" spans="1:13" ht="40" customHeight="1" x14ac:dyDescent="0.15">
      <c r="A148" s="174" t="s">
        <v>108</v>
      </c>
      <c r="B148" s="175" t="s">
        <v>109</v>
      </c>
      <c r="C148" s="63" t="str">
        <f t="shared" si="50"/>
        <v/>
      </c>
      <c r="D148" s="63" t="str">
        <f t="shared" si="51"/>
        <v/>
      </c>
      <c r="E148" s="63" t="str">
        <f t="shared" si="52"/>
        <v/>
      </c>
      <c r="F148" s="63" t="str">
        <f t="shared" si="53"/>
        <v/>
      </c>
      <c r="G148" s="63" t="str">
        <f t="shared" si="54"/>
        <v/>
      </c>
      <c r="H148" s="63" t="str">
        <f t="shared" si="55"/>
        <v/>
      </c>
      <c r="I148" s="63" t="str">
        <f t="shared" si="56"/>
        <v/>
      </c>
      <c r="J148" s="63" t="str">
        <f t="shared" si="57"/>
        <v/>
      </c>
      <c r="K148" s="63" t="str">
        <f t="shared" si="58"/>
        <v/>
      </c>
      <c r="L148" s="165" t="str">
        <f t="shared" si="59"/>
        <v/>
      </c>
      <c r="M148" s="165">
        <f>SUM(Table386[[#This Row],[M11-7]:[M17-124]])</f>
        <v>0</v>
      </c>
    </row>
    <row r="149" spans="1:13" ht="40" customHeight="1" x14ac:dyDescent="0.15">
      <c r="A149" s="176" t="s">
        <v>110</v>
      </c>
      <c r="B149" s="177" t="s">
        <v>111</v>
      </c>
      <c r="C149" s="63" t="str">
        <f t="shared" si="50"/>
        <v/>
      </c>
      <c r="D149" s="63" t="str">
        <f t="shared" si="51"/>
        <v/>
      </c>
      <c r="E149" s="63" t="str">
        <f t="shared" si="52"/>
        <v/>
      </c>
      <c r="F149" s="63" t="str">
        <f t="shared" si="53"/>
        <v/>
      </c>
      <c r="G149" s="63" t="str">
        <f t="shared" si="54"/>
        <v/>
      </c>
      <c r="H149" s="63" t="str">
        <f t="shared" si="55"/>
        <v/>
      </c>
      <c r="I149" s="63" t="str">
        <f t="shared" si="56"/>
        <v/>
      </c>
      <c r="J149" s="63" t="str">
        <f t="shared" si="57"/>
        <v/>
      </c>
      <c r="K149" s="63" t="str">
        <f t="shared" si="58"/>
        <v/>
      </c>
      <c r="L149" s="165" t="str">
        <f t="shared" si="59"/>
        <v/>
      </c>
      <c r="M149" s="165">
        <f>SUM(Table386[[#This Row],[M11-7]:[M17-124]])</f>
        <v>0</v>
      </c>
    </row>
    <row r="150" spans="1:13" ht="40" customHeight="1" x14ac:dyDescent="0.15">
      <c r="A150" s="174" t="s">
        <v>112</v>
      </c>
      <c r="B150" s="175" t="s">
        <v>113</v>
      </c>
      <c r="C150" s="63" t="str">
        <f t="shared" ref="C150:C181" si="60">J40</f>
        <v/>
      </c>
      <c r="D150" s="63" t="str">
        <f t="shared" ref="D150:D181" si="61">R40</f>
        <v/>
      </c>
      <c r="E150" s="63" t="str">
        <f t="shared" ref="E150:E181" si="62">Z40</f>
        <v/>
      </c>
      <c r="F150" s="63" t="str">
        <f t="shared" ref="F150:F181" si="63">AH40</f>
        <v/>
      </c>
      <c r="G150" s="63" t="str">
        <f t="shared" ref="G150:G181" si="64">AP40</f>
        <v/>
      </c>
      <c r="H150" s="63" t="str">
        <f t="shared" ref="H150:H181" si="65">AX40</f>
        <v/>
      </c>
      <c r="I150" s="63" t="str">
        <f t="shared" ref="I150:I181" si="66">BF40</f>
        <v/>
      </c>
      <c r="J150" s="63" t="str">
        <f t="shared" ref="J150:J181" si="67">BN40</f>
        <v/>
      </c>
      <c r="K150" s="63" t="str">
        <f t="shared" ref="K150:K181" si="68">BV40</f>
        <v/>
      </c>
      <c r="L150" s="165" t="str">
        <f t="shared" ref="L150:L181" si="69">CD40</f>
        <v/>
      </c>
      <c r="M150" s="165">
        <f>SUM(Table386[[#This Row],[M11-7]:[M17-124]])</f>
        <v>0</v>
      </c>
    </row>
    <row r="151" spans="1:13" ht="40" customHeight="1" x14ac:dyDescent="0.15">
      <c r="A151" s="176" t="s">
        <v>114</v>
      </c>
      <c r="B151" s="177" t="s">
        <v>115</v>
      </c>
      <c r="C151" s="63" t="str">
        <f t="shared" si="60"/>
        <v/>
      </c>
      <c r="D151" s="63" t="str">
        <f t="shared" si="61"/>
        <v/>
      </c>
      <c r="E151" s="63" t="str">
        <f t="shared" si="62"/>
        <v/>
      </c>
      <c r="F151" s="63" t="str">
        <f t="shared" si="63"/>
        <v/>
      </c>
      <c r="G151" s="63" t="str">
        <f t="shared" si="64"/>
        <v/>
      </c>
      <c r="H151" s="63" t="str">
        <f t="shared" si="65"/>
        <v/>
      </c>
      <c r="I151" s="63" t="str">
        <f t="shared" si="66"/>
        <v/>
      </c>
      <c r="J151" s="63" t="str">
        <f t="shared" si="67"/>
        <v/>
      </c>
      <c r="K151" s="63" t="str">
        <f t="shared" si="68"/>
        <v/>
      </c>
      <c r="L151" s="165" t="str">
        <f t="shared" si="69"/>
        <v/>
      </c>
      <c r="M151" s="165">
        <f>SUM(Table386[[#This Row],[M11-7]:[M17-124]])</f>
        <v>0</v>
      </c>
    </row>
    <row r="152" spans="1:13" ht="40" customHeight="1" x14ac:dyDescent="0.15">
      <c r="A152" s="174" t="s">
        <v>116</v>
      </c>
      <c r="B152" s="175" t="s">
        <v>117</v>
      </c>
      <c r="C152" s="63" t="str">
        <f t="shared" si="60"/>
        <v/>
      </c>
      <c r="D152" s="63" t="str">
        <f t="shared" si="61"/>
        <v/>
      </c>
      <c r="E152" s="63" t="str">
        <f t="shared" si="62"/>
        <v/>
      </c>
      <c r="F152" s="63" t="str">
        <f t="shared" si="63"/>
        <v/>
      </c>
      <c r="G152" s="63" t="str">
        <f t="shared" si="64"/>
        <v/>
      </c>
      <c r="H152" s="63" t="str">
        <f t="shared" si="65"/>
        <v/>
      </c>
      <c r="I152" s="63" t="str">
        <f t="shared" si="66"/>
        <v/>
      </c>
      <c r="J152" s="63" t="str">
        <f t="shared" si="67"/>
        <v/>
      </c>
      <c r="K152" s="63" t="str">
        <f t="shared" si="68"/>
        <v/>
      </c>
      <c r="L152" s="165" t="str">
        <f t="shared" si="69"/>
        <v/>
      </c>
      <c r="M152" s="165">
        <f>SUM(Table386[[#This Row],[M11-7]:[M17-124]])</f>
        <v>0</v>
      </c>
    </row>
    <row r="153" spans="1:13" ht="40" customHeight="1" x14ac:dyDescent="0.15">
      <c r="A153" s="176" t="s">
        <v>118</v>
      </c>
      <c r="B153" s="177" t="s">
        <v>119</v>
      </c>
      <c r="C153" s="63" t="str">
        <f t="shared" si="60"/>
        <v/>
      </c>
      <c r="D153" s="63" t="str">
        <f t="shared" si="61"/>
        <v/>
      </c>
      <c r="E153" s="63" t="str">
        <f t="shared" si="62"/>
        <v/>
      </c>
      <c r="F153" s="63" t="str">
        <f t="shared" si="63"/>
        <v/>
      </c>
      <c r="G153" s="63" t="str">
        <f t="shared" si="64"/>
        <v/>
      </c>
      <c r="H153" s="63" t="str">
        <f t="shared" si="65"/>
        <v/>
      </c>
      <c r="I153" s="63" t="str">
        <f t="shared" si="66"/>
        <v/>
      </c>
      <c r="J153" s="63" t="str">
        <f t="shared" si="67"/>
        <v/>
      </c>
      <c r="K153" s="63" t="str">
        <f t="shared" si="68"/>
        <v/>
      </c>
      <c r="L153" s="165" t="str">
        <f t="shared" si="69"/>
        <v/>
      </c>
      <c r="M153" s="165">
        <f>SUM(Table386[[#This Row],[M11-7]:[M17-124]])</f>
        <v>0</v>
      </c>
    </row>
    <row r="154" spans="1:13" ht="40" customHeight="1" x14ac:dyDescent="0.15">
      <c r="A154" s="174" t="s">
        <v>120</v>
      </c>
      <c r="B154" s="175" t="s">
        <v>121</v>
      </c>
      <c r="C154" s="63" t="str">
        <f t="shared" si="60"/>
        <v/>
      </c>
      <c r="D154" s="63" t="str">
        <f t="shared" si="61"/>
        <v/>
      </c>
      <c r="E154" s="63" t="str">
        <f t="shared" si="62"/>
        <v/>
      </c>
      <c r="F154" s="63" t="str">
        <f t="shared" si="63"/>
        <v/>
      </c>
      <c r="G154" s="63" t="str">
        <f t="shared" si="64"/>
        <v/>
      </c>
      <c r="H154" s="63" t="str">
        <f t="shared" si="65"/>
        <v/>
      </c>
      <c r="I154" s="63" t="str">
        <f t="shared" si="66"/>
        <v/>
      </c>
      <c r="J154" s="63" t="str">
        <f t="shared" si="67"/>
        <v/>
      </c>
      <c r="K154" s="63" t="str">
        <f t="shared" si="68"/>
        <v/>
      </c>
      <c r="L154" s="165" t="str">
        <f t="shared" si="69"/>
        <v/>
      </c>
      <c r="M154" s="165">
        <f>SUM(Table386[[#This Row],[M11-7]:[M17-124]])</f>
        <v>0</v>
      </c>
    </row>
    <row r="155" spans="1:13" ht="40" customHeight="1" x14ac:dyDescent="0.15">
      <c r="A155" s="176" t="s">
        <v>122</v>
      </c>
      <c r="B155" s="177" t="s">
        <v>123</v>
      </c>
      <c r="C155" s="63" t="str">
        <f t="shared" si="60"/>
        <v/>
      </c>
      <c r="D155" s="63" t="str">
        <f t="shared" si="61"/>
        <v/>
      </c>
      <c r="E155" s="63" t="str">
        <f t="shared" si="62"/>
        <v/>
      </c>
      <c r="F155" s="63" t="str">
        <f t="shared" si="63"/>
        <v/>
      </c>
      <c r="G155" s="63" t="str">
        <f t="shared" si="64"/>
        <v/>
      </c>
      <c r="H155" s="63" t="str">
        <f t="shared" si="65"/>
        <v/>
      </c>
      <c r="I155" s="63" t="str">
        <f t="shared" si="66"/>
        <v/>
      </c>
      <c r="J155" s="63" t="str">
        <f t="shared" si="67"/>
        <v/>
      </c>
      <c r="K155" s="63" t="str">
        <f t="shared" si="68"/>
        <v/>
      </c>
      <c r="L155" s="165" t="str">
        <f t="shared" si="69"/>
        <v/>
      </c>
      <c r="M155" s="165">
        <f>SUM(Table386[[#This Row],[M11-7]:[M17-124]])</f>
        <v>0</v>
      </c>
    </row>
    <row r="156" spans="1:13" ht="40" customHeight="1" x14ac:dyDescent="0.15">
      <c r="A156" s="174" t="s">
        <v>125</v>
      </c>
      <c r="B156" s="175" t="s">
        <v>126</v>
      </c>
      <c r="C156" s="63" t="str">
        <f t="shared" si="60"/>
        <v/>
      </c>
      <c r="D156" s="63" t="str">
        <f t="shared" si="61"/>
        <v/>
      </c>
      <c r="E156" s="63" t="str">
        <f t="shared" si="62"/>
        <v/>
      </c>
      <c r="F156" s="63" t="str">
        <f t="shared" si="63"/>
        <v/>
      </c>
      <c r="G156" s="63" t="str">
        <f t="shared" si="64"/>
        <v/>
      </c>
      <c r="H156" s="63" t="str">
        <f t="shared" si="65"/>
        <v/>
      </c>
      <c r="I156" s="63" t="str">
        <f t="shared" si="66"/>
        <v/>
      </c>
      <c r="J156" s="63" t="str">
        <f t="shared" si="67"/>
        <v/>
      </c>
      <c r="K156" s="63" t="str">
        <f t="shared" si="68"/>
        <v/>
      </c>
      <c r="L156" s="165" t="str">
        <f t="shared" si="69"/>
        <v/>
      </c>
      <c r="M156" s="165">
        <f>SUM(Table386[[#This Row],[M11-7]:[M17-124]])</f>
        <v>0</v>
      </c>
    </row>
    <row r="157" spans="1:13" ht="40" customHeight="1" x14ac:dyDescent="0.15">
      <c r="A157" s="176" t="s">
        <v>127</v>
      </c>
      <c r="B157" s="177" t="s">
        <v>128</v>
      </c>
      <c r="C157" s="63" t="str">
        <f t="shared" si="60"/>
        <v/>
      </c>
      <c r="D157" s="63" t="str">
        <f t="shared" si="61"/>
        <v/>
      </c>
      <c r="E157" s="63" t="str">
        <f t="shared" si="62"/>
        <v/>
      </c>
      <c r="F157" s="63" t="str">
        <f t="shared" si="63"/>
        <v/>
      </c>
      <c r="G157" s="63" t="str">
        <f t="shared" si="64"/>
        <v/>
      </c>
      <c r="H157" s="63" t="str">
        <f t="shared" si="65"/>
        <v/>
      </c>
      <c r="I157" s="63" t="str">
        <f t="shared" si="66"/>
        <v/>
      </c>
      <c r="J157" s="63" t="str">
        <f t="shared" si="67"/>
        <v/>
      </c>
      <c r="K157" s="63" t="str">
        <f t="shared" si="68"/>
        <v/>
      </c>
      <c r="L157" s="165" t="str">
        <f t="shared" si="69"/>
        <v/>
      </c>
      <c r="M157" s="165">
        <f>SUM(Table386[[#This Row],[M11-7]:[M17-124]])</f>
        <v>0</v>
      </c>
    </row>
    <row r="158" spans="1:13" ht="40" customHeight="1" x14ac:dyDescent="0.15">
      <c r="A158" s="174" t="s">
        <v>130</v>
      </c>
      <c r="B158" s="175" t="s">
        <v>131</v>
      </c>
      <c r="C158" s="63" t="str">
        <f t="shared" si="60"/>
        <v/>
      </c>
      <c r="D158" s="63" t="str">
        <f t="shared" si="61"/>
        <v/>
      </c>
      <c r="E158" s="63" t="str">
        <f t="shared" si="62"/>
        <v/>
      </c>
      <c r="F158" s="63" t="str">
        <f t="shared" si="63"/>
        <v/>
      </c>
      <c r="G158" s="63" t="str">
        <f t="shared" si="64"/>
        <v/>
      </c>
      <c r="H158" s="63" t="str">
        <f t="shared" si="65"/>
        <v/>
      </c>
      <c r="I158" s="63" t="str">
        <f t="shared" si="66"/>
        <v/>
      </c>
      <c r="J158" s="63" t="str">
        <f t="shared" si="67"/>
        <v/>
      </c>
      <c r="K158" s="63" t="str">
        <f t="shared" si="68"/>
        <v/>
      </c>
      <c r="L158" s="165" t="str">
        <f t="shared" si="69"/>
        <v/>
      </c>
      <c r="M158" s="165">
        <f>SUM(Table386[[#This Row],[M11-7]:[M17-124]])</f>
        <v>0</v>
      </c>
    </row>
    <row r="159" spans="1:13" ht="40" customHeight="1" x14ac:dyDescent="0.15">
      <c r="A159" s="176" t="s">
        <v>132</v>
      </c>
      <c r="B159" s="177" t="s">
        <v>133</v>
      </c>
      <c r="C159" s="63" t="str">
        <f t="shared" si="60"/>
        <v/>
      </c>
      <c r="D159" s="63" t="str">
        <f t="shared" si="61"/>
        <v/>
      </c>
      <c r="E159" s="63" t="str">
        <f t="shared" si="62"/>
        <v/>
      </c>
      <c r="F159" s="63" t="str">
        <f t="shared" si="63"/>
        <v/>
      </c>
      <c r="G159" s="63" t="str">
        <f t="shared" si="64"/>
        <v/>
      </c>
      <c r="H159" s="63" t="str">
        <f t="shared" si="65"/>
        <v/>
      </c>
      <c r="I159" s="63" t="str">
        <f t="shared" si="66"/>
        <v/>
      </c>
      <c r="J159" s="63" t="str">
        <f t="shared" si="67"/>
        <v/>
      </c>
      <c r="K159" s="63" t="str">
        <f t="shared" si="68"/>
        <v/>
      </c>
      <c r="L159" s="165" t="str">
        <f t="shared" si="69"/>
        <v/>
      </c>
      <c r="M159" s="165">
        <f>SUM(Table386[[#This Row],[M11-7]:[M17-124]])</f>
        <v>0</v>
      </c>
    </row>
    <row r="160" spans="1:13" ht="40" customHeight="1" x14ac:dyDescent="0.15">
      <c r="A160" s="174" t="s">
        <v>135</v>
      </c>
      <c r="B160" s="175" t="s">
        <v>136</v>
      </c>
      <c r="C160" s="63" t="str">
        <f t="shared" si="60"/>
        <v/>
      </c>
      <c r="D160" s="63" t="str">
        <f t="shared" si="61"/>
        <v/>
      </c>
      <c r="E160" s="63" t="str">
        <f t="shared" si="62"/>
        <v/>
      </c>
      <c r="F160" s="63" t="str">
        <f t="shared" si="63"/>
        <v/>
      </c>
      <c r="G160" s="63" t="str">
        <f t="shared" si="64"/>
        <v/>
      </c>
      <c r="H160" s="63" t="str">
        <f t="shared" si="65"/>
        <v/>
      </c>
      <c r="I160" s="63" t="str">
        <f t="shared" si="66"/>
        <v/>
      </c>
      <c r="J160" s="63" t="str">
        <f t="shared" si="67"/>
        <v/>
      </c>
      <c r="K160" s="63" t="str">
        <f t="shared" si="68"/>
        <v/>
      </c>
      <c r="L160" s="165" t="str">
        <f t="shared" si="69"/>
        <v/>
      </c>
      <c r="M160" s="165">
        <f>SUM(Table386[[#This Row],[M11-7]:[M17-124]])</f>
        <v>0</v>
      </c>
    </row>
    <row r="161" spans="1:13" ht="40" customHeight="1" x14ac:dyDescent="0.15">
      <c r="A161" s="176" t="s">
        <v>138</v>
      </c>
      <c r="B161" s="177" t="s">
        <v>139</v>
      </c>
      <c r="C161" s="63" t="str">
        <f t="shared" si="60"/>
        <v/>
      </c>
      <c r="D161" s="63" t="str">
        <f t="shared" si="61"/>
        <v/>
      </c>
      <c r="E161" s="63" t="str">
        <f t="shared" si="62"/>
        <v/>
      </c>
      <c r="F161" s="63" t="str">
        <f t="shared" si="63"/>
        <v/>
      </c>
      <c r="G161" s="63" t="str">
        <f t="shared" si="64"/>
        <v/>
      </c>
      <c r="H161" s="63" t="str">
        <f t="shared" si="65"/>
        <v/>
      </c>
      <c r="I161" s="63" t="str">
        <f t="shared" si="66"/>
        <v/>
      </c>
      <c r="J161" s="63" t="str">
        <f t="shared" si="67"/>
        <v/>
      </c>
      <c r="K161" s="63" t="str">
        <f t="shared" si="68"/>
        <v/>
      </c>
      <c r="L161" s="165" t="str">
        <f t="shared" si="69"/>
        <v/>
      </c>
      <c r="M161" s="165">
        <f>SUM(Table386[[#This Row],[M11-7]:[M17-124]])</f>
        <v>0</v>
      </c>
    </row>
    <row r="162" spans="1:13" ht="40" customHeight="1" x14ac:dyDescent="0.15">
      <c r="A162" s="174" t="s">
        <v>140</v>
      </c>
      <c r="B162" s="175" t="s">
        <v>141</v>
      </c>
      <c r="C162" s="63" t="str">
        <f t="shared" si="60"/>
        <v/>
      </c>
      <c r="D162" s="63" t="str">
        <f t="shared" si="61"/>
        <v/>
      </c>
      <c r="E162" s="63" t="str">
        <f t="shared" si="62"/>
        <v/>
      </c>
      <c r="F162" s="63" t="str">
        <f t="shared" si="63"/>
        <v/>
      </c>
      <c r="G162" s="63" t="str">
        <f t="shared" si="64"/>
        <v/>
      </c>
      <c r="H162" s="63" t="str">
        <f t="shared" si="65"/>
        <v/>
      </c>
      <c r="I162" s="63" t="str">
        <f t="shared" si="66"/>
        <v/>
      </c>
      <c r="J162" s="63" t="str">
        <f t="shared" si="67"/>
        <v/>
      </c>
      <c r="K162" s="63" t="str">
        <f t="shared" si="68"/>
        <v/>
      </c>
      <c r="L162" s="165" t="str">
        <f t="shared" si="69"/>
        <v/>
      </c>
      <c r="M162" s="165">
        <f>SUM(Table386[[#This Row],[M11-7]:[M17-124]])</f>
        <v>0</v>
      </c>
    </row>
    <row r="163" spans="1:13" ht="40" customHeight="1" x14ac:dyDescent="0.15">
      <c r="A163" s="176" t="s">
        <v>143</v>
      </c>
      <c r="B163" s="177" t="s">
        <v>144</v>
      </c>
      <c r="C163" s="63" t="str">
        <f t="shared" si="60"/>
        <v/>
      </c>
      <c r="D163" s="63" t="str">
        <f t="shared" si="61"/>
        <v/>
      </c>
      <c r="E163" s="63" t="str">
        <f t="shared" si="62"/>
        <v/>
      </c>
      <c r="F163" s="63" t="str">
        <f t="shared" si="63"/>
        <v/>
      </c>
      <c r="G163" s="63" t="str">
        <f t="shared" si="64"/>
        <v/>
      </c>
      <c r="H163" s="63" t="str">
        <f t="shared" si="65"/>
        <v/>
      </c>
      <c r="I163" s="63" t="str">
        <f t="shared" si="66"/>
        <v/>
      </c>
      <c r="J163" s="63" t="str">
        <f t="shared" si="67"/>
        <v/>
      </c>
      <c r="K163" s="63" t="str">
        <f t="shared" si="68"/>
        <v/>
      </c>
      <c r="L163" s="165" t="str">
        <f t="shared" si="69"/>
        <v/>
      </c>
      <c r="M163" s="165">
        <f>SUM(Table386[[#This Row],[M11-7]:[M17-124]])</f>
        <v>0</v>
      </c>
    </row>
    <row r="164" spans="1:13" ht="40" customHeight="1" x14ac:dyDescent="0.15">
      <c r="A164" s="174" t="s">
        <v>146</v>
      </c>
      <c r="B164" s="175" t="s">
        <v>147</v>
      </c>
      <c r="C164" s="63" t="str">
        <f t="shared" si="60"/>
        <v/>
      </c>
      <c r="D164" s="63" t="str">
        <f t="shared" si="61"/>
        <v/>
      </c>
      <c r="E164" s="63" t="str">
        <f t="shared" si="62"/>
        <v/>
      </c>
      <c r="F164" s="63" t="str">
        <f t="shared" si="63"/>
        <v/>
      </c>
      <c r="G164" s="63" t="str">
        <f t="shared" si="64"/>
        <v/>
      </c>
      <c r="H164" s="63" t="str">
        <f t="shared" si="65"/>
        <v/>
      </c>
      <c r="I164" s="63" t="str">
        <f t="shared" si="66"/>
        <v/>
      </c>
      <c r="J164" s="63" t="str">
        <f t="shared" si="67"/>
        <v/>
      </c>
      <c r="K164" s="63" t="str">
        <f t="shared" si="68"/>
        <v/>
      </c>
      <c r="L164" s="165" t="str">
        <f t="shared" si="69"/>
        <v/>
      </c>
      <c r="M164" s="165">
        <f>SUM(Table386[[#This Row],[M11-7]:[M17-124]])</f>
        <v>0</v>
      </c>
    </row>
    <row r="165" spans="1:13" ht="40" customHeight="1" x14ac:dyDescent="0.15">
      <c r="A165" s="176" t="s">
        <v>149</v>
      </c>
      <c r="B165" s="177" t="s">
        <v>150</v>
      </c>
      <c r="C165" s="63" t="str">
        <f t="shared" si="60"/>
        <v/>
      </c>
      <c r="D165" s="63" t="str">
        <f t="shared" si="61"/>
        <v/>
      </c>
      <c r="E165" s="63" t="str">
        <f t="shared" si="62"/>
        <v/>
      </c>
      <c r="F165" s="63" t="str">
        <f t="shared" si="63"/>
        <v/>
      </c>
      <c r="G165" s="63" t="str">
        <f t="shared" si="64"/>
        <v/>
      </c>
      <c r="H165" s="63" t="str">
        <f t="shared" si="65"/>
        <v/>
      </c>
      <c r="I165" s="63" t="str">
        <f t="shared" si="66"/>
        <v/>
      </c>
      <c r="J165" s="63" t="str">
        <f t="shared" si="67"/>
        <v/>
      </c>
      <c r="K165" s="63" t="str">
        <f t="shared" si="68"/>
        <v/>
      </c>
      <c r="L165" s="165" t="str">
        <f t="shared" si="69"/>
        <v/>
      </c>
      <c r="M165" s="165">
        <f>SUM(Table386[[#This Row],[M11-7]:[M17-124]])</f>
        <v>0</v>
      </c>
    </row>
    <row r="166" spans="1:13" ht="40" customHeight="1" x14ac:dyDescent="0.15">
      <c r="A166" s="174" t="s">
        <v>152</v>
      </c>
      <c r="B166" s="175" t="s">
        <v>153</v>
      </c>
      <c r="C166" s="63" t="str">
        <f t="shared" si="60"/>
        <v/>
      </c>
      <c r="D166" s="63" t="str">
        <f t="shared" si="61"/>
        <v/>
      </c>
      <c r="E166" s="63" t="str">
        <f t="shared" si="62"/>
        <v/>
      </c>
      <c r="F166" s="63" t="str">
        <f t="shared" si="63"/>
        <v/>
      </c>
      <c r="G166" s="63" t="str">
        <f t="shared" si="64"/>
        <v/>
      </c>
      <c r="H166" s="63" t="str">
        <f t="shared" si="65"/>
        <v/>
      </c>
      <c r="I166" s="63" t="str">
        <f t="shared" si="66"/>
        <v/>
      </c>
      <c r="J166" s="63" t="str">
        <f t="shared" si="67"/>
        <v/>
      </c>
      <c r="K166" s="63" t="str">
        <f t="shared" si="68"/>
        <v/>
      </c>
      <c r="L166" s="165" t="str">
        <f t="shared" si="69"/>
        <v/>
      </c>
      <c r="M166" s="165">
        <f>SUM(Table386[[#This Row],[M11-7]:[M17-124]])</f>
        <v>0</v>
      </c>
    </row>
    <row r="167" spans="1:13" ht="40" customHeight="1" x14ac:dyDescent="0.15">
      <c r="A167" s="176" t="s">
        <v>154</v>
      </c>
      <c r="B167" s="177" t="s">
        <v>155</v>
      </c>
      <c r="C167" s="63" t="str">
        <f t="shared" si="60"/>
        <v/>
      </c>
      <c r="D167" s="63" t="str">
        <f t="shared" si="61"/>
        <v/>
      </c>
      <c r="E167" s="63" t="str">
        <f t="shared" si="62"/>
        <v/>
      </c>
      <c r="F167" s="63" t="str">
        <f t="shared" si="63"/>
        <v/>
      </c>
      <c r="G167" s="63" t="str">
        <f t="shared" si="64"/>
        <v/>
      </c>
      <c r="H167" s="63" t="str">
        <f t="shared" si="65"/>
        <v/>
      </c>
      <c r="I167" s="63" t="str">
        <f t="shared" si="66"/>
        <v/>
      </c>
      <c r="J167" s="63" t="str">
        <f t="shared" si="67"/>
        <v/>
      </c>
      <c r="K167" s="63" t="str">
        <f t="shared" si="68"/>
        <v/>
      </c>
      <c r="L167" s="165" t="str">
        <f t="shared" si="69"/>
        <v/>
      </c>
      <c r="M167" s="165">
        <f>SUM(Table386[[#This Row],[M11-7]:[M17-124]])</f>
        <v>0</v>
      </c>
    </row>
    <row r="168" spans="1:13" ht="40" customHeight="1" x14ac:dyDescent="0.15">
      <c r="A168" s="174" t="s">
        <v>157</v>
      </c>
      <c r="B168" s="175" t="s">
        <v>158</v>
      </c>
      <c r="C168" s="63" t="str">
        <f t="shared" si="60"/>
        <v/>
      </c>
      <c r="D168" s="63" t="str">
        <f t="shared" si="61"/>
        <v/>
      </c>
      <c r="E168" s="63" t="str">
        <f t="shared" si="62"/>
        <v/>
      </c>
      <c r="F168" s="63" t="str">
        <f t="shared" si="63"/>
        <v/>
      </c>
      <c r="G168" s="63" t="str">
        <f t="shared" si="64"/>
        <v/>
      </c>
      <c r="H168" s="63" t="str">
        <f t="shared" si="65"/>
        <v/>
      </c>
      <c r="I168" s="63" t="str">
        <f t="shared" si="66"/>
        <v/>
      </c>
      <c r="J168" s="63" t="str">
        <f t="shared" si="67"/>
        <v/>
      </c>
      <c r="K168" s="63" t="str">
        <f t="shared" si="68"/>
        <v/>
      </c>
      <c r="L168" s="165" t="str">
        <f t="shared" si="69"/>
        <v/>
      </c>
      <c r="M168" s="165">
        <f>SUM(Table386[[#This Row],[M11-7]:[M17-124]])</f>
        <v>0</v>
      </c>
    </row>
    <row r="169" spans="1:13" ht="40" customHeight="1" x14ac:dyDescent="0.15">
      <c r="A169" s="176" t="s">
        <v>160</v>
      </c>
      <c r="B169" s="177" t="s">
        <v>161</v>
      </c>
      <c r="C169" s="63" t="str">
        <f t="shared" si="60"/>
        <v/>
      </c>
      <c r="D169" s="63" t="str">
        <f t="shared" si="61"/>
        <v/>
      </c>
      <c r="E169" s="63" t="str">
        <f t="shared" si="62"/>
        <v/>
      </c>
      <c r="F169" s="63" t="str">
        <f t="shared" si="63"/>
        <v/>
      </c>
      <c r="G169" s="63" t="str">
        <f t="shared" si="64"/>
        <v/>
      </c>
      <c r="H169" s="63" t="str">
        <f t="shared" si="65"/>
        <v/>
      </c>
      <c r="I169" s="63" t="str">
        <f t="shared" si="66"/>
        <v/>
      </c>
      <c r="J169" s="63" t="str">
        <f t="shared" si="67"/>
        <v/>
      </c>
      <c r="K169" s="63" t="str">
        <f t="shared" si="68"/>
        <v/>
      </c>
      <c r="L169" s="165" t="str">
        <f t="shared" si="69"/>
        <v/>
      </c>
      <c r="M169" s="165">
        <f>SUM(Table386[[#This Row],[M11-7]:[M17-124]])</f>
        <v>0</v>
      </c>
    </row>
    <row r="170" spans="1:13" ht="40" customHeight="1" x14ac:dyDescent="0.15">
      <c r="A170" s="174" t="s">
        <v>163</v>
      </c>
      <c r="B170" s="175" t="s">
        <v>164</v>
      </c>
      <c r="C170" s="63" t="str">
        <f t="shared" si="60"/>
        <v/>
      </c>
      <c r="D170" s="63" t="str">
        <f t="shared" si="61"/>
        <v/>
      </c>
      <c r="E170" s="63" t="str">
        <f t="shared" si="62"/>
        <v/>
      </c>
      <c r="F170" s="63" t="str">
        <f t="shared" si="63"/>
        <v/>
      </c>
      <c r="G170" s="63" t="str">
        <f t="shared" si="64"/>
        <v/>
      </c>
      <c r="H170" s="63" t="str">
        <f t="shared" si="65"/>
        <v/>
      </c>
      <c r="I170" s="63" t="str">
        <f t="shared" si="66"/>
        <v/>
      </c>
      <c r="J170" s="63" t="str">
        <f t="shared" si="67"/>
        <v/>
      </c>
      <c r="K170" s="63" t="str">
        <f t="shared" si="68"/>
        <v/>
      </c>
      <c r="L170" s="165" t="str">
        <f t="shared" si="69"/>
        <v/>
      </c>
      <c r="M170" s="165">
        <f>SUM(Table386[[#This Row],[M11-7]:[M17-124]])</f>
        <v>0</v>
      </c>
    </row>
    <row r="171" spans="1:13" ht="40" customHeight="1" x14ac:dyDescent="0.15">
      <c r="A171" s="176" t="s">
        <v>166</v>
      </c>
      <c r="B171" s="177" t="s">
        <v>167</v>
      </c>
      <c r="C171" s="63" t="str">
        <f t="shared" si="60"/>
        <v/>
      </c>
      <c r="D171" s="63" t="str">
        <f t="shared" si="61"/>
        <v/>
      </c>
      <c r="E171" s="63" t="str">
        <f t="shared" si="62"/>
        <v/>
      </c>
      <c r="F171" s="63" t="str">
        <f t="shared" si="63"/>
        <v/>
      </c>
      <c r="G171" s="63" t="str">
        <f t="shared" si="64"/>
        <v/>
      </c>
      <c r="H171" s="63" t="str">
        <f t="shared" si="65"/>
        <v/>
      </c>
      <c r="I171" s="63" t="str">
        <f t="shared" si="66"/>
        <v/>
      </c>
      <c r="J171" s="63" t="str">
        <f t="shared" si="67"/>
        <v/>
      </c>
      <c r="K171" s="63" t="str">
        <f t="shared" si="68"/>
        <v/>
      </c>
      <c r="L171" s="165" t="str">
        <f t="shared" si="69"/>
        <v/>
      </c>
      <c r="M171" s="165">
        <f>SUM(Table386[[#This Row],[M11-7]:[M17-124]])</f>
        <v>0</v>
      </c>
    </row>
    <row r="172" spans="1:13" ht="40" customHeight="1" x14ac:dyDescent="0.15">
      <c r="A172" s="174" t="s">
        <v>168</v>
      </c>
      <c r="B172" s="175" t="s">
        <v>169</v>
      </c>
      <c r="C172" s="63" t="str">
        <f t="shared" si="60"/>
        <v/>
      </c>
      <c r="D172" s="63" t="str">
        <f t="shared" si="61"/>
        <v/>
      </c>
      <c r="E172" s="63" t="str">
        <f t="shared" si="62"/>
        <v/>
      </c>
      <c r="F172" s="63" t="str">
        <f t="shared" si="63"/>
        <v/>
      </c>
      <c r="G172" s="63" t="str">
        <f t="shared" si="64"/>
        <v/>
      </c>
      <c r="H172" s="63" t="str">
        <f t="shared" si="65"/>
        <v/>
      </c>
      <c r="I172" s="63" t="str">
        <f t="shared" si="66"/>
        <v/>
      </c>
      <c r="J172" s="63" t="str">
        <f t="shared" si="67"/>
        <v/>
      </c>
      <c r="K172" s="63" t="str">
        <f t="shared" si="68"/>
        <v/>
      </c>
      <c r="L172" s="165" t="str">
        <f t="shared" si="69"/>
        <v/>
      </c>
      <c r="M172" s="165">
        <f>SUM(Table386[[#This Row],[M11-7]:[M17-124]])</f>
        <v>0</v>
      </c>
    </row>
    <row r="173" spans="1:13" ht="40" customHeight="1" x14ac:dyDescent="0.15">
      <c r="A173" s="176" t="s">
        <v>170</v>
      </c>
      <c r="B173" s="177" t="s">
        <v>171</v>
      </c>
      <c r="C173" s="63" t="str">
        <f t="shared" si="60"/>
        <v/>
      </c>
      <c r="D173" s="63" t="str">
        <f t="shared" si="61"/>
        <v/>
      </c>
      <c r="E173" s="63" t="str">
        <f t="shared" si="62"/>
        <v/>
      </c>
      <c r="F173" s="63" t="str">
        <f t="shared" si="63"/>
        <v/>
      </c>
      <c r="G173" s="63" t="str">
        <f t="shared" si="64"/>
        <v/>
      </c>
      <c r="H173" s="63" t="str">
        <f t="shared" si="65"/>
        <v/>
      </c>
      <c r="I173" s="63" t="str">
        <f t="shared" si="66"/>
        <v/>
      </c>
      <c r="J173" s="63" t="str">
        <f t="shared" si="67"/>
        <v/>
      </c>
      <c r="K173" s="63" t="str">
        <f t="shared" si="68"/>
        <v/>
      </c>
      <c r="L173" s="165" t="str">
        <f t="shared" si="69"/>
        <v/>
      </c>
      <c r="M173" s="165">
        <f>SUM(Table386[[#This Row],[M11-7]:[M17-124]])</f>
        <v>0</v>
      </c>
    </row>
    <row r="174" spans="1:13" ht="40" customHeight="1" x14ac:dyDescent="0.15">
      <c r="A174" s="174" t="s">
        <v>172</v>
      </c>
      <c r="B174" s="175" t="s">
        <v>173</v>
      </c>
      <c r="C174" s="63" t="str">
        <f t="shared" si="60"/>
        <v/>
      </c>
      <c r="D174" s="63" t="str">
        <f t="shared" si="61"/>
        <v/>
      </c>
      <c r="E174" s="63" t="str">
        <f t="shared" si="62"/>
        <v/>
      </c>
      <c r="F174" s="63" t="str">
        <f t="shared" si="63"/>
        <v/>
      </c>
      <c r="G174" s="63" t="str">
        <f t="shared" si="64"/>
        <v/>
      </c>
      <c r="H174" s="63" t="str">
        <f t="shared" si="65"/>
        <v/>
      </c>
      <c r="I174" s="63" t="str">
        <f t="shared" si="66"/>
        <v/>
      </c>
      <c r="J174" s="63" t="str">
        <f t="shared" si="67"/>
        <v/>
      </c>
      <c r="K174" s="63" t="str">
        <f t="shared" si="68"/>
        <v/>
      </c>
      <c r="L174" s="165" t="str">
        <f t="shared" si="69"/>
        <v/>
      </c>
      <c r="M174" s="165">
        <f>SUM(Table386[[#This Row],[M11-7]:[M17-124]])</f>
        <v>0</v>
      </c>
    </row>
    <row r="175" spans="1:13" ht="40" customHeight="1" x14ac:dyDescent="0.15">
      <c r="A175" s="174" t="s">
        <v>174</v>
      </c>
      <c r="B175" s="175" t="s">
        <v>175</v>
      </c>
      <c r="C175" s="63" t="str">
        <f t="shared" si="60"/>
        <v/>
      </c>
      <c r="D175" s="63" t="str">
        <f t="shared" si="61"/>
        <v/>
      </c>
      <c r="E175" s="63" t="str">
        <f t="shared" si="62"/>
        <v/>
      </c>
      <c r="F175" s="63" t="str">
        <f t="shared" si="63"/>
        <v/>
      </c>
      <c r="G175" s="63" t="str">
        <f t="shared" si="64"/>
        <v/>
      </c>
      <c r="H175" s="63" t="str">
        <f t="shared" si="65"/>
        <v/>
      </c>
      <c r="I175" s="63" t="str">
        <f t="shared" si="66"/>
        <v/>
      </c>
      <c r="J175" s="63" t="str">
        <f t="shared" si="67"/>
        <v/>
      </c>
      <c r="K175" s="63" t="str">
        <f t="shared" si="68"/>
        <v/>
      </c>
      <c r="L175" s="165" t="str">
        <f t="shared" si="69"/>
        <v/>
      </c>
      <c r="M175" s="165">
        <f>SUM(Table386[[#This Row],[M11-7]:[M17-124]])</f>
        <v>0</v>
      </c>
    </row>
    <row r="176" spans="1:13" ht="40" customHeight="1" x14ac:dyDescent="0.15">
      <c r="A176" s="176" t="s">
        <v>176</v>
      </c>
      <c r="B176" s="177" t="s">
        <v>177</v>
      </c>
      <c r="C176" s="63" t="str">
        <f t="shared" si="60"/>
        <v/>
      </c>
      <c r="D176" s="63" t="str">
        <f t="shared" si="61"/>
        <v/>
      </c>
      <c r="E176" s="63" t="str">
        <f t="shared" si="62"/>
        <v/>
      </c>
      <c r="F176" s="63" t="str">
        <f t="shared" si="63"/>
        <v/>
      </c>
      <c r="G176" s="63" t="str">
        <f t="shared" si="64"/>
        <v/>
      </c>
      <c r="H176" s="63" t="str">
        <f t="shared" si="65"/>
        <v/>
      </c>
      <c r="I176" s="63" t="str">
        <f t="shared" si="66"/>
        <v/>
      </c>
      <c r="J176" s="63" t="str">
        <f t="shared" si="67"/>
        <v/>
      </c>
      <c r="K176" s="63" t="str">
        <f t="shared" si="68"/>
        <v/>
      </c>
      <c r="L176" s="165" t="str">
        <f t="shared" si="69"/>
        <v/>
      </c>
      <c r="M176" s="165">
        <f>SUM(Table386[[#This Row],[M11-7]:[M17-124]])</f>
        <v>0</v>
      </c>
    </row>
    <row r="177" spans="1:13" ht="40" customHeight="1" x14ac:dyDescent="0.15">
      <c r="A177" s="176" t="s">
        <v>178</v>
      </c>
      <c r="B177" s="177" t="s">
        <v>179</v>
      </c>
      <c r="C177" s="63" t="str">
        <f t="shared" si="60"/>
        <v/>
      </c>
      <c r="D177" s="63" t="str">
        <f t="shared" si="61"/>
        <v/>
      </c>
      <c r="E177" s="63" t="str">
        <f t="shared" si="62"/>
        <v/>
      </c>
      <c r="F177" s="63" t="str">
        <f t="shared" si="63"/>
        <v/>
      </c>
      <c r="G177" s="63" t="str">
        <f t="shared" si="64"/>
        <v/>
      </c>
      <c r="H177" s="63" t="str">
        <f t="shared" si="65"/>
        <v/>
      </c>
      <c r="I177" s="63" t="str">
        <f t="shared" si="66"/>
        <v/>
      </c>
      <c r="J177" s="63" t="str">
        <f t="shared" si="67"/>
        <v/>
      </c>
      <c r="K177" s="63" t="str">
        <f t="shared" si="68"/>
        <v/>
      </c>
      <c r="L177" s="165" t="str">
        <f t="shared" si="69"/>
        <v/>
      </c>
      <c r="M177" s="165">
        <f>SUM(Table386[[#This Row],[M11-7]:[M17-124]])</f>
        <v>0</v>
      </c>
    </row>
    <row r="178" spans="1:13" ht="40" customHeight="1" x14ac:dyDescent="0.15">
      <c r="A178" s="176" t="s">
        <v>180</v>
      </c>
      <c r="B178" s="177" t="s">
        <v>181</v>
      </c>
      <c r="C178" s="63" t="str">
        <f t="shared" si="60"/>
        <v/>
      </c>
      <c r="D178" s="63" t="str">
        <f t="shared" si="61"/>
        <v/>
      </c>
      <c r="E178" s="63" t="str">
        <f t="shared" si="62"/>
        <v/>
      </c>
      <c r="F178" s="63" t="str">
        <f t="shared" si="63"/>
        <v/>
      </c>
      <c r="G178" s="63" t="str">
        <f t="shared" si="64"/>
        <v/>
      </c>
      <c r="H178" s="63" t="str">
        <f t="shared" si="65"/>
        <v/>
      </c>
      <c r="I178" s="63" t="str">
        <f t="shared" si="66"/>
        <v/>
      </c>
      <c r="J178" s="63" t="str">
        <f t="shared" si="67"/>
        <v/>
      </c>
      <c r="K178" s="63" t="str">
        <f t="shared" si="68"/>
        <v/>
      </c>
      <c r="L178" s="165" t="str">
        <f t="shared" si="69"/>
        <v/>
      </c>
      <c r="M178" s="165">
        <f>SUM(Table386[[#This Row],[M11-7]:[M17-124]])</f>
        <v>0</v>
      </c>
    </row>
    <row r="179" spans="1:13" ht="40" customHeight="1" x14ac:dyDescent="0.15">
      <c r="A179" s="174" t="s">
        <v>182</v>
      </c>
      <c r="B179" s="175" t="s">
        <v>183</v>
      </c>
      <c r="C179" s="63" t="str">
        <f t="shared" si="60"/>
        <v/>
      </c>
      <c r="D179" s="63" t="str">
        <f t="shared" si="61"/>
        <v/>
      </c>
      <c r="E179" s="63" t="str">
        <f t="shared" si="62"/>
        <v/>
      </c>
      <c r="F179" s="63" t="str">
        <f t="shared" si="63"/>
        <v/>
      </c>
      <c r="G179" s="63" t="str">
        <f t="shared" si="64"/>
        <v/>
      </c>
      <c r="H179" s="63" t="str">
        <f t="shared" si="65"/>
        <v/>
      </c>
      <c r="I179" s="63" t="str">
        <f t="shared" si="66"/>
        <v/>
      </c>
      <c r="J179" s="63" t="str">
        <f t="shared" si="67"/>
        <v/>
      </c>
      <c r="K179" s="63" t="str">
        <f t="shared" si="68"/>
        <v/>
      </c>
      <c r="L179" s="165" t="str">
        <f t="shared" si="69"/>
        <v/>
      </c>
      <c r="M179" s="165">
        <f>SUM(Table386[[#This Row],[M11-7]:[M17-124]])</f>
        <v>0</v>
      </c>
    </row>
    <row r="180" spans="1:13" ht="40" customHeight="1" x14ac:dyDescent="0.15">
      <c r="A180" s="174" t="s">
        <v>184</v>
      </c>
      <c r="B180" s="175" t="s">
        <v>185</v>
      </c>
      <c r="C180" s="63" t="str">
        <f t="shared" si="60"/>
        <v/>
      </c>
      <c r="D180" s="63" t="str">
        <f t="shared" si="61"/>
        <v/>
      </c>
      <c r="E180" s="63" t="str">
        <f t="shared" si="62"/>
        <v/>
      </c>
      <c r="F180" s="63" t="str">
        <f t="shared" si="63"/>
        <v/>
      </c>
      <c r="G180" s="63" t="str">
        <f t="shared" si="64"/>
        <v/>
      </c>
      <c r="H180" s="63" t="str">
        <f t="shared" si="65"/>
        <v/>
      </c>
      <c r="I180" s="63" t="str">
        <f t="shared" si="66"/>
        <v/>
      </c>
      <c r="J180" s="63" t="str">
        <f t="shared" si="67"/>
        <v/>
      </c>
      <c r="K180" s="63" t="str">
        <f t="shared" si="68"/>
        <v/>
      </c>
      <c r="L180" s="165" t="str">
        <f t="shared" si="69"/>
        <v/>
      </c>
      <c r="M180" s="165">
        <f>SUM(Table386[[#This Row],[M11-7]:[M17-124]])</f>
        <v>0</v>
      </c>
    </row>
    <row r="181" spans="1:13" ht="40" customHeight="1" x14ac:dyDescent="0.15">
      <c r="A181" s="163" t="s">
        <v>186</v>
      </c>
      <c r="B181" s="164"/>
      <c r="C181" s="63" t="str">
        <f t="shared" si="60"/>
        <v/>
      </c>
      <c r="D181" s="63" t="str">
        <f t="shared" si="61"/>
        <v/>
      </c>
      <c r="E181" s="63" t="str">
        <f t="shared" si="62"/>
        <v/>
      </c>
      <c r="F181" s="63" t="str">
        <f t="shared" si="63"/>
        <v/>
      </c>
      <c r="G181" s="63" t="str">
        <f t="shared" si="64"/>
        <v/>
      </c>
      <c r="H181" s="63" t="str">
        <f t="shared" si="65"/>
        <v/>
      </c>
      <c r="I181" s="63" t="str">
        <f t="shared" si="66"/>
        <v/>
      </c>
      <c r="J181" s="63" t="str">
        <f t="shared" si="67"/>
        <v/>
      </c>
      <c r="K181" s="63" t="str">
        <f t="shared" si="68"/>
        <v/>
      </c>
      <c r="L181" s="165" t="str">
        <f t="shared" si="69"/>
        <v/>
      </c>
      <c r="M181" s="165">
        <f>SUM(Table386[[#This Row],[M11-7]:[M17-124]])</f>
        <v>0</v>
      </c>
    </row>
    <row r="182" spans="1:13" ht="40" customHeight="1" x14ac:dyDescent="0.15">
      <c r="A182" s="174" t="s">
        <v>187</v>
      </c>
      <c r="B182" s="175" t="s">
        <v>188</v>
      </c>
      <c r="C182" s="63" t="str">
        <f t="shared" ref="C182:C213" si="70">J72</f>
        <v/>
      </c>
      <c r="D182" s="63" t="str">
        <f t="shared" ref="D182:D213" si="71">R72</f>
        <v/>
      </c>
      <c r="E182" s="63" t="str">
        <f t="shared" ref="E182:E213" si="72">Z72</f>
        <v/>
      </c>
      <c r="F182" s="63" t="str">
        <f t="shared" ref="F182:F213" si="73">AH72</f>
        <v/>
      </c>
      <c r="G182" s="63" t="str">
        <f t="shared" ref="G182:G213" si="74">AP72</f>
        <v/>
      </c>
      <c r="H182" s="63" t="str">
        <f t="shared" ref="H182:H213" si="75">AX72</f>
        <v/>
      </c>
      <c r="I182" s="63" t="str">
        <f t="shared" ref="I182:I213" si="76">BF72</f>
        <v/>
      </c>
      <c r="J182" s="63" t="str">
        <f t="shared" ref="J182:J213" si="77">BN72</f>
        <v/>
      </c>
      <c r="K182" s="63" t="str">
        <f t="shared" ref="K182:K213" si="78">BV72</f>
        <v/>
      </c>
      <c r="L182" s="165" t="str">
        <f t="shared" ref="L182:L213" si="79">CD72</f>
        <v/>
      </c>
      <c r="M182" s="165">
        <f>SUM(Table386[[#This Row],[M11-7]:[M17-124]])</f>
        <v>0</v>
      </c>
    </row>
    <row r="183" spans="1:13" ht="40" customHeight="1" x14ac:dyDescent="0.15">
      <c r="A183" s="176" t="s">
        <v>189</v>
      </c>
      <c r="B183" s="177" t="s">
        <v>190</v>
      </c>
      <c r="C183" s="63" t="str">
        <f t="shared" si="70"/>
        <v/>
      </c>
      <c r="D183" s="63" t="str">
        <f t="shared" si="71"/>
        <v/>
      </c>
      <c r="E183" s="63" t="str">
        <f t="shared" si="72"/>
        <v/>
      </c>
      <c r="F183" s="63" t="str">
        <f t="shared" si="73"/>
        <v/>
      </c>
      <c r="G183" s="63" t="str">
        <f t="shared" si="74"/>
        <v/>
      </c>
      <c r="H183" s="63" t="str">
        <f t="shared" si="75"/>
        <v/>
      </c>
      <c r="I183" s="63" t="str">
        <f t="shared" si="76"/>
        <v/>
      </c>
      <c r="J183" s="63" t="str">
        <f t="shared" si="77"/>
        <v/>
      </c>
      <c r="K183" s="63" t="str">
        <f t="shared" si="78"/>
        <v/>
      </c>
      <c r="L183" s="165" t="str">
        <f t="shared" si="79"/>
        <v/>
      </c>
      <c r="M183" s="165">
        <f>SUM(Table386[[#This Row],[M11-7]:[M17-124]])</f>
        <v>0</v>
      </c>
    </row>
    <row r="184" spans="1:13" ht="40" customHeight="1" x14ac:dyDescent="0.15">
      <c r="A184" s="174" t="s">
        <v>191</v>
      </c>
      <c r="B184" s="175" t="s">
        <v>192</v>
      </c>
      <c r="C184" s="63" t="str">
        <f t="shared" si="70"/>
        <v/>
      </c>
      <c r="D184" s="63" t="str">
        <f t="shared" si="71"/>
        <v/>
      </c>
      <c r="E184" s="63" t="str">
        <f t="shared" si="72"/>
        <v/>
      </c>
      <c r="F184" s="63" t="str">
        <f t="shared" si="73"/>
        <v/>
      </c>
      <c r="G184" s="63" t="str">
        <f t="shared" si="74"/>
        <v/>
      </c>
      <c r="H184" s="63" t="str">
        <f t="shared" si="75"/>
        <v/>
      </c>
      <c r="I184" s="63" t="str">
        <f t="shared" si="76"/>
        <v/>
      </c>
      <c r="J184" s="63" t="str">
        <f t="shared" si="77"/>
        <v/>
      </c>
      <c r="K184" s="63" t="str">
        <f t="shared" si="78"/>
        <v/>
      </c>
      <c r="L184" s="165" t="str">
        <f t="shared" si="79"/>
        <v/>
      </c>
      <c r="M184" s="165">
        <f>SUM(Table386[[#This Row],[M11-7]:[M17-124]])</f>
        <v>0</v>
      </c>
    </row>
    <row r="185" spans="1:13" ht="40" customHeight="1" x14ac:dyDescent="0.15">
      <c r="A185" s="174" t="s">
        <v>193</v>
      </c>
      <c r="B185" s="175" t="s">
        <v>194</v>
      </c>
      <c r="C185" s="63" t="str">
        <f t="shared" si="70"/>
        <v/>
      </c>
      <c r="D185" s="63" t="str">
        <f t="shared" si="71"/>
        <v/>
      </c>
      <c r="E185" s="63" t="str">
        <f t="shared" si="72"/>
        <v/>
      </c>
      <c r="F185" s="63" t="str">
        <f t="shared" si="73"/>
        <v/>
      </c>
      <c r="G185" s="63" t="str">
        <f t="shared" si="74"/>
        <v/>
      </c>
      <c r="H185" s="63" t="str">
        <f t="shared" si="75"/>
        <v/>
      </c>
      <c r="I185" s="63" t="str">
        <f t="shared" si="76"/>
        <v/>
      </c>
      <c r="J185" s="63" t="str">
        <f t="shared" si="77"/>
        <v/>
      </c>
      <c r="K185" s="63" t="str">
        <f t="shared" si="78"/>
        <v/>
      </c>
      <c r="L185" s="165" t="str">
        <f t="shared" si="79"/>
        <v/>
      </c>
      <c r="M185" s="165">
        <f>SUM(Table386[[#This Row],[M11-7]:[M17-124]])</f>
        <v>0</v>
      </c>
    </row>
    <row r="186" spans="1:13" ht="40" customHeight="1" x14ac:dyDescent="0.15">
      <c r="A186" s="176" t="s">
        <v>195</v>
      </c>
      <c r="B186" s="177" t="s">
        <v>196</v>
      </c>
      <c r="C186" s="63" t="str">
        <f t="shared" si="70"/>
        <v/>
      </c>
      <c r="D186" s="63" t="str">
        <f t="shared" si="71"/>
        <v/>
      </c>
      <c r="E186" s="63" t="str">
        <f t="shared" si="72"/>
        <v/>
      </c>
      <c r="F186" s="63" t="str">
        <f t="shared" si="73"/>
        <v/>
      </c>
      <c r="G186" s="63" t="str">
        <f t="shared" si="74"/>
        <v/>
      </c>
      <c r="H186" s="63" t="str">
        <f t="shared" si="75"/>
        <v/>
      </c>
      <c r="I186" s="63" t="str">
        <f t="shared" si="76"/>
        <v/>
      </c>
      <c r="J186" s="63" t="str">
        <f t="shared" si="77"/>
        <v/>
      </c>
      <c r="K186" s="63" t="str">
        <f t="shared" si="78"/>
        <v/>
      </c>
      <c r="L186" s="165" t="str">
        <f t="shared" si="79"/>
        <v/>
      </c>
      <c r="M186" s="165">
        <f>SUM(Table386[[#This Row],[M11-7]:[M17-124]])</f>
        <v>0</v>
      </c>
    </row>
    <row r="187" spans="1:13" ht="40" customHeight="1" x14ac:dyDescent="0.15">
      <c r="A187" s="163" t="s">
        <v>197</v>
      </c>
      <c r="B187" s="164"/>
      <c r="C187" s="63" t="str">
        <f t="shared" si="70"/>
        <v/>
      </c>
      <c r="D187" s="63" t="str">
        <f t="shared" si="71"/>
        <v/>
      </c>
      <c r="E187" s="63" t="str">
        <f t="shared" si="72"/>
        <v/>
      </c>
      <c r="F187" s="63" t="str">
        <f t="shared" si="73"/>
        <v/>
      </c>
      <c r="G187" s="63" t="str">
        <f t="shared" si="74"/>
        <v/>
      </c>
      <c r="H187" s="63" t="str">
        <f t="shared" si="75"/>
        <v/>
      </c>
      <c r="I187" s="63" t="str">
        <f t="shared" si="76"/>
        <v/>
      </c>
      <c r="J187" s="63" t="str">
        <f t="shared" si="77"/>
        <v/>
      </c>
      <c r="K187" s="63" t="str">
        <f t="shared" si="78"/>
        <v/>
      </c>
      <c r="L187" s="165" t="str">
        <f t="shared" si="79"/>
        <v/>
      </c>
      <c r="M187" s="165">
        <f>SUM(Table386[[#This Row],[M11-7]:[M17-124]])</f>
        <v>0</v>
      </c>
    </row>
    <row r="188" spans="1:13" ht="40" customHeight="1" x14ac:dyDescent="0.15">
      <c r="A188" s="176" t="s">
        <v>198</v>
      </c>
      <c r="B188" s="177" t="s">
        <v>199</v>
      </c>
      <c r="C188" s="63" t="str">
        <f t="shared" si="70"/>
        <v/>
      </c>
      <c r="D188" s="63" t="str">
        <f t="shared" si="71"/>
        <v/>
      </c>
      <c r="E188" s="63" t="str">
        <f t="shared" si="72"/>
        <v/>
      </c>
      <c r="F188" s="63" t="str">
        <f t="shared" si="73"/>
        <v/>
      </c>
      <c r="G188" s="63" t="str">
        <f t="shared" si="74"/>
        <v/>
      </c>
      <c r="H188" s="63" t="str">
        <f t="shared" si="75"/>
        <v/>
      </c>
      <c r="I188" s="63" t="str">
        <f t="shared" si="76"/>
        <v/>
      </c>
      <c r="J188" s="63" t="str">
        <f t="shared" si="77"/>
        <v/>
      </c>
      <c r="K188" s="63" t="str">
        <f t="shared" si="78"/>
        <v/>
      </c>
      <c r="L188" s="165" t="str">
        <f t="shared" si="79"/>
        <v/>
      </c>
      <c r="M188" s="165">
        <f>SUM(Table386[[#This Row],[M11-7]:[M17-124]])</f>
        <v>0</v>
      </c>
    </row>
    <row r="189" spans="1:13" ht="40" customHeight="1" x14ac:dyDescent="0.15">
      <c r="A189" s="174" t="s">
        <v>200</v>
      </c>
      <c r="B189" s="175" t="s">
        <v>201</v>
      </c>
      <c r="C189" s="63" t="str">
        <f t="shared" si="70"/>
        <v/>
      </c>
      <c r="D189" s="63" t="str">
        <f t="shared" si="71"/>
        <v/>
      </c>
      <c r="E189" s="63" t="str">
        <f t="shared" si="72"/>
        <v/>
      </c>
      <c r="F189" s="63" t="str">
        <f t="shared" si="73"/>
        <v/>
      </c>
      <c r="G189" s="63" t="str">
        <f t="shared" si="74"/>
        <v/>
      </c>
      <c r="H189" s="63" t="str">
        <f t="shared" si="75"/>
        <v/>
      </c>
      <c r="I189" s="63" t="str">
        <f t="shared" si="76"/>
        <v/>
      </c>
      <c r="J189" s="63" t="str">
        <f t="shared" si="77"/>
        <v/>
      </c>
      <c r="K189" s="63" t="str">
        <f t="shared" si="78"/>
        <v/>
      </c>
      <c r="L189" s="165" t="str">
        <f t="shared" si="79"/>
        <v/>
      </c>
      <c r="M189" s="165">
        <f>SUM(Table386[[#This Row],[M11-7]:[M17-124]])</f>
        <v>0</v>
      </c>
    </row>
    <row r="190" spans="1:13" ht="40" customHeight="1" x14ac:dyDescent="0.15">
      <c r="A190" s="176" t="s">
        <v>202</v>
      </c>
      <c r="B190" s="177" t="s">
        <v>203</v>
      </c>
      <c r="C190" s="63" t="str">
        <f t="shared" si="70"/>
        <v/>
      </c>
      <c r="D190" s="63" t="str">
        <f t="shared" si="71"/>
        <v/>
      </c>
      <c r="E190" s="63" t="str">
        <f t="shared" si="72"/>
        <v/>
      </c>
      <c r="F190" s="63" t="str">
        <f t="shared" si="73"/>
        <v/>
      </c>
      <c r="G190" s="63" t="str">
        <f t="shared" si="74"/>
        <v/>
      </c>
      <c r="H190" s="63" t="str">
        <f t="shared" si="75"/>
        <v/>
      </c>
      <c r="I190" s="63" t="str">
        <f t="shared" si="76"/>
        <v/>
      </c>
      <c r="J190" s="63" t="str">
        <f t="shared" si="77"/>
        <v/>
      </c>
      <c r="K190" s="63" t="str">
        <f t="shared" si="78"/>
        <v/>
      </c>
      <c r="L190" s="165" t="str">
        <f t="shared" si="79"/>
        <v/>
      </c>
      <c r="M190" s="165">
        <f>SUM(Table386[[#This Row],[M11-7]:[M17-124]])</f>
        <v>0</v>
      </c>
    </row>
    <row r="191" spans="1:13" ht="40" customHeight="1" x14ac:dyDescent="0.15">
      <c r="A191" s="174" t="s">
        <v>204</v>
      </c>
      <c r="B191" s="175" t="s">
        <v>205</v>
      </c>
      <c r="C191" s="63" t="str">
        <f t="shared" si="70"/>
        <v/>
      </c>
      <c r="D191" s="63" t="str">
        <f t="shared" si="71"/>
        <v/>
      </c>
      <c r="E191" s="63" t="str">
        <f t="shared" si="72"/>
        <v/>
      </c>
      <c r="F191" s="63" t="str">
        <f t="shared" si="73"/>
        <v/>
      </c>
      <c r="G191" s="63" t="str">
        <f t="shared" si="74"/>
        <v/>
      </c>
      <c r="H191" s="63" t="str">
        <f t="shared" si="75"/>
        <v/>
      </c>
      <c r="I191" s="63" t="str">
        <f t="shared" si="76"/>
        <v/>
      </c>
      <c r="J191" s="63" t="str">
        <f t="shared" si="77"/>
        <v/>
      </c>
      <c r="K191" s="63" t="str">
        <f t="shared" si="78"/>
        <v/>
      </c>
      <c r="L191" s="165" t="str">
        <f t="shared" si="79"/>
        <v/>
      </c>
      <c r="M191" s="165">
        <f>SUM(Table386[[#This Row],[M11-7]:[M17-124]])</f>
        <v>0</v>
      </c>
    </row>
    <row r="192" spans="1:13" ht="40" customHeight="1" x14ac:dyDescent="0.15">
      <c r="A192" s="176" t="s">
        <v>206</v>
      </c>
      <c r="B192" s="177" t="s">
        <v>207</v>
      </c>
      <c r="C192" s="63" t="str">
        <f t="shared" si="70"/>
        <v/>
      </c>
      <c r="D192" s="63" t="str">
        <f t="shared" si="71"/>
        <v/>
      </c>
      <c r="E192" s="63" t="str">
        <f t="shared" si="72"/>
        <v/>
      </c>
      <c r="F192" s="63" t="str">
        <f t="shared" si="73"/>
        <v/>
      </c>
      <c r="G192" s="63" t="str">
        <f t="shared" si="74"/>
        <v/>
      </c>
      <c r="H192" s="63" t="str">
        <f t="shared" si="75"/>
        <v/>
      </c>
      <c r="I192" s="63" t="str">
        <f t="shared" si="76"/>
        <v/>
      </c>
      <c r="J192" s="63" t="str">
        <f t="shared" si="77"/>
        <v/>
      </c>
      <c r="K192" s="63" t="str">
        <f t="shared" si="78"/>
        <v/>
      </c>
      <c r="L192" s="165" t="str">
        <f t="shared" si="79"/>
        <v/>
      </c>
      <c r="M192" s="165">
        <f>SUM(Table386[[#This Row],[M11-7]:[M17-124]])</f>
        <v>0</v>
      </c>
    </row>
    <row r="193" spans="1:13" ht="40" customHeight="1" x14ac:dyDescent="0.15">
      <c r="A193" s="174" t="s">
        <v>208</v>
      </c>
      <c r="B193" s="175" t="s">
        <v>209</v>
      </c>
      <c r="C193" s="63" t="str">
        <f t="shared" si="70"/>
        <v/>
      </c>
      <c r="D193" s="63" t="str">
        <f t="shared" si="71"/>
        <v/>
      </c>
      <c r="E193" s="63" t="str">
        <f t="shared" si="72"/>
        <v/>
      </c>
      <c r="F193" s="63" t="str">
        <f t="shared" si="73"/>
        <v/>
      </c>
      <c r="G193" s="63" t="str">
        <f t="shared" si="74"/>
        <v/>
      </c>
      <c r="H193" s="63" t="str">
        <f t="shared" si="75"/>
        <v/>
      </c>
      <c r="I193" s="63" t="str">
        <f t="shared" si="76"/>
        <v/>
      </c>
      <c r="J193" s="63" t="str">
        <f t="shared" si="77"/>
        <v/>
      </c>
      <c r="K193" s="63" t="str">
        <f t="shared" si="78"/>
        <v/>
      </c>
      <c r="L193" s="165" t="str">
        <f t="shared" si="79"/>
        <v/>
      </c>
      <c r="M193" s="165">
        <f>SUM(Table386[[#This Row],[M11-7]:[M17-124]])</f>
        <v>0</v>
      </c>
    </row>
    <row r="194" spans="1:13" ht="40" customHeight="1" x14ac:dyDescent="0.15">
      <c r="A194" s="176" t="s">
        <v>210</v>
      </c>
      <c r="B194" s="177" t="s">
        <v>211</v>
      </c>
      <c r="C194" s="63" t="str">
        <f t="shared" si="70"/>
        <v/>
      </c>
      <c r="D194" s="63" t="str">
        <f t="shared" si="71"/>
        <v/>
      </c>
      <c r="E194" s="63" t="str">
        <f t="shared" si="72"/>
        <v/>
      </c>
      <c r="F194" s="63" t="str">
        <f t="shared" si="73"/>
        <v/>
      </c>
      <c r="G194" s="63" t="str">
        <f t="shared" si="74"/>
        <v/>
      </c>
      <c r="H194" s="63" t="str">
        <f t="shared" si="75"/>
        <v/>
      </c>
      <c r="I194" s="63" t="str">
        <f t="shared" si="76"/>
        <v/>
      </c>
      <c r="J194" s="63" t="str">
        <f t="shared" si="77"/>
        <v/>
      </c>
      <c r="K194" s="63" t="str">
        <f t="shared" si="78"/>
        <v/>
      </c>
      <c r="L194" s="165" t="str">
        <f t="shared" si="79"/>
        <v/>
      </c>
      <c r="M194" s="165">
        <f>SUM(Table386[[#This Row],[M11-7]:[M17-124]])</f>
        <v>0</v>
      </c>
    </row>
    <row r="195" spans="1:13" ht="40" customHeight="1" x14ac:dyDescent="0.15">
      <c r="A195" s="174" t="s">
        <v>212</v>
      </c>
      <c r="B195" s="175" t="s">
        <v>213</v>
      </c>
      <c r="C195" s="63" t="str">
        <f t="shared" si="70"/>
        <v/>
      </c>
      <c r="D195" s="63" t="str">
        <f t="shared" si="71"/>
        <v/>
      </c>
      <c r="E195" s="63" t="str">
        <f t="shared" si="72"/>
        <v/>
      </c>
      <c r="F195" s="63" t="str">
        <f t="shared" si="73"/>
        <v/>
      </c>
      <c r="G195" s="63" t="str">
        <f t="shared" si="74"/>
        <v/>
      </c>
      <c r="H195" s="63" t="str">
        <f t="shared" si="75"/>
        <v/>
      </c>
      <c r="I195" s="63" t="str">
        <f t="shared" si="76"/>
        <v/>
      </c>
      <c r="J195" s="63" t="str">
        <f t="shared" si="77"/>
        <v/>
      </c>
      <c r="K195" s="63" t="str">
        <f t="shared" si="78"/>
        <v/>
      </c>
      <c r="L195" s="165" t="str">
        <f t="shared" si="79"/>
        <v/>
      </c>
      <c r="M195" s="165">
        <f>SUM(Table386[[#This Row],[M11-7]:[M17-124]])</f>
        <v>0</v>
      </c>
    </row>
    <row r="196" spans="1:13" ht="40" customHeight="1" x14ac:dyDescent="0.15">
      <c r="A196" s="174" t="s">
        <v>214</v>
      </c>
      <c r="B196" s="175" t="s">
        <v>215</v>
      </c>
      <c r="C196" s="63" t="str">
        <f t="shared" si="70"/>
        <v/>
      </c>
      <c r="D196" s="63" t="str">
        <f t="shared" si="71"/>
        <v/>
      </c>
      <c r="E196" s="63" t="str">
        <f t="shared" si="72"/>
        <v/>
      </c>
      <c r="F196" s="63" t="str">
        <f t="shared" si="73"/>
        <v/>
      </c>
      <c r="G196" s="63" t="str">
        <f t="shared" si="74"/>
        <v/>
      </c>
      <c r="H196" s="63" t="str">
        <f t="shared" si="75"/>
        <v/>
      </c>
      <c r="I196" s="63" t="str">
        <f t="shared" si="76"/>
        <v/>
      </c>
      <c r="J196" s="63" t="str">
        <f t="shared" si="77"/>
        <v/>
      </c>
      <c r="K196" s="63" t="str">
        <f t="shared" si="78"/>
        <v/>
      </c>
      <c r="L196" s="165" t="str">
        <f t="shared" si="79"/>
        <v/>
      </c>
      <c r="M196" s="165">
        <f>SUM(Table386[[#This Row],[M11-7]:[M17-124]])</f>
        <v>0</v>
      </c>
    </row>
    <row r="197" spans="1:13" ht="40" customHeight="1" x14ac:dyDescent="0.15">
      <c r="A197" s="163" t="s">
        <v>216</v>
      </c>
      <c r="B197" s="164"/>
      <c r="C197" s="63" t="str">
        <f t="shared" si="70"/>
        <v/>
      </c>
      <c r="D197" s="63" t="str">
        <f t="shared" si="71"/>
        <v/>
      </c>
      <c r="E197" s="63" t="str">
        <f t="shared" si="72"/>
        <v/>
      </c>
      <c r="F197" s="63" t="str">
        <f t="shared" si="73"/>
        <v/>
      </c>
      <c r="G197" s="63" t="str">
        <f t="shared" si="74"/>
        <v/>
      </c>
      <c r="H197" s="63" t="str">
        <f t="shared" si="75"/>
        <v/>
      </c>
      <c r="I197" s="63" t="str">
        <f t="shared" si="76"/>
        <v/>
      </c>
      <c r="J197" s="63" t="str">
        <f t="shared" si="77"/>
        <v/>
      </c>
      <c r="K197" s="63" t="str">
        <f t="shared" si="78"/>
        <v/>
      </c>
      <c r="L197" s="165" t="str">
        <f t="shared" si="79"/>
        <v/>
      </c>
      <c r="M197" s="165">
        <f>SUM(Table386[[#This Row],[M11-7]:[M17-124]])</f>
        <v>0</v>
      </c>
    </row>
    <row r="198" spans="1:13" ht="40" customHeight="1" x14ac:dyDescent="0.15">
      <c r="A198" s="174" t="s">
        <v>217</v>
      </c>
      <c r="B198" s="175" t="s">
        <v>218</v>
      </c>
      <c r="C198" s="63" t="str">
        <f t="shared" si="70"/>
        <v/>
      </c>
      <c r="D198" s="63" t="str">
        <f t="shared" si="71"/>
        <v/>
      </c>
      <c r="E198" s="63" t="str">
        <f t="shared" si="72"/>
        <v/>
      </c>
      <c r="F198" s="63" t="str">
        <f t="shared" si="73"/>
        <v/>
      </c>
      <c r="G198" s="63" t="str">
        <f t="shared" si="74"/>
        <v/>
      </c>
      <c r="H198" s="63" t="str">
        <f t="shared" si="75"/>
        <v/>
      </c>
      <c r="I198" s="63" t="str">
        <f t="shared" si="76"/>
        <v/>
      </c>
      <c r="J198" s="63" t="str">
        <f t="shared" si="77"/>
        <v/>
      </c>
      <c r="K198" s="63" t="str">
        <f t="shared" si="78"/>
        <v/>
      </c>
      <c r="L198" s="165" t="str">
        <f t="shared" si="79"/>
        <v/>
      </c>
      <c r="M198" s="165">
        <f>SUM(Table386[[#This Row],[M11-7]:[M17-124]])</f>
        <v>0</v>
      </c>
    </row>
    <row r="199" spans="1:13" ht="40" customHeight="1" x14ac:dyDescent="0.15">
      <c r="A199" s="176" t="s">
        <v>219</v>
      </c>
      <c r="B199" s="177" t="s">
        <v>220</v>
      </c>
      <c r="C199" s="63" t="str">
        <f t="shared" si="70"/>
        <v/>
      </c>
      <c r="D199" s="63" t="str">
        <f t="shared" si="71"/>
        <v/>
      </c>
      <c r="E199" s="63" t="str">
        <f t="shared" si="72"/>
        <v/>
      </c>
      <c r="F199" s="63" t="str">
        <f t="shared" si="73"/>
        <v/>
      </c>
      <c r="G199" s="63" t="str">
        <f t="shared" si="74"/>
        <v/>
      </c>
      <c r="H199" s="63" t="str">
        <f t="shared" si="75"/>
        <v/>
      </c>
      <c r="I199" s="63" t="str">
        <f t="shared" si="76"/>
        <v/>
      </c>
      <c r="J199" s="63" t="str">
        <f t="shared" si="77"/>
        <v/>
      </c>
      <c r="K199" s="63" t="str">
        <f t="shared" si="78"/>
        <v/>
      </c>
      <c r="L199" s="165" t="str">
        <f t="shared" si="79"/>
        <v/>
      </c>
      <c r="M199" s="165">
        <f>SUM(Table386[[#This Row],[M11-7]:[M17-124]])</f>
        <v>0</v>
      </c>
    </row>
    <row r="200" spans="1:13" ht="40" customHeight="1" x14ac:dyDescent="0.15">
      <c r="A200" s="174" t="s">
        <v>221</v>
      </c>
      <c r="B200" s="175" t="s">
        <v>222</v>
      </c>
      <c r="C200" s="63" t="str">
        <f t="shared" si="70"/>
        <v/>
      </c>
      <c r="D200" s="63" t="str">
        <f t="shared" si="71"/>
        <v/>
      </c>
      <c r="E200" s="63" t="str">
        <f t="shared" si="72"/>
        <v/>
      </c>
      <c r="F200" s="63" t="str">
        <f t="shared" si="73"/>
        <v/>
      </c>
      <c r="G200" s="63" t="str">
        <f t="shared" si="74"/>
        <v/>
      </c>
      <c r="H200" s="63" t="str">
        <f t="shared" si="75"/>
        <v/>
      </c>
      <c r="I200" s="63" t="str">
        <f t="shared" si="76"/>
        <v/>
      </c>
      <c r="J200" s="63" t="str">
        <f t="shared" si="77"/>
        <v/>
      </c>
      <c r="K200" s="63" t="str">
        <f t="shared" si="78"/>
        <v/>
      </c>
      <c r="L200" s="165" t="str">
        <f t="shared" si="79"/>
        <v/>
      </c>
      <c r="M200" s="165">
        <f>SUM(Table386[[#This Row],[M11-7]:[M17-124]])</f>
        <v>0</v>
      </c>
    </row>
    <row r="201" spans="1:13" ht="40" customHeight="1" x14ac:dyDescent="0.15">
      <c r="A201" s="176" t="s">
        <v>223</v>
      </c>
      <c r="B201" s="177" t="s">
        <v>224</v>
      </c>
      <c r="C201" s="63" t="str">
        <f t="shared" si="70"/>
        <v/>
      </c>
      <c r="D201" s="63" t="str">
        <f t="shared" si="71"/>
        <v/>
      </c>
      <c r="E201" s="63" t="str">
        <f t="shared" si="72"/>
        <v/>
      </c>
      <c r="F201" s="63" t="str">
        <f t="shared" si="73"/>
        <v/>
      </c>
      <c r="G201" s="63" t="str">
        <f t="shared" si="74"/>
        <v/>
      </c>
      <c r="H201" s="63" t="str">
        <f t="shared" si="75"/>
        <v/>
      </c>
      <c r="I201" s="63" t="str">
        <f t="shared" si="76"/>
        <v/>
      </c>
      <c r="J201" s="63" t="str">
        <f t="shared" si="77"/>
        <v/>
      </c>
      <c r="K201" s="63" t="str">
        <f t="shared" si="78"/>
        <v/>
      </c>
      <c r="L201" s="165" t="str">
        <f t="shared" si="79"/>
        <v/>
      </c>
      <c r="M201" s="165">
        <f>SUM(Table386[[#This Row],[M11-7]:[M17-124]])</f>
        <v>0</v>
      </c>
    </row>
    <row r="202" spans="1:13" ht="40" customHeight="1" x14ac:dyDescent="0.15">
      <c r="A202" s="174" t="s">
        <v>225</v>
      </c>
      <c r="B202" s="175" t="s">
        <v>226</v>
      </c>
      <c r="C202" s="63" t="str">
        <f t="shared" si="70"/>
        <v/>
      </c>
      <c r="D202" s="63" t="str">
        <f t="shared" si="71"/>
        <v/>
      </c>
      <c r="E202" s="63" t="str">
        <f t="shared" si="72"/>
        <v/>
      </c>
      <c r="F202" s="63" t="str">
        <f t="shared" si="73"/>
        <v/>
      </c>
      <c r="G202" s="63" t="str">
        <f t="shared" si="74"/>
        <v/>
      </c>
      <c r="H202" s="63" t="str">
        <f t="shared" si="75"/>
        <v/>
      </c>
      <c r="I202" s="63" t="str">
        <f t="shared" si="76"/>
        <v/>
      </c>
      <c r="J202" s="63" t="str">
        <f t="shared" si="77"/>
        <v/>
      </c>
      <c r="K202" s="63" t="str">
        <f t="shared" si="78"/>
        <v/>
      </c>
      <c r="L202" s="165" t="str">
        <f t="shared" si="79"/>
        <v/>
      </c>
      <c r="M202" s="165">
        <f>SUM(Table386[[#This Row],[M11-7]:[M17-124]])</f>
        <v>0</v>
      </c>
    </row>
    <row r="203" spans="1:13" ht="40" customHeight="1" x14ac:dyDescent="0.15">
      <c r="A203" s="174" t="s">
        <v>227</v>
      </c>
      <c r="B203" s="175" t="s">
        <v>228</v>
      </c>
      <c r="C203" s="63" t="str">
        <f t="shared" si="70"/>
        <v/>
      </c>
      <c r="D203" s="63" t="str">
        <f t="shared" si="71"/>
        <v/>
      </c>
      <c r="E203" s="63" t="str">
        <f t="shared" si="72"/>
        <v/>
      </c>
      <c r="F203" s="63" t="str">
        <f t="shared" si="73"/>
        <v/>
      </c>
      <c r="G203" s="63" t="str">
        <f t="shared" si="74"/>
        <v/>
      </c>
      <c r="H203" s="63" t="str">
        <f t="shared" si="75"/>
        <v/>
      </c>
      <c r="I203" s="63" t="str">
        <f t="shared" si="76"/>
        <v/>
      </c>
      <c r="J203" s="63" t="str">
        <f t="shared" si="77"/>
        <v/>
      </c>
      <c r="K203" s="63" t="str">
        <f t="shared" si="78"/>
        <v/>
      </c>
      <c r="L203" s="165" t="str">
        <f t="shared" si="79"/>
        <v/>
      </c>
      <c r="M203" s="165">
        <f>SUM(Table386[[#This Row],[M11-7]:[M17-124]])</f>
        <v>0</v>
      </c>
    </row>
    <row r="204" spans="1:13" ht="40" customHeight="1" x14ac:dyDescent="0.15">
      <c r="A204" s="163" t="s">
        <v>229</v>
      </c>
      <c r="B204" s="164"/>
      <c r="C204" s="63" t="str">
        <f t="shared" si="70"/>
        <v/>
      </c>
      <c r="D204" s="63" t="str">
        <f t="shared" si="71"/>
        <v/>
      </c>
      <c r="E204" s="63" t="str">
        <f t="shared" si="72"/>
        <v/>
      </c>
      <c r="F204" s="63" t="str">
        <f t="shared" si="73"/>
        <v/>
      </c>
      <c r="G204" s="63" t="str">
        <f t="shared" si="74"/>
        <v/>
      </c>
      <c r="H204" s="63" t="str">
        <f t="shared" si="75"/>
        <v/>
      </c>
      <c r="I204" s="63" t="str">
        <f t="shared" si="76"/>
        <v/>
      </c>
      <c r="J204" s="63" t="str">
        <f t="shared" si="77"/>
        <v/>
      </c>
      <c r="K204" s="63" t="str">
        <f t="shared" si="78"/>
        <v/>
      </c>
      <c r="L204" s="165" t="str">
        <f t="shared" si="79"/>
        <v/>
      </c>
      <c r="M204" s="165">
        <f>SUM(Table386[[#This Row],[M11-7]:[M17-124]])</f>
        <v>0</v>
      </c>
    </row>
    <row r="205" spans="1:13" ht="40" customHeight="1" x14ac:dyDescent="0.15">
      <c r="A205" s="174" t="s">
        <v>230</v>
      </c>
      <c r="B205" s="175" t="s">
        <v>231</v>
      </c>
      <c r="C205" s="63" t="str">
        <f t="shared" si="70"/>
        <v/>
      </c>
      <c r="D205" s="63" t="str">
        <f t="shared" si="71"/>
        <v/>
      </c>
      <c r="E205" s="63" t="str">
        <f t="shared" si="72"/>
        <v/>
      </c>
      <c r="F205" s="63" t="str">
        <f t="shared" si="73"/>
        <v/>
      </c>
      <c r="G205" s="63" t="str">
        <f t="shared" si="74"/>
        <v/>
      </c>
      <c r="H205" s="63" t="str">
        <f t="shared" si="75"/>
        <v/>
      </c>
      <c r="I205" s="63" t="str">
        <f t="shared" si="76"/>
        <v/>
      </c>
      <c r="J205" s="63" t="str">
        <f t="shared" si="77"/>
        <v/>
      </c>
      <c r="K205" s="63" t="str">
        <f t="shared" si="78"/>
        <v/>
      </c>
      <c r="L205" s="165" t="str">
        <f t="shared" si="79"/>
        <v/>
      </c>
      <c r="M205" s="165">
        <f>SUM(Table386[[#This Row],[M11-7]:[M17-124]])</f>
        <v>0</v>
      </c>
    </row>
    <row r="206" spans="1:13" ht="40" customHeight="1" x14ac:dyDescent="0.15">
      <c r="A206" s="176" t="s">
        <v>232</v>
      </c>
      <c r="B206" s="177" t="s">
        <v>233</v>
      </c>
      <c r="C206" s="63" t="str">
        <f t="shared" si="70"/>
        <v/>
      </c>
      <c r="D206" s="63" t="str">
        <f t="shared" si="71"/>
        <v/>
      </c>
      <c r="E206" s="63" t="str">
        <f t="shared" si="72"/>
        <v/>
      </c>
      <c r="F206" s="63" t="str">
        <f t="shared" si="73"/>
        <v/>
      </c>
      <c r="G206" s="63" t="str">
        <f t="shared" si="74"/>
        <v/>
      </c>
      <c r="H206" s="63" t="str">
        <f t="shared" si="75"/>
        <v/>
      </c>
      <c r="I206" s="63" t="str">
        <f t="shared" si="76"/>
        <v/>
      </c>
      <c r="J206" s="63" t="str">
        <f t="shared" si="77"/>
        <v/>
      </c>
      <c r="K206" s="63" t="str">
        <f t="shared" si="78"/>
        <v/>
      </c>
      <c r="L206" s="165" t="str">
        <f t="shared" si="79"/>
        <v/>
      </c>
      <c r="M206" s="165">
        <f>SUM(Table386[[#This Row],[M11-7]:[M17-124]])</f>
        <v>0</v>
      </c>
    </row>
    <row r="207" spans="1:13" ht="40" customHeight="1" x14ac:dyDescent="0.15">
      <c r="A207" s="174" t="s">
        <v>234</v>
      </c>
      <c r="B207" s="175" t="s">
        <v>235</v>
      </c>
      <c r="C207" s="63" t="str">
        <f t="shared" si="70"/>
        <v/>
      </c>
      <c r="D207" s="63" t="str">
        <f t="shared" si="71"/>
        <v/>
      </c>
      <c r="E207" s="63" t="str">
        <f t="shared" si="72"/>
        <v/>
      </c>
      <c r="F207" s="63" t="str">
        <f t="shared" si="73"/>
        <v/>
      </c>
      <c r="G207" s="63" t="str">
        <f t="shared" si="74"/>
        <v/>
      </c>
      <c r="H207" s="63" t="str">
        <f t="shared" si="75"/>
        <v/>
      </c>
      <c r="I207" s="63" t="str">
        <f t="shared" si="76"/>
        <v/>
      </c>
      <c r="J207" s="63" t="str">
        <f t="shared" si="77"/>
        <v/>
      </c>
      <c r="K207" s="63" t="str">
        <f t="shared" si="78"/>
        <v/>
      </c>
      <c r="L207" s="165" t="str">
        <f t="shared" si="79"/>
        <v/>
      </c>
      <c r="M207" s="165">
        <f>SUM(Table386[[#This Row],[M11-7]:[M17-124]])</f>
        <v>0</v>
      </c>
    </row>
    <row r="208" spans="1:13" ht="40" customHeight="1" x14ac:dyDescent="0.15">
      <c r="A208" s="174" t="s">
        <v>236</v>
      </c>
      <c r="B208" s="175" t="s">
        <v>237</v>
      </c>
      <c r="C208" s="63" t="str">
        <f t="shared" si="70"/>
        <v/>
      </c>
      <c r="D208" s="63" t="str">
        <f t="shared" si="71"/>
        <v/>
      </c>
      <c r="E208" s="63" t="str">
        <f t="shared" si="72"/>
        <v/>
      </c>
      <c r="F208" s="63" t="str">
        <f t="shared" si="73"/>
        <v/>
      </c>
      <c r="G208" s="63" t="str">
        <f t="shared" si="74"/>
        <v/>
      </c>
      <c r="H208" s="63" t="str">
        <f t="shared" si="75"/>
        <v/>
      </c>
      <c r="I208" s="63" t="str">
        <f t="shared" si="76"/>
        <v/>
      </c>
      <c r="J208" s="63" t="str">
        <f t="shared" si="77"/>
        <v/>
      </c>
      <c r="K208" s="63" t="str">
        <f t="shared" si="78"/>
        <v/>
      </c>
      <c r="L208" s="165" t="str">
        <f t="shared" si="79"/>
        <v/>
      </c>
      <c r="M208" s="165">
        <f>SUM(Table386[[#This Row],[M11-7]:[M17-124]])</f>
        <v>0</v>
      </c>
    </row>
    <row r="209" spans="1:13" ht="40" customHeight="1" x14ac:dyDescent="0.15">
      <c r="A209" s="163" t="s">
        <v>238</v>
      </c>
      <c r="B209" s="164"/>
      <c r="C209" s="63" t="str">
        <f t="shared" si="70"/>
        <v/>
      </c>
      <c r="D209" s="63" t="str">
        <f t="shared" si="71"/>
        <v/>
      </c>
      <c r="E209" s="63" t="str">
        <f t="shared" si="72"/>
        <v/>
      </c>
      <c r="F209" s="63" t="str">
        <f t="shared" si="73"/>
        <v/>
      </c>
      <c r="G209" s="63" t="str">
        <f t="shared" si="74"/>
        <v/>
      </c>
      <c r="H209" s="63" t="str">
        <f t="shared" si="75"/>
        <v/>
      </c>
      <c r="I209" s="63" t="str">
        <f t="shared" si="76"/>
        <v/>
      </c>
      <c r="J209" s="63" t="str">
        <f t="shared" si="77"/>
        <v/>
      </c>
      <c r="K209" s="63" t="str">
        <f t="shared" si="78"/>
        <v/>
      </c>
      <c r="L209" s="165" t="str">
        <f t="shared" si="79"/>
        <v/>
      </c>
      <c r="M209" s="165">
        <f>SUM(Table386[[#This Row],[M11-7]:[M17-124]])</f>
        <v>0</v>
      </c>
    </row>
    <row r="210" spans="1:13" ht="40" customHeight="1" x14ac:dyDescent="0.15">
      <c r="A210" s="174" t="s">
        <v>239</v>
      </c>
      <c r="B210" s="175" t="s">
        <v>240</v>
      </c>
      <c r="C210" s="63" t="str">
        <f t="shared" si="70"/>
        <v/>
      </c>
      <c r="D210" s="63" t="str">
        <f t="shared" si="71"/>
        <v/>
      </c>
      <c r="E210" s="63" t="str">
        <f t="shared" si="72"/>
        <v/>
      </c>
      <c r="F210" s="63" t="str">
        <f t="shared" si="73"/>
        <v/>
      </c>
      <c r="G210" s="63" t="str">
        <f t="shared" si="74"/>
        <v/>
      </c>
      <c r="H210" s="63" t="str">
        <f t="shared" si="75"/>
        <v/>
      </c>
      <c r="I210" s="63" t="str">
        <f t="shared" si="76"/>
        <v/>
      </c>
      <c r="J210" s="63" t="str">
        <f t="shared" si="77"/>
        <v/>
      </c>
      <c r="K210" s="63" t="str">
        <f t="shared" si="78"/>
        <v/>
      </c>
      <c r="L210" s="165" t="str">
        <f t="shared" si="79"/>
        <v/>
      </c>
      <c r="M210" s="165">
        <f>SUM(Table386[[#This Row],[M11-7]:[M17-124]])</f>
        <v>0</v>
      </c>
    </row>
    <row r="211" spans="1:13" ht="40" customHeight="1" x14ac:dyDescent="0.15">
      <c r="A211" s="176" t="s">
        <v>241</v>
      </c>
      <c r="B211" s="177" t="s">
        <v>242</v>
      </c>
      <c r="C211" s="63" t="str">
        <f t="shared" si="70"/>
        <v/>
      </c>
      <c r="D211" s="63" t="str">
        <f t="shared" si="71"/>
        <v/>
      </c>
      <c r="E211" s="63" t="str">
        <f t="shared" si="72"/>
        <v/>
      </c>
      <c r="F211" s="63" t="str">
        <f t="shared" si="73"/>
        <v/>
      </c>
      <c r="G211" s="63" t="str">
        <f t="shared" si="74"/>
        <v/>
      </c>
      <c r="H211" s="63" t="str">
        <f t="shared" si="75"/>
        <v/>
      </c>
      <c r="I211" s="63" t="str">
        <f t="shared" si="76"/>
        <v/>
      </c>
      <c r="J211" s="63" t="str">
        <f t="shared" si="77"/>
        <v/>
      </c>
      <c r="K211" s="63" t="str">
        <f t="shared" si="78"/>
        <v/>
      </c>
      <c r="L211" s="165" t="str">
        <f t="shared" si="79"/>
        <v/>
      </c>
      <c r="M211" s="165">
        <f>SUM(Table386[[#This Row],[M11-7]:[M17-124]])</f>
        <v>0</v>
      </c>
    </row>
    <row r="212" spans="1:13" ht="40" customHeight="1" x14ac:dyDescent="0.15">
      <c r="A212" s="174" t="s">
        <v>243</v>
      </c>
      <c r="B212" s="175" t="s">
        <v>244</v>
      </c>
      <c r="C212" s="63" t="str">
        <f t="shared" si="70"/>
        <v/>
      </c>
      <c r="D212" s="63" t="str">
        <f t="shared" si="71"/>
        <v/>
      </c>
      <c r="E212" s="63" t="str">
        <f t="shared" si="72"/>
        <v/>
      </c>
      <c r="F212" s="63" t="str">
        <f t="shared" si="73"/>
        <v/>
      </c>
      <c r="G212" s="63" t="str">
        <f t="shared" si="74"/>
        <v/>
      </c>
      <c r="H212" s="63" t="str">
        <f t="shared" si="75"/>
        <v/>
      </c>
      <c r="I212" s="63" t="str">
        <f t="shared" si="76"/>
        <v/>
      </c>
      <c r="J212" s="63" t="str">
        <f t="shared" si="77"/>
        <v/>
      </c>
      <c r="K212" s="63" t="str">
        <f t="shared" si="78"/>
        <v/>
      </c>
      <c r="L212" s="165" t="str">
        <f t="shared" si="79"/>
        <v/>
      </c>
      <c r="M212" s="165">
        <f>SUM(Table386[[#This Row],[M11-7]:[M17-124]])</f>
        <v>0</v>
      </c>
    </row>
    <row r="213" spans="1:13" ht="40" customHeight="1" x14ac:dyDescent="0.15">
      <c r="A213" s="176" t="s">
        <v>245</v>
      </c>
      <c r="B213" s="177" t="s">
        <v>246</v>
      </c>
      <c r="C213" s="63" t="str">
        <f t="shared" si="70"/>
        <v/>
      </c>
      <c r="D213" s="63" t="str">
        <f t="shared" si="71"/>
        <v/>
      </c>
      <c r="E213" s="63" t="str">
        <f t="shared" si="72"/>
        <v/>
      </c>
      <c r="F213" s="63" t="str">
        <f t="shared" si="73"/>
        <v/>
      </c>
      <c r="G213" s="63" t="str">
        <f t="shared" si="74"/>
        <v/>
      </c>
      <c r="H213" s="63" t="str">
        <f t="shared" si="75"/>
        <v/>
      </c>
      <c r="I213" s="63" t="str">
        <f t="shared" si="76"/>
        <v/>
      </c>
      <c r="J213" s="63" t="str">
        <f t="shared" si="77"/>
        <v/>
      </c>
      <c r="K213" s="63" t="str">
        <f t="shared" si="78"/>
        <v/>
      </c>
      <c r="L213" s="165" t="str">
        <f t="shared" si="79"/>
        <v/>
      </c>
      <c r="M213" s="165">
        <f>SUM(Table386[[#This Row],[M11-7]:[M17-124]])</f>
        <v>0</v>
      </c>
    </row>
    <row r="214" spans="1:13" ht="40" customHeight="1" x14ac:dyDescent="0.15">
      <c r="A214" s="176" t="s">
        <v>247</v>
      </c>
      <c r="B214" s="177" t="s">
        <v>248</v>
      </c>
      <c r="C214" s="63" t="str">
        <f t="shared" ref="C214:C245" si="80">J104</f>
        <v/>
      </c>
      <c r="D214" s="63" t="str">
        <f t="shared" ref="D214:D245" si="81">R104</f>
        <v/>
      </c>
      <c r="E214" s="63" t="str">
        <f t="shared" ref="E214:E245" si="82">Z104</f>
        <v/>
      </c>
      <c r="F214" s="63" t="str">
        <f t="shared" ref="F214:F245" si="83">AH104</f>
        <v/>
      </c>
      <c r="G214" s="63" t="str">
        <f t="shared" ref="G214:G245" si="84">AP104</f>
        <v/>
      </c>
      <c r="H214" s="63" t="str">
        <f t="shared" ref="H214:H245" si="85">AX104</f>
        <v/>
      </c>
      <c r="I214" s="63" t="str">
        <f t="shared" ref="I214:I245" si="86">BF104</f>
        <v/>
      </c>
      <c r="J214" s="63" t="str">
        <f t="shared" ref="J214:J245" si="87">BN104</f>
        <v/>
      </c>
      <c r="K214" s="63" t="str">
        <f t="shared" ref="K214:K245" si="88">BV104</f>
        <v/>
      </c>
      <c r="L214" s="165" t="str">
        <f t="shared" ref="L214:L245" si="89">CD104</f>
        <v/>
      </c>
      <c r="M214" s="165">
        <f>SUM(Table386[[#This Row],[M11-7]:[M17-124]])</f>
        <v>0</v>
      </c>
    </row>
    <row r="215" spans="1:13" ht="40" customHeight="1" x14ac:dyDescent="0.15">
      <c r="A215" s="163" t="s">
        <v>249</v>
      </c>
      <c r="B215" s="164" t="s">
        <v>250</v>
      </c>
      <c r="C215" s="63" t="str">
        <f t="shared" si="80"/>
        <v/>
      </c>
      <c r="D215" s="63" t="str">
        <f t="shared" si="81"/>
        <v/>
      </c>
      <c r="E215" s="63" t="str">
        <f t="shared" si="82"/>
        <v/>
      </c>
      <c r="F215" s="63" t="str">
        <f t="shared" si="83"/>
        <v/>
      </c>
      <c r="G215" s="63" t="str">
        <f t="shared" si="84"/>
        <v/>
      </c>
      <c r="H215" s="63" t="str">
        <f t="shared" si="85"/>
        <v/>
      </c>
      <c r="I215" s="63" t="str">
        <f t="shared" si="86"/>
        <v/>
      </c>
      <c r="J215" s="63" t="str">
        <f t="shared" si="87"/>
        <v/>
      </c>
      <c r="K215" s="63" t="str">
        <f t="shared" si="88"/>
        <v/>
      </c>
      <c r="L215" s="165" t="str">
        <f t="shared" si="89"/>
        <v/>
      </c>
      <c r="M215" s="165">
        <f>SUM(Table386[[#This Row],[M11-7]:[M17-124]])</f>
        <v>0</v>
      </c>
    </row>
    <row r="216" spans="1:13" ht="40" customHeight="1" x14ac:dyDescent="0.15">
      <c r="A216" s="174" t="s">
        <v>251</v>
      </c>
      <c r="B216" s="175" t="s">
        <v>252</v>
      </c>
      <c r="C216" s="63" t="str">
        <f t="shared" si="80"/>
        <v/>
      </c>
      <c r="D216" s="63" t="str">
        <f t="shared" si="81"/>
        <v/>
      </c>
      <c r="E216" s="63" t="str">
        <f t="shared" si="82"/>
        <v/>
      </c>
      <c r="F216" s="63" t="str">
        <f t="shared" si="83"/>
        <v/>
      </c>
      <c r="G216" s="63" t="str">
        <f t="shared" si="84"/>
        <v/>
      </c>
      <c r="H216" s="63" t="str">
        <f t="shared" si="85"/>
        <v/>
      </c>
      <c r="I216" s="63" t="str">
        <f t="shared" si="86"/>
        <v/>
      </c>
      <c r="J216" s="63" t="str">
        <f t="shared" si="87"/>
        <v/>
      </c>
      <c r="K216" s="63" t="str">
        <f t="shared" si="88"/>
        <v/>
      </c>
      <c r="L216" s="165" t="str">
        <f t="shared" si="89"/>
        <v/>
      </c>
      <c r="M216" s="165">
        <f>SUM(Table386[[#This Row],[M11-7]:[M17-124]])</f>
        <v>0</v>
      </c>
    </row>
    <row r="217" spans="1:13" ht="40" customHeight="1" x14ac:dyDescent="0.15">
      <c r="A217" s="163" t="s">
        <v>253</v>
      </c>
      <c r="B217" s="164"/>
      <c r="C217" s="63" t="str">
        <f t="shared" si="80"/>
        <v/>
      </c>
      <c r="D217" s="63" t="str">
        <f t="shared" si="81"/>
        <v/>
      </c>
      <c r="E217" s="63" t="str">
        <f t="shared" si="82"/>
        <v/>
      </c>
      <c r="F217" s="63" t="str">
        <f t="shared" si="83"/>
        <v/>
      </c>
      <c r="G217" s="63" t="str">
        <f t="shared" si="84"/>
        <v/>
      </c>
      <c r="H217" s="63" t="str">
        <f t="shared" si="85"/>
        <v/>
      </c>
      <c r="I217" s="63" t="str">
        <f t="shared" si="86"/>
        <v/>
      </c>
      <c r="J217" s="63" t="str">
        <f t="shared" si="87"/>
        <v/>
      </c>
      <c r="K217" s="63" t="str">
        <f t="shared" si="88"/>
        <v/>
      </c>
      <c r="L217" s="165" t="str">
        <f t="shared" si="89"/>
        <v/>
      </c>
      <c r="M217" s="165">
        <f>SUM(Table386[[#This Row],[M11-7]:[M17-124]])</f>
        <v>0</v>
      </c>
    </row>
    <row r="218" spans="1:13" ht="40" customHeight="1" x14ac:dyDescent="0.15">
      <c r="A218" s="174" t="s">
        <v>254</v>
      </c>
      <c r="B218" s="175" t="s">
        <v>255</v>
      </c>
      <c r="C218" s="63" t="str">
        <f t="shared" si="80"/>
        <v/>
      </c>
      <c r="D218" s="63" t="str">
        <f t="shared" si="81"/>
        <v/>
      </c>
      <c r="E218" s="63" t="str">
        <f t="shared" si="82"/>
        <v/>
      </c>
      <c r="F218" s="63" t="str">
        <f t="shared" si="83"/>
        <v/>
      </c>
      <c r="G218" s="63" t="str">
        <f t="shared" si="84"/>
        <v/>
      </c>
      <c r="H218" s="63" t="str">
        <f t="shared" si="85"/>
        <v/>
      </c>
      <c r="I218" s="63" t="str">
        <f t="shared" si="86"/>
        <v/>
      </c>
      <c r="J218" s="63" t="str">
        <f t="shared" si="87"/>
        <v/>
      </c>
      <c r="K218" s="63" t="str">
        <f t="shared" si="88"/>
        <v/>
      </c>
      <c r="L218" s="165" t="str">
        <f t="shared" si="89"/>
        <v/>
      </c>
      <c r="M218" s="165">
        <f>SUM(Table386[[#This Row],[M11-7]:[M17-124]])</f>
        <v>0</v>
      </c>
    </row>
    <row r="219" spans="1:13" ht="40" customHeight="1" x14ac:dyDescent="0.15">
      <c r="A219" s="176"/>
      <c r="B219" s="177"/>
      <c r="C219" s="63" t="str">
        <f t="shared" si="80"/>
        <v/>
      </c>
      <c r="D219" s="63" t="str">
        <f t="shared" si="81"/>
        <v/>
      </c>
      <c r="E219" s="63" t="str">
        <f t="shared" si="82"/>
        <v/>
      </c>
      <c r="F219" s="63" t="str">
        <f t="shared" si="83"/>
        <v/>
      </c>
      <c r="G219" s="63" t="str">
        <f t="shared" si="84"/>
        <v/>
      </c>
      <c r="H219" s="63" t="str">
        <f t="shared" si="85"/>
        <v/>
      </c>
      <c r="I219" s="63" t="str">
        <f t="shared" si="86"/>
        <v/>
      </c>
      <c r="J219" s="63" t="str">
        <f t="shared" si="87"/>
        <v/>
      </c>
      <c r="K219" s="63" t="str">
        <f t="shared" si="88"/>
        <v/>
      </c>
      <c r="L219" s="165" t="str">
        <f t="shared" si="89"/>
        <v/>
      </c>
      <c r="M219" s="165">
        <f>SUM(Table386[[#This Row],[M11-7]:[M17-124]])</f>
        <v>0</v>
      </c>
    </row>
    <row r="220" spans="1:13" ht="40" customHeight="1" x14ac:dyDescent="0.15">
      <c r="A220" s="178"/>
      <c r="B220" s="179"/>
      <c r="C220" s="173" t="str">
        <f t="shared" si="80"/>
        <v/>
      </c>
      <c r="D220" s="173" t="str">
        <f t="shared" si="81"/>
        <v/>
      </c>
      <c r="E220" s="173" t="str">
        <f t="shared" si="82"/>
        <v/>
      </c>
      <c r="F220" s="173" t="str">
        <f t="shared" si="83"/>
        <v/>
      </c>
      <c r="G220" s="173" t="str">
        <f t="shared" si="84"/>
        <v/>
      </c>
      <c r="H220" s="173" t="str">
        <f t="shared" si="85"/>
        <v/>
      </c>
      <c r="I220" s="173" t="str">
        <f t="shared" si="86"/>
        <v/>
      </c>
      <c r="J220" s="173" t="str">
        <f t="shared" si="87"/>
        <v/>
      </c>
      <c r="K220" s="173" t="str">
        <f t="shared" si="88"/>
        <v/>
      </c>
      <c r="L220" s="83" t="str">
        <f t="shared" si="89"/>
        <v/>
      </c>
      <c r="M220" s="83">
        <f>SUM(Table386[[#This Row],[M11-7]:[M17-124]])</f>
        <v>0</v>
      </c>
    </row>
  </sheetData>
  <mergeCells count="21">
    <mergeCell ref="Z4:Z7"/>
    <mergeCell ref="AQ3:AW3"/>
    <mergeCell ref="CD4:CD7"/>
    <mergeCell ref="AX4:AX7"/>
    <mergeCell ref="AP4:AP7"/>
    <mergeCell ref="R4:R7"/>
    <mergeCell ref="AA3:AG3"/>
    <mergeCell ref="BV4:BV7"/>
    <mergeCell ref="AI3:AO3"/>
    <mergeCell ref="C1:CD2"/>
    <mergeCell ref="C3:I3"/>
    <mergeCell ref="AH4:AH7"/>
    <mergeCell ref="K3:Q3"/>
    <mergeCell ref="BG3:BM3"/>
    <mergeCell ref="AY3:BE3"/>
    <mergeCell ref="BN4:BN7"/>
    <mergeCell ref="J4:J7"/>
    <mergeCell ref="BF4:BF7"/>
    <mergeCell ref="S3:Y3"/>
    <mergeCell ref="BW3:CD3"/>
    <mergeCell ref="BO3:BV3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autoPageBreaks="0"/>
  </sheetPr>
  <dimension ref="A1:AH647"/>
  <sheetViews>
    <sheetView showGridLines="0" zoomScale="3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25" sqref="L25"/>
    </sheetView>
  </sheetViews>
  <sheetFormatPr baseColWidth="10" defaultColWidth="9.1640625" defaultRowHeight="77.25" customHeight="1" x14ac:dyDescent="0.15"/>
  <cols>
    <col min="1" max="1" width="20.6640625" style="5" customWidth="1"/>
    <col min="2" max="2" width="21.6640625" style="5" customWidth="1"/>
    <col min="3" max="3" width="28.1640625" style="24" customWidth="1"/>
    <col min="4" max="4" width="19.6640625" style="5" customWidth="1"/>
    <col min="5" max="5" width="23.83203125" style="25" customWidth="1"/>
    <col min="6" max="6" width="21.83203125" style="5" customWidth="1"/>
    <col min="7" max="7" width="34.1640625" style="5" customWidth="1"/>
    <col min="8" max="8" width="19.33203125" style="5" customWidth="1"/>
    <col min="9" max="9" width="18.83203125" style="5" customWidth="1"/>
    <col min="10" max="13" width="72.33203125" style="5" customWidth="1"/>
    <col min="14" max="14" width="38" style="5" customWidth="1"/>
    <col min="15" max="15" width="30.6640625" style="5" customWidth="1"/>
    <col min="16" max="16" width="44.33203125" style="5" customWidth="1"/>
    <col min="17" max="21" width="9.1640625" style="5" customWidth="1"/>
    <col min="22" max="22" width="12.1640625" style="14" customWidth="1"/>
    <col min="23" max="23" width="56.6640625" style="5" customWidth="1"/>
    <col min="24" max="24" width="145.33203125" style="5" customWidth="1"/>
    <col min="25" max="28" width="56.6640625" style="5" customWidth="1"/>
    <col min="29" max="29" width="175" style="5" customWidth="1"/>
    <col min="30" max="34" width="56.6640625" style="5" customWidth="1"/>
    <col min="35" max="35" width="9.1640625" style="5" customWidth="1"/>
    <col min="36" max="16384" width="9.1640625" style="5"/>
  </cols>
  <sheetData>
    <row r="1" spans="1:34" s="26" customFormat="1" ht="61" customHeight="1" x14ac:dyDescent="0.15">
      <c r="A1" s="258" t="s">
        <v>318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V1" s="263" t="s">
        <v>319</v>
      </c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</row>
    <row r="2" spans="1:34" s="26" customFormat="1" ht="17.5" customHeight="1" x14ac:dyDescent="0.15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V2" s="261" t="s">
        <v>320</v>
      </c>
      <c r="W2" s="261" t="s">
        <v>321</v>
      </c>
      <c r="X2" s="261" t="s">
        <v>322</v>
      </c>
      <c r="Y2" s="261" t="s">
        <v>323</v>
      </c>
      <c r="Z2" s="261" t="s">
        <v>324</v>
      </c>
      <c r="AA2" s="261" t="s">
        <v>325</v>
      </c>
      <c r="AB2" s="261" t="s">
        <v>326</v>
      </c>
      <c r="AC2" s="261" t="s">
        <v>327</v>
      </c>
      <c r="AD2" s="261" t="s">
        <v>328</v>
      </c>
      <c r="AE2" s="237"/>
      <c r="AF2" s="262" t="s">
        <v>329</v>
      </c>
      <c r="AG2" s="237"/>
      <c r="AH2" s="261" t="s">
        <v>330</v>
      </c>
    </row>
    <row r="3" spans="1:34" s="26" customFormat="1" ht="77" customHeight="1" x14ac:dyDescent="0.15">
      <c r="A3" s="27" t="s">
        <v>331</v>
      </c>
      <c r="B3" s="28" t="s">
        <v>332</v>
      </c>
      <c r="C3" s="29" t="s">
        <v>333</v>
      </c>
      <c r="D3" s="28" t="s">
        <v>334</v>
      </c>
      <c r="E3" s="30" t="s">
        <v>335</v>
      </c>
      <c r="F3" s="28" t="s">
        <v>336</v>
      </c>
      <c r="G3" s="28" t="s">
        <v>337</v>
      </c>
      <c r="H3" s="28" t="s">
        <v>338</v>
      </c>
      <c r="I3" s="28" t="s">
        <v>339</v>
      </c>
      <c r="J3" s="28" t="s">
        <v>340</v>
      </c>
      <c r="K3" s="28" t="s">
        <v>341</v>
      </c>
      <c r="L3" s="28" t="s">
        <v>342</v>
      </c>
      <c r="M3" s="28" t="s">
        <v>343</v>
      </c>
      <c r="N3" s="28" t="s">
        <v>344</v>
      </c>
      <c r="O3" s="31" t="s">
        <v>345</v>
      </c>
      <c r="P3" s="31" t="s">
        <v>346</v>
      </c>
      <c r="V3" s="247"/>
      <c r="W3" s="247"/>
      <c r="X3" s="247"/>
      <c r="Y3" s="247"/>
      <c r="Z3" s="247"/>
      <c r="AA3" s="247"/>
      <c r="AB3" s="247"/>
      <c r="AC3" s="247"/>
      <c r="AD3" s="32" t="s">
        <v>347</v>
      </c>
      <c r="AE3" s="32" t="s">
        <v>348</v>
      </c>
      <c r="AF3" s="32" t="s">
        <v>347</v>
      </c>
      <c r="AG3" s="32" t="s">
        <v>349</v>
      </c>
      <c r="AH3" s="247"/>
    </row>
    <row r="4" spans="1:34" ht="77.25" customHeight="1" thickBot="1" x14ac:dyDescent="0.2">
      <c r="A4" s="6"/>
      <c r="B4" s="7"/>
      <c r="C4" s="8"/>
      <c r="D4" s="7"/>
      <c r="E4" s="9"/>
      <c r="F4" s="7"/>
      <c r="G4" s="7"/>
      <c r="H4" s="7"/>
      <c r="I4" s="7"/>
      <c r="J4" s="7"/>
      <c r="K4" s="7"/>
      <c r="L4" s="7"/>
      <c r="M4" s="7"/>
      <c r="N4" s="7"/>
      <c r="O4" s="10"/>
      <c r="P4" s="10"/>
      <c r="V4" s="11">
        <v>1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3"/>
    </row>
    <row r="5" spans="1:34" ht="77.25" customHeight="1" thickBot="1" x14ac:dyDescent="0.2">
      <c r="A5" s="6"/>
      <c r="B5" s="7"/>
      <c r="C5" s="8"/>
      <c r="D5" s="7"/>
      <c r="E5" s="9"/>
      <c r="F5" s="7"/>
      <c r="G5" s="7"/>
      <c r="H5" s="7"/>
      <c r="I5" s="7"/>
      <c r="J5" s="7"/>
      <c r="K5" s="7"/>
      <c r="L5" s="7"/>
      <c r="M5" s="7"/>
      <c r="N5" s="7"/>
      <c r="O5" s="10"/>
      <c r="P5" s="10"/>
      <c r="V5" s="11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3"/>
    </row>
    <row r="6" spans="1:34" ht="77.25" customHeight="1" thickBot="1" x14ac:dyDescent="0.2">
      <c r="A6" s="6"/>
      <c r="B6" s="7"/>
      <c r="C6" s="8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10"/>
      <c r="P6" s="10"/>
      <c r="V6" s="11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/>
    </row>
    <row r="7" spans="1:34" ht="77.25" customHeight="1" thickBot="1" x14ac:dyDescent="0.2">
      <c r="A7" s="6"/>
      <c r="B7" s="7"/>
      <c r="C7" s="8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10"/>
      <c r="P7" s="10"/>
      <c r="V7" s="11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77.25" customHeight="1" thickBot="1" x14ac:dyDescent="0.2">
      <c r="A8" s="6"/>
      <c r="B8" s="7"/>
      <c r="C8" s="8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10"/>
      <c r="P8" s="10"/>
      <c r="V8" s="11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3"/>
    </row>
    <row r="9" spans="1:34" ht="77.25" customHeight="1" thickBot="1" x14ac:dyDescent="0.2">
      <c r="A9" s="6"/>
      <c r="B9" s="7"/>
      <c r="C9" s="8"/>
      <c r="D9" s="7"/>
      <c r="E9" s="9"/>
      <c r="F9" s="7"/>
      <c r="G9" s="7"/>
      <c r="H9" s="7"/>
      <c r="I9" s="7"/>
      <c r="J9" s="7"/>
      <c r="K9" s="7"/>
      <c r="L9" s="7"/>
      <c r="M9" s="7"/>
      <c r="N9" s="7"/>
      <c r="O9" s="10"/>
      <c r="P9" s="10"/>
      <c r="V9" s="11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3"/>
    </row>
    <row r="10" spans="1:34" ht="77.25" customHeight="1" thickBot="1" x14ac:dyDescent="0.2">
      <c r="A10" s="6"/>
      <c r="B10" s="7"/>
      <c r="C10" s="8"/>
      <c r="D10" s="7"/>
      <c r="E10" s="9"/>
      <c r="F10" s="7"/>
      <c r="G10" s="7"/>
      <c r="H10" s="7"/>
      <c r="I10" s="7"/>
      <c r="J10" s="7"/>
      <c r="K10" s="7"/>
      <c r="L10" s="7"/>
      <c r="M10" s="7"/>
      <c r="N10" s="7"/>
      <c r="O10" s="10"/>
      <c r="P10" s="10"/>
      <c r="V10" s="11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3"/>
    </row>
    <row r="11" spans="1:34" ht="77.25" customHeight="1" thickBot="1" x14ac:dyDescent="0.2">
      <c r="A11" s="6"/>
      <c r="B11" s="7"/>
      <c r="C11" s="8"/>
      <c r="D11" s="7"/>
      <c r="E11" s="9"/>
      <c r="F11" s="7"/>
      <c r="G11" s="7"/>
      <c r="H11" s="7"/>
      <c r="I11" s="7"/>
      <c r="J11" s="7"/>
      <c r="K11" s="7"/>
      <c r="L11" s="7"/>
      <c r="M11" s="7"/>
      <c r="N11" s="7"/>
      <c r="O11" s="10"/>
      <c r="P11" s="10"/>
      <c r="V11" s="11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ht="77.25" customHeight="1" thickBot="1" x14ac:dyDescent="0.2">
      <c r="A12" s="6"/>
      <c r="B12" s="7"/>
      <c r="C12" s="8"/>
      <c r="D12" s="7"/>
      <c r="E12" s="9"/>
      <c r="F12" s="7"/>
      <c r="G12" s="7"/>
      <c r="H12" s="7"/>
      <c r="I12" s="7"/>
      <c r="J12" s="7"/>
      <c r="K12" s="7"/>
      <c r="L12" s="7"/>
      <c r="M12" s="7"/>
      <c r="N12" s="7"/>
      <c r="O12" s="10"/>
      <c r="P12" s="10"/>
      <c r="V12" s="11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/>
    </row>
    <row r="13" spans="1:34" ht="77.25" customHeight="1" thickBot="1" x14ac:dyDescent="0.2">
      <c r="A13" s="6"/>
      <c r="B13" s="7"/>
      <c r="C13" s="8"/>
      <c r="D13" s="7"/>
      <c r="E13" s="9"/>
      <c r="F13" s="7"/>
      <c r="G13" s="7"/>
      <c r="H13" s="7"/>
      <c r="I13" s="7"/>
      <c r="J13" s="7"/>
      <c r="K13" s="7"/>
      <c r="L13" s="7"/>
      <c r="M13" s="7"/>
      <c r="N13" s="7"/>
      <c r="O13" s="10"/>
      <c r="P13" s="10"/>
      <c r="V13" s="11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3"/>
    </row>
    <row r="14" spans="1:34" ht="77.25" customHeight="1" thickBot="1" x14ac:dyDescent="0.2">
      <c r="A14" s="6"/>
      <c r="B14" s="7"/>
      <c r="C14" s="8"/>
      <c r="D14" s="7"/>
      <c r="E14" s="9"/>
      <c r="F14" s="7"/>
      <c r="G14" s="7"/>
      <c r="H14" s="7"/>
      <c r="I14" s="7"/>
      <c r="J14" s="7"/>
      <c r="K14" s="7"/>
      <c r="L14" s="7"/>
      <c r="M14" s="7"/>
      <c r="N14" s="7"/>
      <c r="O14" s="10"/>
      <c r="P14" s="10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3"/>
    </row>
    <row r="15" spans="1:34" ht="77.25" customHeight="1" thickBot="1" x14ac:dyDescent="0.2">
      <c r="A15" s="6"/>
      <c r="B15" s="7"/>
      <c r="C15" s="8"/>
      <c r="D15" s="7"/>
      <c r="E15" s="9"/>
      <c r="F15" s="7"/>
      <c r="G15" s="7"/>
      <c r="H15" s="7"/>
      <c r="I15" s="7"/>
      <c r="J15" s="7"/>
      <c r="K15" s="7"/>
      <c r="L15" s="7"/>
      <c r="M15" s="7"/>
      <c r="N15" s="7"/>
      <c r="O15" s="10"/>
      <c r="P15" s="10"/>
      <c r="V15" s="11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3"/>
    </row>
    <row r="16" spans="1:34" ht="77.25" customHeight="1" thickBot="1" x14ac:dyDescent="0.2">
      <c r="A16" s="6"/>
      <c r="B16" s="7"/>
      <c r="C16" s="8"/>
      <c r="D16" s="7"/>
      <c r="E16" s="9"/>
      <c r="F16" s="7"/>
      <c r="G16" s="7"/>
      <c r="H16" s="7"/>
      <c r="I16" s="7"/>
      <c r="J16" s="7"/>
      <c r="K16" s="7"/>
      <c r="L16" s="7"/>
      <c r="M16" s="7"/>
      <c r="N16" s="7"/>
      <c r="O16" s="10"/>
      <c r="P16" s="10"/>
      <c r="V16" s="11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3"/>
    </row>
    <row r="17" spans="1:34" ht="77.25" customHeight="1" thickBot="1" x14ac:dyDescent="0.2">
      <c r="A17" s="6"/>
      <c r="B17" s="7"/>
      <c r="C17" s="8"/>
      <c r="D17" s="7"/>
      <c r="E17" s="9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  <c r="V17" s="11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3"/>
    </row>
    <row r="18" spans="1:34" ht="77.25" customHeight="1" thickBot="1" x14ac:dyDescent="0.2">
      <c r="A18" s="6"/>
      <c r="B18" s="7"/>
      <c r="C18" s="8"/>
      <c r="D18" s="7"/>
      <c r="E18" s="9"/>
      <c r="F18" s="7"/>
      <c r="G18" s="7"/>
      <c r="H18" s="7"/>
      <c r="I18" s="7"/>
      <c r="J18" s="7"/>
      <c r="K18" s="7"/>
      <c r="L18" s="7"/>
      <c r="M18" s="7"/>
      <c r="N18" s="7"/>
      <c r="O18" s="10"/>
      <c r="P18" s="10"/>
      <c r="V18" s="11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3"/>
    </row>
    <row r="19" spans="1:34" ht="77.25" customHeight="1" thickBot="1" x14ac:dyDescent="0.2">
      <c r="A19" s="6"/>
      <c r="B19" s="7"/>
      <c r="C19" s="8"/>
      <c r="D19" s="7"/>
      <c r="E19" s="9"/>
      <c r="F19" s="7"/>
      <c r="G19" s="7"/>
      <c r="H19" s="7"/>
      <c r="I19" s="7"/>
      <c r="J19" s="7"/>
      <c r="K19" s="7"/>
      <c r="L19" s="7"/>
      <c r="M19" s="7"/>
      <c r="N19" s="7"/>
      <c r="O19" s="10"/>
      <c r="P19" s="10"/>
      <c r="V19" s="11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3"/>
    </row>
    <row r="20" spans="1:34" ht="77.25" customHeight="1" thickBot="1" x14ac:dyDescent="0.2">
      <c r="A20" s="6"/>
      <c r="B20" s="7"/>
      <c r="C20" s="8"/>
      <c r="D20" s="7"/>
      <c r="E20" s="9"/>
      <c r="F20" s="7"/>
      <c r="G20" s="7"/>
      <c r="H20" s="7"/>
      <c r="I20" s="7"/>
      <c r="J20" s="7"/>
      <c r="K20" s="7"/>
      <c r="L20" s="7"/>
      <c r="M20" s="7"/>
      <c r="N20" s="7"/>
      <c r="O20" s="10"/>
      <c r="P20" s="10"/>
      <c r="V20" s="11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3"/>
    </row>
    <row r="21" spans="1:34" ht="77.25" customHeight="1" thickBot="1" x14ac:dyDescent="0.2">
      <c r="A21" s="6"/>
      <c r="B21" s="7"/>
      <c r="C21" s="8"/>
      <c r="D21" s="7"/>
      <c r="E21" s="9"/>
      <c r="F21" s="7"/>
      <c r="G21" s="7"/>
      <c r="H21" s="7"/>
      <c r="I21" s="7"/>
      <c r="J21" s="7"/>
      <c r="K21" s="7"/>
      <c r="L21" s="7"/>
      <c r="M21" s="7"/>
      <c r="N21" s="7"/>
      <c r="O21" s="10"/>
      <c r="P21" s="10"/>
      <c r="V21" s="11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3"/>
    </row>
    <row r="22" spans="1:34" ht="77.25" customHeight="1" thickBot="1" x14ac:dyDescent="0.2">
      <c r="A22" s="6"/>
      <c r="B22" s="7"/>
      <c r="C22" s="8"/>
      <c r="D22" s="7"/>
      <c r="E22" s="9"/>
      <c r="F22" s="7"/>
      <c r="G22" s="7"/>
      <c r="H22" s="7"/>
      <c r="I22" s="7"/>
      <c r="J22" s="7"/>
      <c r="K22" s="7"/>
      <c r="L22" s="7"/>
      <c r="M22" s="7"/>
      <c r="N22" s="7"/>
      <c r="O22" s="10"/>
      <c r="P22" s="10"/>
      <c r="V22" s="11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3"/>
    </row>
    <row r="23" spans="1:34" ht="77.25" customHeight="1" thickBot="1" x14ac:dyDescent="0.2">
      <c r="A23" s="6"/>
      <c r="B23" s="7"/>
      <c r="C23" s="8"/>
      <c r="D23" s="7"/>
      <c r="E23" s="9"/>
      <c r="F23" s="7"/>
      <c r="G23" s="7"/>
      <c r="H23" s="7"/>
      <c r="I23" s="7"/>
      <c r="J23" s="7"/>
      <c r="K23" s="7"/>
      <c r="L23" s="7"/>
      <c r="M23" s="7"/>
      <c r="N23" s="7"/>
      <c r="O23" s="10"/>
      <c r="P23" s="10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3"/>
    </row>
    <row r="24" spans="1:34" ht="77.25" customHeight="1" thickBot="1" x14ac:dyDescent="0.2">
      <c r="A24" s="6"/>
      <c r="B24" s="7"/>
      <c r="C24" s="8"/>
      <c r="D24" s="7"/>
      <c r="E24" s="9"/>
      <c r="F24" s="7"/>
      <c r="G24" s="7"/>
      <c r="H24" s="7"/>
      <c r="I24" s="7"/>
      <c r="J24" s="7"/>
      <c r="K24" s="7"/>
      <c r="L24" s="7"/>
      <c r="M24" s="7"/>
      <c r="N24" s="7"/>
      <c r="O24" s="10"/>
      <c r="P24" s="10"/>
      <c r="V24" s="11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3"/>
    </row>
    <row r="25" spans="1:34" ht="77.25" customHeight="1" thickBot="1" x14ac:dyDescent="0.2">
      <c r="A25" s="6"/>
      <c r="B25" s="7"/>
      <c r="C25" s="8"/>
      <c r="D25" s="7"/>
      <c r="E25" s="9"/>
      <c r="F25" s="7"/>
      <c r="G25" s="7"/>
      <c r="H25" s="7"/>
      <c r="I25" s="7"/>
      <c r="J25" s="7"/>
      <c r="K25" s="7"/>
      <c r="L25" s="7"/>
      <c r="M25" s="7"/>
      <c r="N25" s="7"/>
      <c r="O25" s="10"/>
      <c r="P25" s="10"/>
      <c r="V25" s="11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3"/>
    </row>
    <row r="26" spans="1:34" ht="77.25" customHeight="1" thickBot="1" x14ac:dyDescent="0.2">
      <c r="A26" s="6"/>
      <c r="B26" s="7"/>
      <c r="C26" s="8"/>
      <c r="D26" s="7"/>
      <c r="E26" s="9"/>
      <c r="F26" s="7"/>
      <c r="G26" s="7"/>
      <c r="H26" s="7"/>
      <c r="I26" s="7"/>
      <c r="J26" s="7"/>
      <c r="K26" s="7"/>
      <c r="L26" s="7"/>
      <c r="M26" s="7"/>
      <c r="N26" s="7"/>
      <c r="O26" s="10"/>
      <c r="P26" s="10"/>
      <c r="V26" s="11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3"/>
    </row>
    <row r="27" spans="1:34" ht="77.25" customHeight="1" thickBot="1" x14ac:dyDescent="0.2">
      <c r="A27" s="6"/>
      <c r="B27" s="7"/>
      <c r="C27" s="8"/>
      <c r="D27" s="7"/>
      <c r="E27" s="9"/>
      <c r="F27" s="7"/>
      <c r="G27" s="7"/>
      <c r="H27" s="7"/>
      <c r="I27" s="7"/>
      <c r="J27" s="7"/>
      <c r="K27" s="7"/>
      <c r="L27" s="7"/>
      <c r="M27" s="7"/>
      <c r="N27" s="7"/>
      <c r="O27" s="10"/>
      <c r="P27" s="10"/>
      <c r="V27" s="11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3"/>
    </row>
    <row r="28" spans="1:34" ht="77.25" customHeight="1" thickBot="1" x14ac:dyDescent="0.2">
      <c r="A28" s="6"/>
      <c r="B28" s="7"/>
      <c r="C28" s="8"/>
      <c r="D28" s="7"/>
      <c r="E28" s="9"/>
      <c r="F28" s="7"/>
      <c r="G28" s="7"/>
      <c r="H28" s="7"/>
      <c r="I28" s="7"/>
      <c r="J28" s="7"/>
      <c r="K28" s="7"/>
      <c r="L28" s="7"/>
      <c r="M28" s="7"/>
      <c r="N28" s="7"/>
      <c r="O28" s="10"/>
      <c r="P28" s="10"/>
      <c r="V28" s="11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3"/>
    </row>
    <row r="29" spans="1:34" ht="77.25" customHeight="1" thickBot="1" x14ac:dyDescent="0.2">
      <c r="A29" s="6"/>
      <c r="B29" s="7"/>
      <c r="C29" s="8"/>
      <c r="D29" s="7"/>
      <c r="E29" s="9"/>
      <c r="F29" s="7"/>
      <c r="G29" s="7"/>
      <c r="H29" s="7"/>
      <c r="I29" s="7"/>
      <c r="J29" s="7"/>
      <c r="K29" s="7"/>
      <c r="L29" s="7"/>
      <c r="M29" s="7"/>
      <c r="N29" s="7"/>
      <c r="O29" s="10"/>
      <c r="P29" s="10"/>
      <c r="V29" s="11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3"/>
    </row>
    <row r="30" spans="1:34" ht="77.25" customHeight="1" thickBot="1" x14ac:dyDescent="0.2">
      <c r="A30" s="6"/>
      <c r="B30" s="7"/>
      <c r="C30" s="8"/>
      <c r="D30" s="7"/>
      <c r="E30" s="9"/>
      <c r="F30" s="7"/>
      <c r="G30" s="7"/>
      <c r="H30" s="7"/>
      <c r="I30" s="7"/>
      <c r="J30" s="7"/>
      <c r="K30" s="7"/>
      <c r="L30" s="7"/>
      <c r="M30" s="7"/>
      <c r="N30" s="7"/>
      <c r="O30" s="10"/>
      <c r="P30" s="10"/>
      <c r="V30" s="11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3"/>
    </row>
    <row r="31" spans="1:34" ht="77.25" customHeight="1" thickBot="1" x14ac:dyDescent="0.2">
      <c r="A31" s="6"/>
      <c r="B31" s="7"/>
      <c r="C31" s="8"/>
      <c r="D31" s="7"/>
      <c r="E31" s="9"/>
      <c r="F31" s="7"/>
      <c r="G31" s="7"/>
      <c r="H31" s="7"/>
      <c r="I31" s="7"/>
      <c r="J31" s="7"/>
      <c r="K31" s="7"/>
      <c r="L31" s="7"/>
      <c r="M31" s="7"/>
      <c r="N31" s="7"/>
      <c r="O31" s="10"/>
      <c r="P31" s="10"/>
      <c r="V31" s="11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3"/>
    </row>
    <row r="32" spans="1:34" ht="77.25" customHeight="1" thickBot="1" x14ac:dyDescent="0.2">
      <c r="A32" s="6"/>
      <c r="B32" s="7"/>
      <c r="C32" s="8"/>
      <c r="D32" s="7"/>
      <c r="E32" s="9"/>
      <c r="F32" s="7"/>
      <c r="G32" s="7"/>
      <c r="H32" s="7"/>
      <c r="I32" s="7"/>
      <c r="J32" s="7"/>
      <c r="K32" s="7"/>
      <c r="L32" s="7"/>
      <c r="M32" s="7"/>
      <c r="N32" s="7"/>
      <c r="O32" s="10"/>
      <c r="P32" s="10"/>
      <c r="V32" s="11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/>
    </row>
    <row r="33" spans="1:34" ht="77.25" customHeight="1" thickBot="1" x14ac:dyDescent="0.2">
      <c r="A33" s="6"/>
      <c r="B33" s="7"/>
      <c r="C33" s="8"/>
      <c r="D33" s="7"/>
      <c r="E33" s="9"/>
      <c r="F33" s="7"/>
      <c r="G33" s="7"/>
      <c r="H33" s="7"/>
      <c r="I33" s="7"/>
      <c r="J33" s="7"/>
      <c r="K33" s="7"/>
      <c r="L33" s="7"/>
      <c r="M33" s="7"/>
      <c r="N33" s="7"/>
      <c r="O33" s="10"/>
      <c r="P33" s="10"/>
      <c r="V33" s="11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3"/>
    </row>
    <row r="34" spans="1:34" ht="77.25" customHeight="1" thickBot="1" x14ac:dyDescent="0.2">
      <c r="A34" s="6"/>
      <c r="B34" s="7"/>
      <c r="C34" s="8"/>
      <c r="D34" s="7"/>
      <c r="E34" s="9"/>
      <c r="F34" s="7"/>
      <c r="G34" s="7"/>
      <c r="H34" s="7"/>
      <c r="I34" s="7"/>
      <c r="J34" s="7"/>
      <c r="K34" s="7"/>
      <c r="L34" s="7"/>
      <c r="M34" s="7"/>
      <c r="N34" s="7"/>
      <c r="O34" s="10"/>
      <c r="P34" s="10"/>
      <c r="V34" s="11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/>
    </row>
    <row r="35" spans="1:34" ht="77.25" customHeight="1" thickBot="1" x14ac:dyDescent="0.2">
      <c r="A35" s="6"/>
      <c r="B35" s="7"/>
      <c r="C35" s="8"/>
      <c r="D35" s="7"/>
      <c r="E35" s="9"/>
      <c r="F35" s="7"/>
      <c r="G35" s="7"/>
      <c r="H35" s="7"/>
      <c r="I35" s="7"/>
      <c r="J35" s="7"/>
      <c r="K35" s="7"/>
      <c r="L35" s="7"/>
      <c r="M35" s="7"/>
      <c r="N35" s="7"/>
      <c r="O35" s="10"/>
      <c r="P35" s="10"/>
      <c r="V35" s="11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3"/>
    </row>
    <row r="36" spans="1:34" ht="77.25" customHeight="1" thickBot="1" x14ac:dyDescent="0.2">
      <c r="A36" s="6"/>
      <c r="B36" s="7"/>
      <c r="C36" s="8"/>
      <c r="D36" s="7"/>
      <c r="E36" s="9"/>
      <c r="F36" s="7"/>
      <c r="G36" s="7"/>
      <c r="H36" s="7"/>
      <c r="I36" s="7"/>
      <c r="J36" s="7"/>
      <c r="K36" s="7"/>
      <c r="L36" s="7"/>
      <c r="M36" s="7"/>
      <c r="N36" s="7"/>
      <c r="O36" s="10"/>
      <c r="P36" s="10"/>
      <c r="V36" s="11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3"/>
    </row>
    <row r="37" spans="1:34" ht="77.25" customHeight="1" thickBot="1" x14ac:dyDescent="0.2">
      <c r="A37" s="6"/>
      <c r="B37" s="7"/>
      <c r="C37" s="8"/>
      <c r="D37" s="7"/>
      <c r="E37" s="9"/>
      <c r="F37" s="7"/>
      <c r="G37" s="7"/>
      <c r="H37" s="7"/>
      <c r="I37" s="7"/>
      <c r="J37" s="7"/>
      <c r="K37" s="7"/>
      <c r="L37" s="7"/>
      <c r="M37" s="7"/>
      <c r="N37" s="7"/>
      <c r="O37" s="10"/>
      <c r="P37" s="10"/>
      <c r="V37" s="1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3"/>
    </row>
    <row r="38" spans="1:34" ht="77.25" customHeight="1" thickBot="1" x14ac:dyDescent="0.2">
      <c r="A38" s="6"/>
      <c r="B38" s="7"/>
      <c r="C38" s="8"/>
      <c r="D38" s="7"/>
      <c r="E38" s="9"/>
      <c r="F38" s="7"/>
      <c r="G38" s="7"/>
      <c r="H38" s="7"/>
      <c r="I38" s="7"/>
      <c r="J38" s="7"/>
      <c r="K38" s="7"/>
      <c r="L38" s="7"/>
      <c r="M38" s="7"/>
      <c r="N38" s="7"/>
      <c r="O38" s="10"/>
      <c r="P38" s="10"/>
      <c r="V38" s="11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3"/>
    </row>
    <row r="39" spans="1:34" ht="77.25" customHeight="1" thickBot="1" x14ac:dyDescent="0.2">
      <c r="A39" s="6"/>
      <c r="B39" s="7"/>
      <c r="C39" s="8"/>
      <c r="D39" s="7"/>
      <c r="E39" s="9"/>
      <c r="F39" s="7"/>
      <c r="G39" s="7"/>
      <c r="H39" s="7"/>
      <c r="I39" s="7"/>
      <c r="J39" s="7"/>
      <c r="K39" s="7"/>
      <c r="L39" s="7"/>
      <c r="M39" s="7"/>
      <c r="N39" s="7"/>
      <c r="O39" s="10"/>
      <c r="P39" s="10"/>
      <c r="V39" s="11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3"/>
    </row>
    <row r="40" spans="1:34" ht="77.25" customHeight="1" thickBot="1" x14ac:dyDescent="0.2">
      <c r="A40" s="6"/>
      <c r="B40" s="7"/>
      <c r="C40" s="8"/>
      <c r="D40" s="7"/>
      <c r="E40" s="9"/>
      <c r="F40" s="7"/>
      <c r="G40" s="7"/>
      <c r="H40" s="7"/>
      <c r="I40" s="7"/>
      <c r="J40" s="7"/>
      <c r="K40" s="7"/>
      <c r="L40" s="7"/>
      <c r="M40" s="7"/>
      <c r="N40" s="7"/>
      <c r="O40" s="10"/>
      <c r="P40" s="10"/>
      <c r="V40" s="11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3"/>
    </row>
    <row r="41" spans="1:34" ht="77.25" customHeight="1" thickBot="1" x14ac:dyDescent="0.2">
      <c r="A41" s="6"/>
      <c r="B41" s="7"/>
      <c r="C41" s="8"/>
      <c r="D41" s="7"/>
      <c r="E41" s="9"/>
      <c r="F41" s="7"/>
      <c r="G41" s="7"/>
      <c r="H41" s="7"/>
      <c r="I41" s="7"/>
      <c r="J41" s="7"/>
      <c r="K41" s="7"/>
      <c r="L41" s="7"/>
      <c r="M41" s="7"/>
      <c r="N41" s="7"/>
      <c r="O41" s="10"/>
      <c r="P41" s="10"/>
      <c r="V41" s="11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3"/>
    </row>
    <row r="42" spans="1:34" ht="77.25" customHeight="1" thickBot="1" x14ac:dyDescent="0.2">
      <c r="A42" s="6"/>
      <c r="B42" s="7"/>
      <c r="C42" s="8"/>
      <c r="D42" s="7"/>
      <c r="E42" s="9"/>
      <c r="F42" s="7"/>
      <c r="G42" s="7"/>
      <c r="H42" s="7"/>
      <c r="I42" s="7"/>
      <c r="J42" s="7"/>
      <c r="K42" s="7"/>
      <c r="L42" s="7"/>
      <c r="M42" s="7"/>
      <c r="N42" s="7"/>
      <c r="O42" s="10"/>
      <c r="P42" s="10"/>
      <c r="V42" s="11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</row>
    <row r="43" spans="1:34" ht="77.25" customHeight="1" thickBot="1" x14ac:dyDescent="0.2">
      <c r="A43" s="6"/>
      <c r="B43" s="7"/>
      <c r="C43" s="8"/>
      <c r="D43" s="7"/>
      <c r="E43" s="9"/>
      <c r="F43" s="7"/>
      <c r="G43" s="7"/>
      <c r="H43" s="7"/>
      <c r="I43" s="7"/>
      <c r="J43" s="7"/>
      <c r="K43" s="7"/>
      <c r="L43" s="7"/>
      <c r="M43" s="7"/>
      <c r="N43" s="7"/>
      <c r="O43" s="10"/>
      <c r="P43" s="10"/>
      <c r="V43" s="11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3"/>
    </row>
    <row r="44" spans="1:34" ht="77.25" customHeight="1" thickBot="1" x14ac:dyDescent="0.2">
      <c r="A44" s="6"/>
      <c r="B44" s="7"/>
      <c r="C44" s="8"/>
      <c r="D44" s="7"/>
      <c r="E44" s="9"/>
      <c r="F44" s="7"/>
      <c r="G44" s="7"/>
      <c r="H44" s="7"/>
      <c r="I44" s="7"/>
      <c r="J44" s="7"/>
      <c r="K44" s="7"/>
      <c r="L44" s="7"/>
      <c r="M44" s="7"/>
      <c r="N44" s="7"/>
      <c r="O44" s="10"/>
      <c r="P44" s="10"/>
      <c r="V44" s="11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3"/>
    </row>
    <row r="45" spans="1:34" ht="77.25" customHeight="1" thickBot="1" x14ac:dyDescent="0.2">
      <c r="A45" s="6"/>
      <c r="B45" s="7"/>
      <c r="C45" s="8"/>
      <c r="D45" s="7"/>
      <c r="E45" s="9"/>
      <c r="F45" s="7"/>
      <c r="G45" s="7"/>
      <c r="H45" s="7"/>
      <c r="I45" s="7"/>
      <c r="J45" s="7"/>
      <c r="K45" s="7"/>
      <c r="L45" s="7"/>
      <c r="M45" s="7"/>
      <c r="N45" s="7"/>
      <c r="O45" s="10"/>
      <c r="P45" s="10"/>
      <c r="V45" s="11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3"/>
    </row>
    <row r="46" spans="1:34" ht="77.25" customHeight="1" thickBot="1" x14ac:dyDescent="0.2">
      <c r="A46" s="6"/>
      <c r="B46" s="7"/>
      <c r="C46" s="8"/>
      <c r="D46" s="7"/>
      <c r="E46" s="9"/>
      <c r="F46" s="7"/>
      <c r="G46" s="7"/>
      <c r="H46" s="7"/>
      <c r="I46" s="7"/>
      <c r="J46" s="7"/>
      <c r="K46" s="7"/>
      <c r="L46" s="7"/>
      <c r="M46" s="7"/>
      <c r="N46" s="7"/>
      <c r="O46" s="10"/>
      <c r="P46" s="10"/>
      <c r="V46" s="11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3"/>
    </row>
    <row r="47" spans="1:34" ht="77.25" customHeight="1" thickBot="1" x14ac:dyDescent="0.2">
      <c r="A47" s="6"/>
      <c r="B47" s="7"/>
      <c r="C47" s="8"/>
      <c r="D47" s="7"/>
      <c r="E47" s="9"/>
      <c r="F47" s="7"/>
      <c r="G47" s="7"/>
      <c r="H47" s="7"/>
      <c r="I47" s="7"/>
      <c r="J47" s="7"/>
      <c r="K47" s="7"/>
      <c r="L47" s="7"/>
      <c r="M47" s="7"/>
      <c r="N47" s="7"/>
      <c r="O47" s="10"/>
      <c r="P47" s="10"/>
      <c r="V47" s="11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3"/>
    </row>
    <row r="48" spans="1:34" ht="77.25" customHeight="1" thickBot="1" x14ac:dyDescent="0.2">
      <c r="A48" s="6"/>
      <c r="B48" s="7"/>
      <c r="C48" s="8"/>
      <c r="D48" s="7"/>
      <c r="E48" s="9"/>
      <c r="F48" s="7"/>
      <c r="G48" s="7"/>
      <c r="H48" s="7"/>
      <c r="I48" s="7"/>
      <c r="J48" s="7"/>
      <c r="K48" s="7"/>
      <c r="L48" s="7"/>
      <c r="M48" s="7"/>
      <c r="N48" s="7"/>
      <c r="O48" s="10"/>
      <c r="P48" s="10"/>
      <c r="V48" s="11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3"/>
    </row>
    <row r="49" spans="1:34" ht="77.25" customHeight="1" thickBot="1" x14ac:dyDescent="0.2">
      <c r="A49" s="6"/>
      <c r="B49" s="7"/>
      <c r="C49" s="8"/>
      <c r="D49" s="7"/>
      <c r="E49" s="9"/>
      <c r="F49" s="7"/>
      <c r="G49" s="7"/>
      <c r="H49" s="7"/>
      <c r="I49" s="7"/>
      <c r="J49" s="7"/>
      <c r="K49" s="7"/>
      <c r="L49" s="7"/>
      <c r="M49" s="7"/>
      <c r="N49" s="7"/>
      <c r="O49" s="10"/>
      <c r="P49" s="10"/>
      <c r="V49" s="11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3"/>
    </row>
    <row r="50" spans="1:34" ht="77.25" customHeight="1" thickBot="1" x14ac:dyDescent="0.2">
      <c r="A50" s="6"/>
      <c r="B50" s="7"/>
      <c r="C50" s="8"/>
      <c r="D50" s="7"/>
      <c r="E50" s="9"/>
      <c r="F50" s="7"/>
      <c r="G50" s="7"/>
      <c r="H50" s="7"/>
      <c r="I50" s="7"/>
      <c r="J50" s="7"/>
      <c r="K50" s="7"/>
      <c r="L50" s="7"/>
      <c r="M50" s="7"/>
      <c r="N50" s="7"/>
      <c r="O50" s="10"/>
      <c r="P50" s="10"/>
      <c r="V50" s="11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</row>
    <row r="51" spans="1:34" ht="77.25" customHeight="1" thickBot="1" x14ac:dyDescent="0.2">
      <c r="A51" s="6"/>
      <c r="B51" s="7"/>
      <c r="C51" s="8"/>
      <c r="D51" s="7"/>
      <c r="E51" s="9"/>
      <c r="F51" s="7"/>
      <c r="G51" s="7"/>
      <c r="H51" s="7"/>
      <c r="I51" s="7"/>
      <c r="J51" s="7"/>
      <c r="K51" s="7"/>
      <c r="L51" s="7"/>
      <c r="M51" s="7"/>
      <c r="N51" s="7"/>
      <c r="O51" s="10"/>
      <c r="P51" s="10"/>
      <c r="V51" s="11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</row>
    <row r="52" spans="1:34" ht="77.25" customHeight="1" thickBot="1" x14ac:dyDescent="0.2">
      <c r="A52" s="6"/>
      <c r="B52" s="7"/>
      <c r="C52" s="8"/>
      <c r="D52" s="7"/>
      <c r="E52" s="9"/>
      <c r="F52" s="7"/>
      <c r="G52" s="7"/>
      <c r="H52" s="7"/>
      <c r="I52" s="7"/>
      <c r="J52" s="7"/>
      <c r="K52" s="7"/>
      <c r="L52" s="7"/>
      <c r="M52" s="7"/>
      <c r="N52" s="7"/>
      <c r="O52" s="10"/>
      <c r="P52" s="10"/>
      <c r="V52" s="11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/>
    </row>
    <row r="53" spans="1:34" ht="77.25" customHeight="1" thickBot="1" x14ac:dyDescent="0.2">
      <c r="A53" s="6"/>
      <c r="B53" s="7"/>
      <c r="C53" s="8"/>
      <c r="D53" s="7"/>
      <c r="E53" s="9"/>
      <c r="F53" s="7"/>
      <c r="G53" s="7"/>
      <c r="H53" s="7"/>
      <c r="I53" s="7"/>
      <c r="J53" s="7"/>
      <c r="K53" s="7"/>
      <c r="L53" s="7"/>
      <c r="M53" s="7"/>
      <c r="N53" s="7"/>
      <c r="O53" s="10"/>
      <c r="P53" s="10"/>
      <c r="V53" s="11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3"/>
    </row>
    <row r="54" spans="1:34" ht="77.25" customHeight="1" thickBot="1" x14ac:dyDescent="0.2">
      <c r="A54" s="6"/>
      <c r="B54" s="7"/>
      <c r="C54" s="8"/>
      <c r="D54" s="7"/>
      <c r="E54" s="9"/>
      <c r="F54" s="7"/>
      <c r="G54" s="7"/>
      <c r="H54" s="7"/>
      <c r="I54" s="7"/>
      <c r="J54" s="7"/>
      <c r="K54" s="7"/>
      <c r="L54" s="7"/>
      <c r="M54" s="7"/>
      <c r="N54" s="7"/>
      <c r="O54" s="10"/>
      <c r="P54" s="10"/>
      <c r="V54" s="11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3"/>
    </row>
    <row r="55" spans="1:34" ht="77.25" customHeight="1" thickBot="1" x14ac:dyDescent="0.2">
      <c r="A55" s="6"/>
      <c r="B55" s="7"/>
      <c r="C55" s="8"/>
      <c r="D55" s="7"/>
      <c r="E55" s="9"/>
      <c r="F55" s="7"/>
      <c r="G55" s="7"/>
      <c r="H55" s="7"/>
      <c r="I55" s="7"/>
      <c r="J55" s="7"/>
      <c r="K55" s="7"/>
      <c r="L55" s="7"/>
      <c r="M55" s="7"/>
      <c r="N55" s="7"/>
      <c r="O55" s="10"/>
      <c r="P55" s="10"/>
      <c r="V55" s="11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3"/>
    </row>
    <row r="56" spans="1:34" ht="77.25" customHeight="1" thickBot="1" x14ac:dyDescent="0.2">
      <c r="A56" s="6"/>
      <c r="B56" s="7"/>
      <c r="C56" s="8"/>
      <c r="D56" s="7"/>
      <c r="E56" s="9"/>
      <c r="F56" s="7"/>
      <c r="G56" s="7"/>
      <c r="H56" s="7"/>
      <c r="I56" s="7"/>
      <c r="J56" s="7"/>
      <c r="K56" s="7"/>
      <c r="L56" s="7"/>
      <c r="M56" s="7"/>
      <c r="N56" s="7"/>
      <c r="O56" s="10"/>
      <c r="P56" s="10"/>
      <c r="V56" s="11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3"/>
    </row>
    <row r="57" spans="1:34" ht="77.25" customHeight="1" thickBot="1" x14ac:dyDescent="0.2">
      <c r="A57" s="6"/>
      <c r="B57" s="7"/>
      <c r="C57" s="8"/>
      <c r="D57" s="7"/>
      <c r="E57" s="9"/>
      <c r="F57" s="7"/>
      <c r="G57" s="7"/>
      <c r="H57" s="7"/>
      <c r="I57" s="7"/>
      <c r="J57" s="7"/>
      <c r="K57" s="7"/>
      <c r="L57" s="7"/>
      <c r="M57" s="7"/>
      <c r="N57" s="7"/>
      <c r="O57" s="10"/>
      <c r="P57" s="10"/>
      <c r="V57" s="11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3"/>
    </row>
    <row r="58" spans="1:34" ht="77.25" customHeight="1" thickBot="1" x14ac:dyDescent="0.2">
      <c r="A58" s="6"/>
      <c r="B58" s="7"/>
      <c r="C58" s="8"/>
      <c r="D58" s="7"/>
      <c r="E58" s="9"/>
      <c r="F58" s="7"/>
      <c r="G58" s="7"/>
      <c r="H58" s="7"/>
      <c r="I58" s="7"/>
      <c r="J58" s="7"/>
      <c r="K58" s="7"/>
      <c r="L58" s="7"/>
      <c r="M58" s="7"/>
      <c r="N58" s="7"/>
      <c r="O58" s="10"/>
      <c r="P58" s="10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3"/>
    </row>
    <row r="59" spans="1:34" ht="77.25" customHeight="1" thickBot="1" x14ac:dyDescent="0.2">
      <c r="A59" s="6"/>
      <c r="B59" s="7"/>
      <c r="C59" s="8"/>
      <c r="D59" s="7"/>
      <c r="E59" s="9"/>
      <c r="F59" s="7"/>
      <c r="G59" s="7"/>
      <c r="H59" s="7"/>
      <c r="I59" s="7"/>
      <c r="J59" s="7"/>
      <c r="K59" s="7"/>
      <c r="L59" s="7"/>
      <c r="M59" s="7"/>
      <c r="N59" s="7"/>
      <c r="O59" s="10"/>
      <c r="P59" s="10"/>
      <c r="V59" s="11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3"/>
    </row>
    <row r="60" spans="1:34" ht="77.25" customHeight="1" thickBot="1" x14ac:dyDescent="0.2">
      <c r="A60" s="6"/>
      <c r="B60" s="7"/>
      <c r="C60" s="8"/>
      <c r="D60" s="7"/>
      <c r="E60" s="9"/>
      <c r="F60" s="7"/>
      <c r="G60" s="7"/>
      <c r="H60" s="7"/>
      <c r="I60" s="7"/>
      <c r="J60" s="7"/>
      <c r="K60" s="7"/>
      <c r="L60" s="7"/>
      <c r="M60" s="7"/>
      <c r="N60" s="7"/>
      <c r="O60" s="10"/>
      <c r="P60" s="10"/>
      <c r="V60" s="11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3"/>
    </row>
    <row r="61" spans="1:34" ht="77.25" customHeight="1" thickBot="1" x14ac:dyDescent="0.2">
      <c r="A61" s="6"/>
      <c r="B61" s="7"/>
      <c r="C61" s="8"/>
      <c r="D61" s="7"/>
      <c r="E61" s="9"/>
      <c r="F61" s="7"/>
      <c r="G61" s="7"/>
      <c r="H61" s="7"/>
      <c r="I61" s="7"/>
      <c r="J61" s="7"/>
      <c r="K61" s="7"/>
      <c r="L61" s="7"/>
      <c r="M61" s="7"/>
      <c r="N61" s="7"/>
      <c r="O61" s="10"/>
      <c r="P61" s="10"/>
      <c r="V61" s="11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3"/>
    </row>
    <row r="62" spans="1:34" ht="77.25" customHeight="1" thickBot="1" x14ac:dyDescent="0.2">
      <c r="A62" s="6"/>
      <c r="B62" s="7"/>
      <c r="C62" s="8"/>
      <c r="D62" s="7"/>
      <c r="E62" s="9"/>
      <c r="F62" s="7"/>
      <c r="G62" s="7"/>
      <c r="H62" s="7"/>
      <c r="I62" s="7"/>
      <c r="J62" s="7"/>
      <c r="K62" s="7"/>
      <c r="L62" s="7"/>
      <c r="M62" s="7"/>
      <c r="N62" s="7"/>
      <c r="O62" s="10"/>
      <c r="P62" s="10"/>
      <c r="V62" s="11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/>
    </row>
    <row r="63" spans="1:34" ht="77.25" customHeight="1" thickBot="1" x14ac:dyDescent="0.2">
      <c r="A63" s="6"/>
      <c r="B63" s="7"/>
      <c r="C63" s="8"/>
      <c r="D63" s="7"/>
      <c r="E63" s="9"/>
      <c r="F63" s="7"/>
      <c r="G63" s="7"/>
      <c r="H63" s="7"/>
      <c r="I63" s="7"/>
      <c r="J63" s="7"/>
      <c r="K63" s="7"/>
      <c r="L63" s="7"/>
      <c r="M63" s="7"/>
      <c r="N63" s="7"/>
      <c r="O63" s="10"/>
      <c r="P63" s="10"/>
      <c r="V63" s="11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3"/>
    </row>
    <row r="64" spans="1:34" ht="77.25" customHeight="1" thickBot="1" x14ac:dyDescent="0.2">
      <c r="A64" s="6"/>
      <c r="B64" s="7"/>
      <c r="C64" s="8"/>
      <c r="D64" s="7"/>
      <c r="E64" s="9"/>
      <c r="F64" s="7"/>
      <c r="G64" s="7"/>
      <c r="H64" s="7"/>
      <c r="I64" s="7"/>
      <c r="J64" s="7"/>
      <c r="K64" s="7"/>
      <c r="L64" s="7"/>
      <c r="M64" s="7"/>
      <c r="N64" s="7"/>
      <c r="O64" s="10"/>
      <c r="P64" s="10"/>
      <c r="V64" s="11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3"/>
    </row>
    <row r="65" spans="1:34" ht="77.25" customHeight="1" thickBot="1" x14ac:dyDescent="0.2">
      <c r="A65" s="6"/>
      <c r="B65" s="7"/>
      <c r="C65" s="8"/>
      <c r="D65" s="7"/>
      <c r="E65" s="9"/>
      <c r="F65" s="7"/>
      <c r="G65" s="7"/>
      <c r="H65" s="7"/>
      <c r="I65" s="7"/>
      <c r="J65" s="7"/>
      <c r="K65" s="7"/>
      <c r="L65" s="7"/>
      <c r="M65" s="7"/>
      <c r="N65" s="7"/>
      <c r="O65" s="10"/>
      <c r="P65" s="10"/>
      <c r="V65" s="11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3"/>
    </row>
    <row r="66" spans="1:34" ht="77.25" customHeight="1" thickBot="1" x14ac:dyDescent="0.2">
      <c r="A66" s="6"/>
      <c r="B66" s="7"/>
      <c r="C66" s="8"/>
      <c r="D66" s="7"/>
      <c r="E66" s="9"/>
      <c r="F66" s="7"/>
      <c r="G66" s="7"/>
      <c r="H66" s="7"/>
      <c r="I66" s="7"/>
      <c r="J66" s="7"/>
      <c r="K66" s="7"/>
      <c r="L66" s="7"/>
      <c r="M66" s="7"/>
      <c r="N66" s="7"/>
      <c r="O66" s="10"/>
      <c r="P66" s="10"/>
      <c r="V66" s="11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3"/>
    </row>
    <row r="67" spans="1:34" ht="77.25" customHeight="1" thickBot="1" x14ac:dyDescent="0.2">
      <c r="A67" s="6"/>
      <c r="B67" s="7"/>
      <c r="C67" s="8"/>
      <c r="D67" s="7"/>
      <c r="E67" s="9"/>
      <c r="F67" s="7"/>
      <c r="G67" s="7"/>
      <c r="H67" s="7"/>
      <c r="I67" s="7"/>
      <c r="J67" s="7"/>
      <c r="K67" s="7"/>
      <c r="L67" s="7"/>
      <c r="M67" s="7"/>
      <c r="N67" s="7"/>
      <c r="O67" s="10"/>
      <c r="P67" s="10"/>
      <c r="V67" s="11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3"/>
    </row>
    <row r="68" spans="1:34" ht="77.25" customHeight="1" thickBot="1" x14ac:dyDescent="0.2">
      <c r="A68" s="6"/>
      <c r="B68" s="7"/>
      <c r="C68" s="8"/>
      <c r="D68" s="7"/>
      <c r="E68" s="9"/>
      <c r="F68" s="7"/>
      <c r="G68" s="7"/>
      <c r="H68" s="7"/>
      <c r="I68" s="7"/>
      <c r="J68" s="7"/>
      <c r="K68" s="7"/>
      <c r="L68" s="7"/>
      <c r="M68" s="7"/>
      <c r="N68" s="7"/>
      <c r="O68" s="10"/>
      <c r="P68" s="10"/>
      <c r="V68" s="11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3"/>
    </row>
    <row r="69" spans="1:34" ht="77.25" customHeight="1" thickBot="1" x14ac:dyDescent="0.2">
      <c r="A69" s="6"/>
      <c r="B69" s="7"/>
      <c r="C69" s="8"/>
      <c r="D69" s="7"/>
      <c r="E69" s="9"/>
      <c r="F69" s="7"/>
      <c r="G69" s="7"/>
      <c r="H69" s="7"/>
      <c r="I69" s="7"/>
      <c r="J69" s="7"/>
      <c r="K69" s="7"/>
      <c r="L69" s="7"/>
      <c r="M69" s="7"/>
      <c r="N69" s="7"/>
      <c r="O69" s="10"/>
      <c r="P69" s="10"/>
      <c r="V69" s="11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/>
    </row>
    <row r="70" spans="1:34" ht="77.25" customHeight="1" thickBot="1" x14ac:dyDescent="0.2">
      <c r="A70" s="6"/>
      <c r="B70" s="7"/>
      <c r="C70" s="8"/>
      <c r="D70" s="7"/>
      <c r="E70" s="9"/>
      <c r="F70" s="7"/>
      <c r="G70" s="7"/>
      <c r="H70" s="7"/>
      <c r="I70" s="7"/>
      <c r="J70" s="7"/>
      <c r="K70" s="7"/>
      <c r="L70" s="7"/>
      <c r="M70" s="7"/>
      <c r="N70" s="7"/>
      <c r="O70" s="10"/>
      <c r="P70" s="10"/>
      <c r="V70" s="11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3"/>
    </row>
    <row r="71" spans="1:34" ht="77.25" customHeight="1" thickBot="1" x14ac:dyDescent="0.2">
      <c r="A71" s="6"/>
      <c r="B71" s="7"/>
      <c r="C71" s="8"/>
      <c r="D71" s="7"/>
      <c r="E71" s="9"/>
      <c r="F71" s="7"/>
      <c r="G71" s="7"/>
      <c r="H71" s="7"/>
      <c r="I71" s="7"/>
      <c r="J71" s="7"/>
      <c r="K71" s="7"/>
      <c r="L71" s="7"/>
      <c r="M71" s="7"/>
      <c r="N71" s="7"/>
      <c r="O71" s="10"/>
      <c r="P71" s="10"/>
      <c r="V71" s="11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3"/>
    </row>
    <row r="72" spans="1:34" ht="77.25" customHeight="1" thickBot="1" x14ac:dyDescent="0.2">
      <c r="A72" s="6"/>
      <c r="B72" s="7"/>
      <c r="C72" s="8"/>
      <c r="D72" s="7"/>
      <c r="E72" s="9"/>
      <c r="F72" s="7"/>
      <c r="G72" s="7"/>
      <c r="H72" s="7"/>
      <c r="I72" s="7"/>
      <c r="J72" s="7"/>
      <c r="K72" s="7"/>
      <c r="L72" s="7"/>
      <c r="M72" s="7"/>
      <c r="N72" s="7"/>
      <c r="O72" s="10"/>
      <c r="P72" s="10"/>
      <c r="V72" s="11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/>
    </row>
    <row r="73" spans="1:34" ht="77.25" customHeight="1" thickBot="1" x14ac:dyDescent="0.2">
      <c r="A73" s="6"/>
      <c r="B73" s="7"/>
      <c r="C73" s="8"/>
      <c r="D73" s="7"/>
      <c r="E73" s="9"/>
      <c r="F73" s="7"/>
      <c r="G73" s="7"/>
      <c r="H73" s="7"/>
      <c r="I73" s="7"/>
      <c r="J73" s="7"/>
      <c r="K73" s="7"/>
      <c r="L73" s="7"/>
      <c r="M73" s="7"/>
      <c r="N73" s="7"/>
      <c r="O73" s="10"/>
      <c r="P73" s="10"/>
      <c r="V73" s="11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3"/>
    </row>
    <row r="74" spans="1:34" ht="77.25" customHeight="1" thickBot="1" x14ac:dyDescent="0.2">
      <c r="A74" s="6"/>
      <c r="B74" s="7"/>
      <c r="C74" s="8"/>
      <c r="D74" s="7"/>
      <c r="E74" s="9"/>
      <c r="F74" s="7"/>
      <c r="G74" s="7"/>
      <c r="H74" s="7"/>
      <c r="I74" s="7"/>
      <c r="J74" s="7"/>
      <c r="K74" s="7"/>
      <c r="L74" s="7"/>
      <c r="M74" s="7"/>
      <c r="N74" s="7"/>
      <c r="O74" s="10"/>
      <c r="P74" s="10"/>
      <c r="V74" s="11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3"/>
    </row>
    <row r="75" spans="1:34" ht="77.25" customHeight="1" thickBot="1" x14ac:dyDescent="0.2">
      <c r="A75" s="6"/>
      <c r="B75" s="7"/>
      <c r="C75" s="8"/>
      <c r="D75" s="7"/>
      <c r="E75" s="9"/>
      <c r="F75" s="7"/>
      <c r="G75" s="7"/>
      <c r="H75" s="7"/>
      <c r="I75" s="7"/>
      <c r="J75" s="7"/>
      <c r="K75" s="7"/>
      <c r="L75" s="7"/>
      <c r="M75" s="7"/>
      <c r="N75" s="7"/>
      <c r="O75" s="10"/>
      <c r="P75" s="10"/>
      <c r="V75" s="11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3"/>
    </row>
    <row r="76" spans="1:34" ht="77.25" customHeight="1" thickBot="1" x14ac:dyDescent="0.2">
      <c r="A76" s="6"/>
      <c r="B76" s="7"/>
      <c r="C76" s="8"/>
      <c r="D76" s="7"/>
      <c r="E76" s="9"/>
      <c r="F76" s="7"/>
      <c r="G76" s="7"/>
      <c r="H76" s="7"/>
      <c r="I76" s="7"/>
      <c r="J76" s="7"/>
      <c r="K76" s="7"/>
      <c r="L76" s="7"/>
      <c r="M76" s="7"/>
      <c r="N76" s="7"/>
      <c r="O76" s="10"/>
      <c r="P76" s="10"/>
      <c r="V76" s="11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3"/>
    </row>
    <row r="77" spans="1:34" ht="77.25" customHeight="1" thickBot="1" x14ac:dyDescent="0.2">
      <c r="A77" s="6"/>
      <c r="B77" s="7"/>
      <c r="C77" s="8"/>
      <c r="D77" s="7"/>
      <c r="E77" s="9"/>
      <c r="F77" s="7"/>
      <c r="G77" s="7"/>
      <c r="H77" s="7"/>
      <c r="I77" s="7"/>
      <c r="J77" s="7"/>
      <c r="K77" s="7"/>
      <c r="L77" s="7"/>
      <c r="M77" s="7"/>
      <c r="N77" s="7"/>
      <c r="O77" s="10"/>
      <c r="P77" s="10"/>
      <c r="V77" s="11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3"/>
    </row>
    <row r="78" spans="1:34" ht="77.25" customHeight="1" thickBot="1" x14ac:dyDescent="0.2">
      <c r="A78" s="6"/>
      <c r="B78" s="7"/>
      <c r="C78" s="8"/>
      <c r="D78" s="7"/>
      <c r="E78" s="9"/>
      <c r="F78" s="7"/>
      <c r="G78" s="7"/>
      <c r="H78" s="7"/>
      <c r="I78" s="7"/>
      <c r="J78" s="7"/>
      <c r="K78" s="7"/>
      <c r="L78" s="7"/>
      <c r="M78" s="7"/>
      <c r="N78" s="7"/>
      <c r="O78" s="10"/>
      <c r="P78" s="10"/>
      <c r="V78" s="11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3"/>
    </row>
    <row r="79" spans="1:34" ht="77.25" customHeight="1" thickBot="1" x14ac:dyDescent="0.2">
      <c r="A79" s="6"/>
      <c r="B79" s="7"/>
      <c r="C79" s="8"/>
      <c r="D79" s="7"/>
      <c r="E79" s="9"/>
      <c r="F79" s="7"/>
      <c r="G79" s="7"/>
      <c r="H79" s="7"/>
      <c r="I79" s="7"/>
      <c r="J79" s="7"/>
      <c r="K79" s="7"/>
      <c r="L79" s="7"/>
      <c r="M79" s="7"/>
      <c r="N79" s="7"/>
      <c r="O79" s="10"/>
      <c r="P79" s="10"/>
      <c r="V79" s="11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3"/>
    </row>
    <row r="80" spans="1:34" ht="77.25" customHeight="1" thickBot="1" x14ac:dyDescent="0.2">
      <c r="A80" s="6"/>
      <c r="B80" s="7"/>
      <c r="C80" s="8"/>
      <c r="D80" s="7"/>
      <c r="E80" s="9"/>
      <c r="F80" s="7"/>
      <c r="G80" s="7"/>
      <c r="H80" s="7"/>
      <c r="I80" s="7"/>
      <c r="J80" s="7"/>
      <c r="K80" s="7"/>
      <c r="L80" s="7"/>
      <c r="M80" s="7"/>
      <c r="N80" s="7"/>
      <c r="O80" s="10"/>
      <c r="P80" s="10"/>
      <c r="V80" s="11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3"/>
    </row>
    <row r="81" spans="1:34" ht="77.25" customHeight="1" thickBot="1" x14ac:dyDescent="0.2">
      <c r="A81" s="6"/>
      <c r="B81" s="7"/>
      <c r="C81" s="8"/>
      <c r="D81" s="7"/>
      <c r="E81" s="9"/>
      <c r="F81" s="7"/>
      <c r="G81" s="7"/>
      <c r="H81" s="7"/>
      <c r="I81" s="7"/>
      <c r="J81" s="7"/>
      <c r="K81" s="7"/>
      <c r="L81" s="7"/>
      <c r="M81" s="7"/>
      <c r="N81" s="7"/>
      <c r="O81" s="10"/>
      <c r="P81" s="10"/>
      <c r="V81" s="11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3"/>
    </row>
    <row r="82" spans="1:34" ht="77.25" customHeight="1" thickBot="1" x14ac:dyDescent="0.2">
      <c r="A82" s="6"/>
      <c r="B82" s="7"/>
      <c r="C82" s="8"/>
      <c r="D82" s="7"/>
      <c r="E82" s="9"/>
      <c r="F82" s="7"/>
      <c r="G82" s="7"/>
      <c r="H82" s="7"/>
      <c r="I82" s="7"/>
      <c r="J82" s="7"/>
      <c r="K82" s="7"/>
      <c r="L82" s="7"/>
      <c r="M82" s="7"/>
      <c r="N82" s="7"/>
      <c r="O82" s="10"/>
      <c r="P82" s="10"/>
      <c r="V82" s="11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/>
    </row>
    <row r="83" spans="1:34" ht="77.25" customHeight="1" thickBot="1" x14ac:dyDescent="0.2">
      <c r="A83" s="6"/>
      <c r="B83" s="7"/>
      <c r="C83" s="8"/>
      <c r="D83" s="7"/>
      <c r="E83" s="9"/>
      <c r="F83" s="7"/>
      <c r="G83" s="7"/>
      <c r="H83" s="7"/>
      <c r="I83" s="7"/>
      <c r="J83" s="7"/>
      <c r="K83" s="7"/>
      <c r="L83" s="7"/>
      <c r="M83" s="7"/>
      <c r="N83" s="7"/>
      <c r="O83" s="10"/>
      <c r="P83" s="10"/>
      <c r="V83" s="11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3"/>
    </row>
    <row r="84" spans="1:34" ht="77.25" customHeight="1" thickBot="1" x14ac:dyDescent="0.2">
      <c r="A84" s="6"/>
      <c r="B84" s="7"/>
      <c r="C84" s="8"/>
      <c r="D84" s="7"/>
      <c r="E84" s="9"/>
      <c r="F84" s="7"/>
      <c r="G84" s="7"/>
      <c r="H84" s="7"/>
      <c r="I84" s="7"/>
      <c r="J84" s="7"/>
      <c r="K84" s="7"/>
      <c r="L84" s="7"/>
      <c r="M84" s="7"/>
      <c r="N84" s="7"/>
      <c r="O84" s="10"/>
      <c r="P84" s="10"/>
      <c r="V84" s="11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3"/>
    </row>
    <row r="85" spans="1:34" ht="77.25" customHeight="1" thickBot="1" x14ac:dyDescent="0.2">
      <c r="A85" s="6"/>
      <c r="B85" s="7"/>
      <c r="C85" s="8"/>
      <c r="D85" s="7"/>
      <c r="E85" s="9"/>
      <c r="F85" s="7"/>
      <c r="G85" s="7"/>
      <c r="H85" s="7"/>
      <c r="I85" s="7"/>
      <c r="J85" s="7"/>
      <c r="K85" s="7"/>
      <c r="L85" s="7"/>
      <c r="M85" s="7"/>
      <c r="N85" s="7"/>
      <c r="O85" s="10"/>
      <c r="P85" s="10"/>
      <c r="V85" s="11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3"/>
    </row>
    <row r="86" spans="1:34" ht="77.25" customHeight="1" thickBot="1" x14ac:dyDescent="0.2">
      <c r="A86" s="6"/>
      <c r="B86" s="7"/>
      <c r="C86" s="8"/>
      <c r="D86" s="7"/>
      <c r="E86" s="9"/>
      <c r="F86" s="7"/>
      <c r="G86" s="7"/>
      <c r="H86" s="7"/>
      <c r="I86" s="7"/>
      <c r="J86" s="7"/>
      <c r="K86" s="7"/>
      <c r="L86" s="7"/>
      <c r="M86" s="7"/>
      <c r="N86" s="7"/>
      <c r="O86" s="10"/>
      <c r="P86" s="10"/>
      <c r="V86" s="11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3"/>
    </row>
    <row r="87" spans="1:34" ht="77.25" customHeight="1" thickBot="1" x14ac:dyDescent="0.2">
      <c r="A87" s="6"/>
      <c r="B87" s="7"/>
      <c r="C87" s="8"/>
      <c r="D87" s="7"/>
      <c r="E87" s="9"/>
      <c r="F87" s="7"/>
      <c r="G87" s="7"/>
      <c r="H87" s="7"/>
      <c r="I87" s="7"/>
      <c r="J87" s="7"/>
      <c r="K87" s="7"/>
      <c r="L87" s="7"/>
      <c r="M87" s="7"/>
      <c r="N87" s="7"/>
      <c r="O87" s="10"/>
      <c r="P87" s="10"/>
      <c r="V87" s="11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3"/>
    </row>
    <row r="88" spans="1:34" ht="77.25" customHeight="1" thickBot="1" x14ac:dyDescent="0.2">
      <c r="A88" s="6"/>
      <c r="B88" s="7"/>
      <c r="C88" s="8"/>
      <c r="D88" s="7"/>
      <c r="E88" s="9"/>
      <c r="F88" s="7"/>
      <c r="G88" s="7"/>
      <c r="H88" s="7"/>
      <c r="I88" s="7"/>
      <c r="J88" s="7"/>
      <c r="K88" s="7"/>
      <c r="L88" s="7"/>
      <c r="M88" s="7"/>
      <c r="N88" s="7"/>
      <c r="O88" s="10"/>
      <c r="P88" s="10"/>
      <c r="V88" s="11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3"/>
    </row>
    <row r="89" spans="1:34" ht="77.25" customHeight="1" thickBot="1" x14ac:dyDescent="0.2">
      <c r="A89" s="6"/>
      <c r="B89" s="7"/>
      <c r="C89" s="8"/>
      <c r="D89" s="7"/>
      <c r="E89" s="9"/>
      <c r="F89" s="7"/>
      <c r="G89" s="7"/>
      <c r="H89" s="7"/>
      <c r="I89" s="7"/>
      <c r="J89" s="7"/>
      <c r="K89" s="7"/>
      <c r="L89" s="7"/>
      <c r="M89" s="7"/>
      <c r="N89" s="7"/>
      <c r="O89" s="10"/>
      <c r="P89" s="10"/>
      <c r="V89" s="11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3"/>
    </row>
    <row r="90" spans="1:34" ht="77.25" customHeight="1" thickBot="1" x14ac:dyDescent="0.2">
      <c r="A90" s="6"/>
      <c r="B90" s="7"/>
      <c r="C90" s="8"/>
      <c r="D90" s="7"/>
      <c r="E90" s="9"/>
      <c r="F90" s="7"/>
      <c r="G90" s="7"/>
      <c r="H90" s="7"/>
      <c r="I90" s="7"/>
      <c r="J90" s="7"/>
      <c r="K90" s="7"/>
      <c r="L90" s="7"/>
      <c r="M90" s="7"/>
      <c r="N90" s="7"/>
      <c r="O90" s="10"/>
      <c r="P90" s="10"/>
      <c r="V90" s="11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3"/>
    </row>
    <row r="91" spans="1:34" ht="77.25" customHeight="1" thickBot="1" x14ac:dyDescent="0.2">
      <c r="A91" s="6"/>
      <c r="B91" s="7"/>
      <c r="C91" s="8"/>
      <c r="D91" s="7"/>
      <c r="E91" s="9"/>
      <c r="F91" s="7"/>
      <c r="G91" s="7"/>
      <c r="H91" s="7"/>
      <c r="I91" s="7"/>
      <c r="J91" s="7"/>
      <c r="K91" s="7"/>
      <c r="L91" s="7"/>
      <c r="M91" s="7"/>
      <c r="N91" s="7"/>
      <c r="O91" s="10"/>
      <c r="P91" s="10"/>
      <c r="V91" s="11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3"/>
    </row>
    <row r="92" spans="1:34" ht="77.25" customHeight="1" thickBot="1" x14ac:dyDescent="0.2">
      <c r="A92" s="6"/>
      <c r="B92" s="7"/>
      <c r="C92" s="8"/>
      <c r="D92" s="7"/>
      <c r="E92" s="9"/>
      <c r="F92" s="7"/>
      <c r="G92" s="7"/>
      <c r="H92" s="7"/>
      <c r="I92" s="7"/>
      <c r="J92" s="7"/>
      <c r="K92" s="7"/>
      <c r="L92" s="7"/>
      <c r="M92" s="7"/>
      <c r="N92" s="7"/>
      <c r="O92" s="10"/>
      <c r="P92" s="10"/>
      <c r="V92" s="11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/>
    </row>
    <row r="93" spans="1:34" ht="77.25" customHeight="1" thickBot="1" x14ac:dyDescent="0.2">
      <c r="A93" s="6"/>
      <c r="B93" s="7"/>
      <c r="C93" s="8"/>
      <c r="D93" s="7"/>
      <c r="E93" s="9"/>
      <c r="F93" s="7"/>
      <c r="G93" s="7"/>
      <c r="H93" s="7"/>
      <c r="I93" s="7"/>
      <c r="J93" s="7"/>
      <c r="K93" s="7"/>
      <c r="L93" s="7"/>
      <c r="M93" s="7"/>
      <c r="N93" s="7"/>
      <c r="O93" s="10"/>
      <c r="P93" s="10"/>
      <c r="V93" s="11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3"/>
    </row>
    <row r="94" spans="1:34" ht="77.25" customHeight="1" thickBot="1" x14ac:dyDescent="0.2">
      <c r="A94" s="6"/>
      <c r="B94" s="7"/>
      <c r="C94" s="8"/>
      <c r="D94" s="7"/>
      <c r="E94" s="9"/>
      <c r="F94" s="7"/>
      <c r="G94" s="7"/>
      <c r="H94" s="7"/>
      <c r="I94" s="7"/>
      <c r="J94" s="7"/>
      <c r="K94" s="7"/>
      <c r="L94" s="7"/>
      <c r="M94" s="7"/>
      <c r="N94" s="7"/>
      <c r="O94" s="10"/>
      <c r="P94" s="10"/>
      <c r="V94" s="11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3"/>
    </row>
    <row r="95" spans="1:34" ht="77.25" customHeight="1" thickBot="1" x14ac:dyDescent="0.2">
      <c r="A95" s="6"/>
      <c r="B95" s="7"/>
      <c r="C95" s="8"/>
      <c r="D95" s="7"/>
      <c r="E95" s="9"/>
      <c r="F95" s="7"/>
      <c r="G95" s="7"/>
      <c r="H95" s="7"/>
      <c r="I95" s="7"/>
      <c r="J95" s="7"/>
      <c r="K95" s="7"/>
      <c r="L95" s="7"/>
      <c r="M95" s="7"/>
      <c r="N95" s="7"/>
      <c r="O95" s="10"/>
      <c r="P95" s="10"/>
      <c r="V95" s="11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3"/>
    </row>
    <row r="96" spans="1:34" ht="77.25" customHeight="1" thickBot="1" x14ac:dyDescent="0.2">
      <c r="A96" s="6"/>
      <c r="B96" s="7"/>
      <c r="C96" s="8"/>
      <c r="D96" s="7"/>
      <c r="E96" s="9"/>
      <c r="F96" s="7"/>
      <c r="G96" s="7"/>
      <c r="H96" s="7"/>
      <c r="I96" s="7"/>
      <c r="J96" s="7"/>
      <c r="K96" s="7"/>
      <c r="L96" s="7"/>
      <c r="M96" s="7"/>
      <c r="N96" s="7"/>
      <c r="O96" s="10"/>
      <c r="P96" s="10"/>
      <c r="V96" s="11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3"/>
    </row>
    <row r="97" spans="1:34" ht="77.25" customHeight="1" thickBot="1" x14ac:dyDescent="0.2">
      <c r="A97" s="6"/>
      <c r="B97" s="7"/>
      <c r="C97" s="8"/>
      <c r="D97" s="7"/>
      <c r="E97" s="9"/>
      <c r="F97" s="7"/>
      <c r="G97" s="7"/>
      <c r="H97" s="7"/>
      <c r="I97" s="7"/>
      <c r="J97" s="7"/>
      <c r="K97" s="7"/>
      <c r="L97" s="7"/>
      <c r="M97" s="7"/>
      <c r="N97" s="7"/>
      <c r="O97" s="10"/>
      <c r="P97" s="10"/>
      <c r="V97" s="11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3"/>
    </row>
    <row r="98" spans="1:34" ht="77.25" customHeight="1" thickBot="1" x14ac:dyDescent="0.2">
      <c r="A98" s="6"/>
      <c r="B98" s="7"/>
      <c r="C98" s="8"/>
      <c r="D98" s="7"/>
      <c r="E98" s="9"/>
      <c r="F98" s="7"/>
      <c r="G98" s="7"/>
      <c r="H98" s="7"/>
      <c r="I98" s="7"/>
      <c r="J98" s="7"/>
      <c r="K98" s="7"/>
      <c r="L98" s="7"/>
      <c r="M98" s="7"/>
      <c r="N98" s="7"/>
      <c r="O98" s="10"/>
      <c r="P98" s="10"/>
      <c r="V98" s="11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3"/>
    </row>
    <row r="99" spans="1:34" ht="77.25" customHeight="1" thickBot="1" x14ac:dyDescent="0.2">
      <c r="A99" s="6"/>
      <c r="B99" s="7"/>
      <c r="C99" s="8"/>
      <c r="D99" s="7"/>
      <c r="E99" s="9"/>
      <c r="F99" s="7"/>
      <c r="G99" s="7"/>
      <c r="H99" s="7"/>
      <c r="I99" s="7"/>
      <c r="J99" s="7"/>
      <c r="K99" s="7"/>
      <c r="L99" s="7"/>
      <c r="M99" s="7"/>
      <c r="N99" s="7"/>
      <c r="O99" s="10"/>
      <c r="P99" s="10"/>
      <c r="V99" s="11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3"/>
    </row>
    <row r="100" spans="1:34" ht="77.25" customHeight="1" thickBot="1" x14ac:dyDescent="0.2">
      <c r="A100" s="6"/>
      <c r="B100" s="7"/>
      <c r="C100" s="8"/>
      <c r="D100" s="7"/>
      <c r="E100" s="9"/>
      <c r="F100" s="7"/>
      <c r="G100" s="7"/>
      <c r="H100" s="7"/>
      <c r="I100" s="7"/>
      <c r="J100" s="7"/>
      <c r="K100" s="7"/>
      <c r="L100" s="7"/>
      <c r="M100" s="7"/>
      <c r="N100" s="7"/>
      <c r="O100" s="10"/>
      <c r="P100" s="10"/>
      <c r="V100" s="11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3"/>
    </row>
    <row r="101" spans="1:34" ht="77.25" customHeight="1" thickBot="1" x14ac:dyDescent="0.2">
      <c r="A101" s="6"/>
      <c r="B101" s="7"/>
      <c r="C101" s="8"/>
      <c r="D101" s="7"/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10"/>
      <c r="P101" s="10"/>
      <c r="V101" s="11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3"/>
    </row>
    <row r="102" spans="1:34" ht="77.25" customHeight="1" thickBot="1" x14ac:dyDescent="0.2">
      <c r="A102" s="6"/>
      <c r="B102" s="7"/>
      <c r="C102" s="8"/>
      <c r="D102" s="7"/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10"/>
      <c r="P102" s="10"/>
      <c r="V102" s="11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3"/>
    </row>
    <row r="103" spans="1:34" ht="77.25" customHeight="1" thickBot="1" x14ac:dyDescent="0.2">
      <c r="A103" s="6"/>
      <c r="B103" s="7"/>
      <c r="C103" s="8"/>
      <c r="D103" s="7"/>
      <c r="E103" s="9"/>
      <c r="F103" s="7"/>
      <c r="G103" s="7"/>
      <c r="H103" s="7"/>
      <c r="I103" s="7"/>
      <c r="J103" s="7"/>
      <c r="K103" s="7"/>
      <c r="L103" s="7"/>
      <c r="M103" s="7"/>
      <c r="N103" s="7"/>
      <c r="O103" s="10"/>
      <c r="P103" s="10"/>
      <c r="V103" s="11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3"/>
    </row>
    <row r="104" spans="1:34" ht="77.25" customHeight="1" thickBot="1" x14ac:dyDescent="0.2">
      <c r="A104" s="6"/>
      <c r="B104" s="7"/>
      <c r="C104" s="8"/>
      <c r="D104" s="7"/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10"/>
      <c r="P104" s="10"/>
      <c r="V104" s="11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3"/>
    </row>
    <row r="105" spans="1:34" ht="77.25" customHeight="1" thickBot="1" x14ac:dyDescent="0.2">
      <c r="A105" s="6"/>
      <c r="B105" s="7"/>
      <c r="C105" s="8"/>
      <c r="D105" s="7"/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10"/>
      <c r="P105" s="10"/>
      <c r="V105" s="11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3"/>
    </row>
    <row r="106" spans="1:34" ht="77.25" customHeight="1" thickBot="1" x14ac:dyDescent="0.2">
      <c r="A106" s="6"/>
      <c r="B106" s="7"/>
      <c r="C106" s="8"/>
      <c r="D106" s="7"/>
      <c r="E106" s="9"/>
      <c r="F106" s="7"/>
      <c r="G106" s="7"/>
      <c r="H106" s="7"/>
      <c r="I106" s="7"/>
      <c r="J106" s="7"/>
      <c r="K106" s="7"/>
      <c r="L106" s="7"/>
      <c r="M106" s="7"/>
      <c r="N106" s="7"/>
      <c r="O106" s="10"/>
      <c r="P106" s="10"/>
      <c r="V106" s="11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3"/>
    </row>
    <row r="107" spans="1:34" ht="77.25" customHeight="1" thickBot="1" x14ac:dyDescent="0.2">
      <c r="A107" s="6"/>
      <c r="B107" s="7"/>
      <c r="C107" s="8"/>
      <c r="D107" s="7"/>
      <c r="E107" s="9"/>
      <c r="F107" s="7"/>
      <c r="G107" s="7"/>
      <c r="H107" s="7"/>
      <c r="I107" s="7"/>
      <c r="J107" s="7"/>
      <c r="K107" s="7"/>
      <c r="L107" s="7"/>
      <c r="M107" s="7"/>
      <c r="N107" s="7"/>
      <c r="O107" s="10"/>
      <c r="P107" s="10"/>
      <c r="V107" s="11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3"/>
    </row>
    <row r="108" spans="1:34" ht="77.25" customHeight="1" thickBot="1" x14ac:dyDescent="0.2">
      <c r="A108" s="6"/>
      <c r="B108" s="7"/>
      <c r="C108" s="8"/>
      <c r="D108" s="7"/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10"/>
      <c r="P108" s="10"/>
      <c r="V108" s="11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3"/>
    </row>
    <row r="109" spans="1:34" ht="77.25" customHeight="1" thickBot="1" x14ac:dyDescent="0.2">
      <c r="A109" s="6"/>
      <c r="B109" s="7"/>
      <c r="C109" s="8"/>
      <c r="D109" s="7"/>
      <c r="E109" s="9"/>
      <c r="F109" s="7"/>
      <c r="G109" s="7"/>
      <c r="H109" s="7"/>
      <c r="I109" s="7"/>
      <c r="J109" s="7"/>
      <c r="K109" s="7"/>
      <c r="L109" s="7"/>
      <c r="M109" s="7"/>
      <c r="N109" s="7"/>
      <c r="O109" s="10"/>
      <c r="P109" s="10"/>
      <c r="V109" s="11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3"/>
    </row>
    <row r="110" spans="1:34" ht="77.25" customHeight="1" thickBot="1" x14ac:dyDescent="0.2">
      <c r="A110" s="6"/>
      <c r="B110" s="7"/>
      <c r="C110" s="8"/>
      <c r="D110" s="7"/>
      <c r="E110" s="9"/>
      <c r="F110" s="7"/>
      <c r="G110" s="7"/>
      <c r="H110" s="7"/>
      <c r="I110" s="7"/>
      <c r="J110" s="7"/>
      <c r="K110" s="7"/>
      <c r="L110" s="7"/>
      <c r="M110" s="7"/>
      <c r="N110" s="7"/>
      <c r="O110" s="10"/>
      <c r="P110" s="10"/>
      <c r="V110" s="11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3"/>
    </row>
    <row r="111" spans="1:34" ht="77.25" customHeight="1" thickBot="1" x14ac:dyDescent="0.2">
      <c r="A111" s="6"/>
      <c r="B111" s="7"/>
      <c r="C111" s="8"/>
      <c r="D111" s="7"/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10"/>
      <c r="P111" s="10"/>
      <c r="V111" s="11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3"/>
    </row>
    <row r="112" spans="1:34" ht="77.25" customHeight="1" thickBot="1" x14ac:dyDescent="0.2">
      <c r="A112" s="6"/>
      <c r="B112" s="7"/>
      <c r="C112" s="8"/>
      <c r="D112" s="7"/>
      <c r="E112" s="9"/>
      <c r="F112" s="7"/>
      <c r="G112" s="7"/>
      <c r="H112" s="7"/>
      <c r="I112" s="7"/>
      <c r="J112" s="7"/>
      <c r="K112" s="7"/>
      <c r="L112" s="7"/>
      <c r="M112" s="7"/>
      <c r="N112" s="7"/>
      <c r="O112" s="10"/>
      <c r="P112" s="10"/>
      <c r="V112" s="11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3"/>
    </row>
    <row r="113" spans="1:34" ht="77.25" customHeight="1" thickBot="1" x14ac:dyDescent="0.2">
      <c r="A113" s="6"/>
      <c r="B113" s="7"/>
      <c r="C113" s="8"/>
      <c r="D113" s="7"/>
      <c r="E113" s="9"/>
      <c r="F113" s="7"/>
      <c r="G113" s="7"/>
      <c r="H113" s="7"/>
      <c r="I113" s="7"/>
      <c r="J113" s="7"/>
      <c r="K113" s="7"/>
      <c r="L113" s="7"/>
      <c r="M113" s="7"/>
      <c r="N113" s="7"/>
      <c r="O113" s="10"/>
      <c r="P113" s="10"/>
      <c r="V113" s="11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3"/>
    </row>
    <row r="114" spans="1:34" ht="77.25" customHeight="1" thickBot="1" x14ac:dyDescent="0.2">
      <c r="A114" s="6"/>
      <c r="B114" s="7"/>
      <c r="C114" s="8"/>
      <c r="D114" s="7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10"/>
      <c r="P114" s="10"/>
      <c r="V114" s="11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3"/>
    </row>
    <row r="115" spans="1:34" ht="77.25" customHeight="1" thickBot="1" x14ac:dyDescent="0.2">
      <c r="A115" s="6"/>
      <c r="B115" s="7"/>
      <c r="C115" s="8"/>
      <c r="D115" s="7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10"/>
      <c r="P115" s="10"/>
      <c r="V115" s="11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3"/>
    </row>
    <row r="116" spans="1:34" ht="77.25" customHeight="1" thickBot="1" x14ac:dyDescent="0.2">
      <c r="A116" s="6"/>
      <c r="B116" s="7"/>
      <c r="C116" s="8"/>
      <c r="D116" s="7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10"/>
      <c r="P116" s="10"/>
      <c r="V116" s="11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3"/>
    </row>
    <row r="117" spans="1:34" ht="77.25" customHeight="1" thickBot="1" x14ac:dyDescent="0.2">
      <c r="A117" s="6"/>
      <c r="B117" s="7"/>
      <c r="C117" s="8"/>
      <c r="D117" s="7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10"/>
      <c r="P117" s="10"/>
      <c r="V117" s="11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3"/>
    </row>
    <row r="118" spans="1:34" ht="77.25" customHeight="1" thickBot="1" x14ac:dyDescent="0.2">
      <c r="A118" s="6"/>
      <c r="B118" s="7"/>
      <c r="C118" s="8"/>
      <c r="D118" s="7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10"/>
      <c r="P118" s="10"/>
      <c r="V118" s="11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3"/>
    </row>
    <row r="119" spans="1:34" ht="77.25" customHeight="1" thickBot="1" x14ac:dyDescent="0.2">
      <c r="A119" s="6"/>
      <c r="B119" s="7"/>
      <c r="C119" s="8"/>
      <c r="D119" s="7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10"/>
      <c r="P119" s="10"/>
      <c r="V119" s="11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3"/>
    </row>
    <row r="120" spans="1:34" ht="77.25" customHeight="1" thickBot="1" x14ac:dyDescent="0.2">
      <c r="A120" s="6"/>
      <c r="B120" s="7"/>
      <c r="C120" s="8"/>
      <c r="D120" s="7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10"/>
      <c r="P120" s="10"/>
      <c r="V120" s="11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3"/>
    </row>
    <row r="121" spans="1:34" ht="77.25" customHeight="1" thickBot="1" x14ac:dyDescent="0.2">
      <c r="A121" s="6"/>
      <c r="B121" s="7"/>
      <c r="C121" s="8"/>
      <c r="D121" s="7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10"/>
      <c r="P121" s="10"/>
      <c r="V121" s="11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3"/>
    </row>
    <row r="122" spans="1:34" ht="77.25" customHeight="1" thickBot="1" x14ac:dyDescent="0.2">
      <c r="A122" s="6"/>
      <c r="B122" s="7"/>
      <c r="C122" s="8"/>
      <c r="D122" s="7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10"/>
      <c r="P122" s="10"/>
      <c r="V122" s="11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3"/>
    </row>
    <row r="123" spans="1:34" ht="77.25" customHeight="1" thickBot="1" x14ac:dyDescent="0.2">
      <c r="A123" s="6"/>
      <c r="B123" s="7"/>
      <c r="C123" s="8"/>
      <c r="D123" s="7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10"/>
      <c r="P123" s="10"/>
      <c r="V123" s="11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3"/>
    </row>
    <row r="124" spans="1:34" ht="77.25" customHeight="1" thickBot="1" x14ac:dyDescent="0.2">
      <c r="A124" s="6"/>
      <c r="B124" s="7"/>
      <c r="C124" s="8"/>
      <c r="D124" s="7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10"/>
      <c r="P124" s="10"/>
      <c r="V124" s="11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3"/>
    </row>
    <row r="125" spans="1:34" ht="77.25" customHeight="1" thickBot="1" x14ac:dyDescent="0.2">
      <c r="A125" s="6"/>
      <c r="B125" s="7"/>
      <c r="C125" s="8"/>
      <c r="D125" s="7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10"/>
      <c r="P125" s="10"/>
      <c r="V125" s="11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3"/>
    </row>
    <row r="126" spans="1:34" ht="77.25" customHeight="1" thickBot="1" x14ac:dyDescent="0.2">
      <c r="A126" s="6"/>
      <c r="B126" s="7"/>
      <c r="C126" s="8"/>
      <c r="D126" s="7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10"/>
      <c r="P126" s="10"/>
      <c r="V126" s="11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3"/>
    </row>
    <row r="127" spans="1:34" ht="77.25" customHeight="1" thickBot="1" x14ac:dyDescent="0.2">
      <c r="A127" s="6"/>
      <c r="B127" s="7"/>
      <c r="C127" s="8"/>
      <c r="D127" s="7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10"/>
      <c r="P127" s="10"/>
      <c r="V127" s="11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3"/>
    </row>
    <row r="128" spans="1:34" ht="77.25" customHeight="1" thickBot="1" x14ac:dyDescent="0.2">
      <c r="A128" s="6"/>
      <c r="B128" s="7"/>
      <c r="C128" s="8"/>
      <c r="D128" s="7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10"/>
      <c r="P128" s="10"/>
      <c r="V128" s="11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3"/>
    </row>
    <row r="129" spans="1:34" ht="77.25" customHeight="1" thickBot="1" x14ac:dyDescent="0.2">
      <c r="A129" s="6"/>
      <c r="B129" s="7"/>
      <c r="C129" s="8"/>
      <c r="D129" s="7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10"/>
      <c r="P129" s="10"/>
      <c r="V129" s="11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3"/>
    </row>
    <row r="130" spans="1:34" ht="77.25" customHeight="1" thickBot="1" x14ac:dyDescent="0.2">
      <c r="A130" s="6"/>
      <c r="B130" s="7"/>
      <c r="C130" s="8"/>
      <c r="D130" s="7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10"/>
      <c r="P130" s="10"/>
      <c r="V130" s="11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3"/>
    </row>
    <row r="131" spans="1:34" ht="77.25" customHeight="1" thickBot="1" x14ac:dyDescent="0.2">
      <c r="A131" s="6"/>
      <c r="B131" s="7"/>
      <c r="C131" s="8"/>
      <c r="D131" s="7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10"/>
      <c r="P131" s="10"/>
      <c r="V131" s="11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3"/>
    </row>
    <row r="132" spans="1:34" ht="77.25" customHeight="1" thickBot="1" x14ac:dyDescent="0.2">
      <c r="A132" s="6"/>
      <c r="B132" s="7"/>
      <c r="C132" s="8"/>
      <c r="D132" s="7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10"/>
      <c r="P132" s="10"/>
      <c r="V132" s="11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3"/>
    </row>
    <row r="133" spans="1:34" ht="77.25" customHeight="1" thickBot="1" x14ac:dyDescent="0.2">
      <c r="A133" s="6"/>
      <c r="B133" s="7"/>
      <c r="C133" s="8"/>
      <c r="D133" s="7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10"/>
      <c r="P133" s="10"/>
      <c r="V133" s="11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3"/>
    </row>
    <row r="134" spans="1:34" ht="77.25" customHeight="1" thickBot="1" x14ac:dyDescent="0.2">
      <c r="A134" s="6"/>
      <c r="B134" s="7"/>
      <c r="C134" s="8"/>
      <c r="D134" s="7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10"/>
      <c r="P134" s="10"/>
      <c r="V134" s="11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3"/>
    </row>
    <row r="135" spans="1:34" ht="77.25" customHeight="1" thickBot="1" x14ac:dyDescent="0.2">
      <c r="A135" s="6"/>
      <c r="B135" s="7"/>
      <c r="C135" s="8"/>
      <c r="D135" s="7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10"/>
      <c r="P135" s="10"/>
      <c r="V135" s="11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3"/>
    </row>
    <row r="136" spans="1:34" ht="77.25" customHeight="1" thickBot="1" x14ac:dyDescent="0.2">
      <c r="A136" s="6"/>
      <c r="B136" s="7"/>
      <c r="C136" s="8"/>
      <c r="D136" s="7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10"/>
      <c r="P136" s="10"/>
      <c r="V136" s="11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3"/>
    </row>
    <row r="137" spans="1:34" ht="77.25" customHeight="1" thickBot="1" x14ac:dyDescent="0.2">
      <c r="A137" s="6"/>
      <c r="B137" s="7"/>
      <c r="C137" s="8"/>
      <c r="D137" s="7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10"/>
      <c r="P137" s="10"/>
      <c r="V137" s="11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3"/>
    </row>
    <row r="138" spans="1:34" ht="77.25" customHeight="1" thickBot="1" x14ac:dyDescent="0.2">
      <c r="A138" s="6"/>
      <c r="B138" s="7"/>
      <c r="C138" s="8"/>
      <c r="D138" s="7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10"/>
      <c r="P138" s="10"/>
      <c r="V138" s="11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3"/>
    </row>
    <row r="139" spans="1:34" ht="77.25" customHeight="1" thickBot="1" x14ac:dyDescent="0.2">
      <c r="A139" s="6"/>
      <c r="B139" s="7"/>
      <c r="C139" s="8"/>
      <c r="D139" s="7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10"/>
      <c r="P139" s="10"/>
      <c r="V139" s="11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3"/>
    </row>
    <row r="140" spans="1:34" ht="77.25" customHeight="1" thickBot="1" x14ac:dyDescent="0.2">
      <c r="A140" s="6"/>
      <c r="B140" s="7"/>
      <c r="C140" s="8"/>
      <c r="D140" s="7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10"/>
      <c r="P140" s="10"/>
      <c r="V140" s="11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3"/>
    </row>
    <row r="141" spans="1:34" ht="77.25" customHeight="1" thickBot="1" x14ac:dyDescent="0.2">
      <c r="A141" s="6"/>
      <c r="B141" s="7"/>
      <c r="C141" s="8"/>
      <c r="D141" s="7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10"/>
      <c r="P141" s="10"/>
      <c r="V141" s="11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3"/>
    </row>
    <row r="142" spans="1:34" ht="77.25" customHeight="1" thickBot="1" x14ac:dyDescent="0.2">
      <c r="A142" s="6"/>
      <c r="B142" s="7"/>
      <c r="C142" s="8"/>
      <c r="D142" s="7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10"/>
      <c r="P142" s="10"/>
      <c r="V142" s="11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3"/>
    </row>
    <row r="143" spans="1:34" ht="77.25" customHeight="1" thickBot="1" x14ac:dyDescent="0.2">
      <c r="A143" s="6"/>
      <c r="B143" s="7"/>
      <c r="C143" s="8"/>
      <c r="D143" s="7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10"/>
      <c r="P143" s="10"/>
      <c r="V143" s="11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3"/>
    </row>
    <row r="144" spans="1:34" ht="77.25" customHeight="1" thickBot="1" x14ac:dyDescent="0.2">
      <c r="A144" s="6"/>
      <c r="B144" s="7"/>
      <c r="C144" s="8"/>
      <c r="D144" s="7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10"/>
      <c r="P144" s="10"/>
      <c r="V144" s="11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3"/>
    </row>
    <row r="145" spans="1:34" ht="77.25" customHeight="1" thickBot="1" x14ac:dyDescent="0.2">
      <c r="A145" s="6"/>
      <c r="B145" s="7"/>
      <c r="C145" s="8"/>
      <c r="D145" s="7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10"/>
      <c r="P145" s="10"/>
      <c r="V145" s="11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3"/>
    </row>
    <row r="146" spans="1:34" ht="77.25" customHeight="1" thickBot="1" x14ac:dyDescent="0.2">
      <c r="A146" s="6"/>
      <c r="B146" s="7"/>
      <c r="C146" s="8"/>
      <c r="D146" s="7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10"/>
      <c r="P146" s="10"/>
      <c r="V146" s="11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3"/>
    </row>
    <row r="147" spans="1:34" ht="77.25" customHeight="1" thickBot="1" x14ac:dyDescent="0.2">
      <c r="A147" s="6"/>
      <c r="B147" s="7"/>
      <c r="C147" s="8"/>
      <c r="D147" s="7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10"/>
      <c r="P147" s="10"/>
      <c r="V147" s="11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3"/>
    </row>
    <row r="148" spans="1:34" ht="77.25" customHeight="1" thickBot="1" x14ac:dyDescent="0.2">
      <c r="A148" s="6"/>
      <c r="B148" s="7"/>
      <c r="C148" s="8"/>
      <c r="D148" s="7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10"/>
      <c r="P148" s="10"/>
      <c r="V148" s="11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3"/>
    </row>
    <row r="149" spans="1:34" ht="77.25" customHeight="1" thickBot="1" x14ac:dyDescent="0.2">
      <c r="A149" s="6"/>
      <c r="B149" s="7"/>
      <c r="C149" s="8"/>
      <c r="D149" s="7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10"/>
      <c r="P149" s="10"/>
      <c r="V149" s="11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3"/>
    </row>
    <row r="150" spans="1:34" ht="77.25" customHeight="1" thickBot="1" x14ac:dyDescent="0.2">
      <c r="A150" s="6"/>
      <c r="B150" s="7"/>
      <c r="C150" s="8"/>
      <c r="D150" s="7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10"/>
      <c r="P150" s="10"/>
      <c r="V150" s="11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3"/>
    </row>
    <row r="151" spans="1:34" ht="77.25" customHeight="1" thickBot="1" x14ac:dyDescent="0.2">
      <c r="A151" s="6"/>
      <c r="B151" s="7"/>
      <c r="C151" s="8"/>
      <c r="D151" s="7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10"/>
      <c r="P151" s="10"/>
      <c r="V151" s="11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3"/>
    </row>
    <row r="152" spans="1:34" ht="77.25" customHeight="1" thickBot="1" x14ac:dyDescent="0.2">
      <c r="A152" s="6"/>
      <c r="B152" s="7"/>
      <c r="C152" s="8"/>
      <c r="D152" s="7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10"/>
      <c r="P152" s="10"/>
      <c r="V152" s="11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3"/>
    </row>
    <row r="153" spans="1:34" ht="77.25" customHeight="1" thickBot="1" x14ac:dyDescent="0.2">
      <c r="A153" s="6"/>
      <c r="B153" s="7"/>
      <c r="C153" s="8"/>
      <c r="D153" s="7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10"/>
      <c r="P153" s="10"/>
      <c r="V153" s="11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3"/>
    </row>
    <row r="154" spans="1:34" ht="77.25" customHeight="1" thickBot="1" x14ac:dyDescent="0.2">
      <c r="A154" s="6"/>
      <c r="B154" s="7"/>
      <c r="C154" s="8"/>
      <c r="D154" s="7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10"/>
      <c r="P154" s="10"/>
      <c r="V154" s="11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3"/>
    </row>
    <row r="155" spans="1:34" ht="77.25" customHeight="1" thickBot="1" x14ac:dyDescent="0.2">
      <c r="A155" s="6"/>
      <c r="B155" s="7"/>
      <c r="C155" s="8"/>
      <c r="D155" s="7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10"/>
      <c r="P155" s="10"/>
      <c r="V155" s="11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3"/>
    </row>
    <row r="156" spans="1:34" ht="77.25" customHeight="1" thickBot="1" x14ac:dyDescent="0.2">
      <c r="A156" s="6"/>
      <c r="B156" s="7"/>
      <c r="C156" s="8"/>
      <c r="D156" s="7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10"/>
      <c r="P156" s="10"/>
      <c r="V156" s="11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3"/>
    </row>
    <row r="157" spans="1:34" ht="77.25" customHeight="1" thickBot="1" x14ac:dyDescent="0.2">
      <c r="A157" s="6"/>
      <c r="B157" s="7"/>
      <c r="C157" s="8"/>
      <c r="D157" s="7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10"/>
      <c r="P157" s="10"/>
      <c r="V157" s="11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3"/>
    </row>
    <row r="158" spans="1:34" ht="77.25" customHeight="1" thickBot="1" x14ac:dyDescent="0.2">
      <c r="A158" s="6"/>
      <c r="B158" s="7"/>
      <c r="C158" s="8"/>
      <c r="D158" s="7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10"/>
      <c r="P158" s="10"/>
      <c r="V158" s="11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3"/>
    </row>
    <row r="159" spans="1:34" ht="77.25" customHeight="1" thickBot="1" x14ac:dyDescent="0.2">
      <c r="A159" s="6"/>
      <c r="B159" s="7"/>
      <c r="C159" s="8"/>
      <c r="D159" s="7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10"/>
      <c r="P159" s="10"/>
      <c r="V159" s="11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3"/>
    </row>
    <row r="160" spans="1:34" ht="77.25" customHeight="1" thickBot="1" x14ac:dyDescent="0.2">
      <c r="A160" s="6"/>
      <c r="B160" s="7"/>
      <c r="C160" s="8"/>
      <c r="D160" s="7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10"/>
      <c r="P160" s="10"/>
      <c r="V160" s="11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3"/>
    </row>
    <row r="161" spans="1:34" ht="77.25" customHeight="1" thickBot="1" x14ac:dyDescent="0.2">
      <c r="A161" s="6"/>
      <c r="B161" s="7"/>
      <c r="C161" s="8"/>
      <c r="D161" s="7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10"/>
      <c r="P161" s="10"/>
      <c r="V161" s="11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3"/>
    </row>
    <row r="162" spans="1:34" ht="77.25" customHeight="1" thickBot="1" x14ac:dyDescent="0.2">
      <c r="A162" s="6"/>
      <c r="B162" s="7"/>
      <c r="C162" s="8"/>
      <c r="D162" s="7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10"/>
      <c r="P162" s="10"/>
      <c r="V162" s="11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3"/>
    </row>
    <row r="163" spans="1:34" ht="77.25" customHeight="1" thickBot="1" x14ac:dyDescent="0.2">
      <c r="A163" s="6"/>
      <c r="B163" s="7"/>
      <c r="C163" s="8"/>
      <c r="D163" s="7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10"/>
      <c r="P163" s="10"/>
      <c r="V163" s="11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3"/>
    </row>
    <row r="164" spans="1:34" ht="77.25" customHeight="1" thickBot="1" x14ac:dyDescent="0.2">
      <c r="A164" s="6"/>
      <c r="B164" s="7"/>
      <c r="C164" s="8"/>
      <c r="D164" s="7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10"/>
      <c r="P164" s="10"/>
      <c r="V164" s="11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3"/>
    </row>
    <row r="165" spans="1:34" ht="77.25" customHeight="1" thickBot="1" x14ac:dyDescent="0.2">
      <c r="A165" s="6"/>
      <c r="B165" s="7"/>
      <c r="C165" s="8"/>
      <c r="D165" s="7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10"/>
      <c r="P165" s="10"/>
      <c r="V165" s="11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3"/>
    </row>
    <row r="166" spans="1:34" ht="77.25" customHeight="1" thickBot="1" x14ac:dyDescent="0.2">
      <c r="A166" s="6"/>
      <c r="B166" s="7"/>
      <c r="C166" s="8"/>
      <c r="D166" s="7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10"/>
      <c r="P166" s="10"/>
      <c r="V166" s="11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3"/>
    </row>
    <row r="167" spans="1:34" ht="77.25" customHeight="1" thickBot="1" x14ac:dyDescent="0.2">
      <c r="A167" s="6"/>
      <c r="B167" s="7"/>
      <c r="C167" s="8"/>
      <c r="D167" s="7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10"/>
      <c r="P167" s="10"/>
      <c r="V167" s="11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3"/>
    </row>
    <row r="168" spans="1:34" ht="77.25" customHeight="1" thickBot="1" x14ac:dyDescent="0.2">
      <c r="A168" s="6"/>
      <c r="B168" s="7"/>
      <c r="C168" s="8"/>
      <c r="D168" s="7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10"/>
      <c r="P168" s="10"/>
      <c r="V168" s="11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3"/>
    </row>
    <row r="169" spans="1:34" ht="77.25" customHeight="1" thickBot="1" x14ac:dyDescent="0.2">
      <c r="A169" s="6"/>
      <c r="B169" s="7"/>
      <c r="C169" s="8"/>
      <c r="D169" s="7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10"/>
      <c r="P169" s="10"/>
      <c r="V169" s="11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3"/>
    </row>
    <row r="170" spans="1:34" ht="77.25" customHeight="1" thickBot="1" x14ac:dyDescent="0.2">
      <c r="A170" s="6"/>
      <c r="B170" s="7"/>
      <c r="C170" s="8"/>
      <c r="D170" s="7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10"/>
      <c r="P170" s="10"/>
      <c r="V170" s="11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3"/>
    </row>
    <row r="171" spans="1:34" ht="77.25" customHeight="1" thickBot="1" x14ac:dyDescent="0.2">
      <c r="A171" s="6"/>
      <c r="B171" s="7"/>
      <c r="C171" s="8"/>
      <c r="D171" s="7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10"/>
      <c r="P171" s="10"/>
      <c r="V171" s="11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3"/>
    </row>
    <row r="172" spans="1:34" ht="77.25" customHeight="1" thickBot="1" x14ac:dyDescent="0.2">
      <c r="A172" s="6"/>
      <c r="B172" s="7"/>
      <c r="C172" s="8"/>
      <c r="D172" s="7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10"/>
      <c r="P172" s="10"/>
      <c r="V172" s="11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3"/>
    </row>
    <row r="173" spans="1:34" ht="77.25" customHeight="1" thickBot="1" x14ac:dyDescent="0.2">
      <c r="A173" s="6"/>
      <c r="B173" s="7"/>
      <c r="C173" s="8"/>
      <c r="D173" s="7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10"/>
      <c r="P173" s="10"/>
      <c r="V173" s="11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3"/>
    </row>
    <row r="174" spans="1:34" ht="77.25" customHeight="1" thickBot="1" x14ac:dyDescent="0.2">
      <c r="A174" s="6"/>
      <c r="B174" s="7"/>
      <c r="C174" s="8"/>
      <c r="D174" s="7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10"/>
      <c r="P174" s="10"/>
      <c r="V174" s="11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3"/>
    </row>
    <row r="175" spans="1:34" ht="77.25" customHeight="1" thickBot="1" x14ac:dyDescent="0.2">
      <c r="A175" s="6"/>
      <c r="B175" s="7"/>
      <c r="C175" s="8"/>
      <c r="D175" s="7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10"/>
      <c r="P175" s="10"/>
      <c r="V175" s="11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3"/>
    </row>
    <row r="176" spans="1:34" ht="77.25" customHeight="1" thickBot="1" x14ac:dyDescent="0.2">
      <c r="A176" s="6"/>
      <c r="B176" s="7"/>
      <c r="C176" s="8"/>
      <c r="D176" s="7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10"/>
      <c r="P176" s="10"/>
      <c r="V176" s="11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3"/>
    </row>
    <row r="177" spans="1:34" ht="77.25" customHeight="1" thickBot="1" x14ac:dyDescent="0.2">
      <c r="A177" s="6"/>
      <c r="B177" s="7"/>
      <c r="C177" s="8"/>
      <c r="D177" s="7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10"/>
      <c r="P177" s="10"/>
      <c r="V177" s="11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3"/>
    </row>
    <row r="178" spans="1:34" ht="77.25" customHeight="1" thickBot="1" x14ac:dyDescent="0.2">
      <c r="A178" s="6"/>
      <c r="B178" s="7"/>
      <c r="C178" s="8"/>
      <c r="D178" s="7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10"/>
      <c r="P178" s="10"/>
      <c r="V178" s="11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3"/>
    </row>
    <row r="179" spans="1:34" ht="77.25" customHeight="1" thickBot="1" x14ac:dyDescent="0.2">
      <c r="A179" s="6"/>
      <c r="B179" s="7"/>
      <c r="C179" s="8"/>
      <c r="D179" s="7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10"/>
      <c r="P179" s="10"/>
      <c r="V179" s="11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3"/>
    </row>
    <row r="180" spans="1:34" ht="77.25" customHeight="1" thickBot="1" x14ac:dyDescent="0.2">
      <c r="A180" s="6"/>
      <c r="B180" s="7"/>
      <c r="C180" s="8"/>
      <c r="D180" s="7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10"/>
      <c r="P180" s="10"/>
      <c r="V180" s="11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3"/>
    </row>
    <row r="181" spans="1:34" ht="77.25" customHeight="1" thickBot="1" x14ac:dyDescent="0.2">
      <c r="A181" s="6"/>
      <c r="B181" s="7"/>
      <c r="C181" s="8"/>
      <c r="D181" s="7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10"/>
      <c r="P181" s="10"/>
      <c r="V181" s="11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3"/>
    </row>
    <row r="182" spans="1:34" ht="77.25" customHeight="1" thickBot="1" x14ac:dyDescent="0.2">
      <c r="A182" s="6"/>
      <c r="B182" s="7"/>
      <c r="C182" s="8"/>
      <c r="D182" s="7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10"/>
      <c r="P182" s="10"/>
      <c r="V182" s="11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3"/>
    </row>
    <row r="183" spans="1:34" ht="77.25" customHeight="1" thickBot="1" x14ac:dyDescent="0.2">
      <c r="A183" s="6"/>
      <c r="B183" s="7"/>
      <c r="C183" s="8"/>
      <c r="D183" s="7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10"/>
      <c r="P183" s="10"/>
      <c r="V183" s="11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3"/>
    </row>
    <row r="184" spans="1:34" ht="77.25" customHeight="1" thickBot="1" x14ac:dyDescent="0.2">
      <c r="A184" s="6"/>
      <c r="B184" s="7"/>
      <c r="C184" s="8"/>
      <c r="D184" s="7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10"/>
      <c r="P184" s="10"/>
      <c r="V184" s="11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3"/>
    </row>
    <row r="185" spans="1:34" ht="77.25" customHeight="1" thickBot="1" x14ac:dyDescent="0.2">
      <c r="A185" s="6"/>
      <c r="B185" s="7"/>
      <c r="C185" s="8"/>
      <c r="D185" s="7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10"/>
      <c r="P185" s="10"/>
      <c r="V185" s="11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3"/>
    </row>
    <row r="186" spans="1:34" ht="77.25" customHeight="1" thickBot="1" x14ac:dyDescent="0.2">
      <c r="A186" s="6"/>
      <c r="B186" s="7"/>
      <c r="C186" s="8"/>
      <c r="D186" s="7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10"/>
      <c r="P186" s="10"/>
      <c r="V186" s="11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3"/>
    </row>
    <row r="187" spans="1:34" ht="77.25" customHeight="1" thickBot="1" x14ac:dyDescent="0.2">
      <c r="A187" s="6"/>
      <c r="B187" s="7"/>
      <c r="C187" s="8"/>
      <c r="D187" s="7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10"/>
      <c r="P187" s="10"/>
      <c r="V187" s="11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3"/>
    </row>
    <row r="188" spans="1:34" ht="77.25" customHeight="1" thickBot="1" x14ac:dyDescent="0.2">
      <c r="A188" s="6"/>
      <c r="B188" s="7"/>
      <c r="C188" s="8"/>
      <c r="D188" s="7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10"/>
      <c r="P188" s="10"/>
      <c r="V188" s="11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3"/>
    </row>
    <row r="189" spans="1:34" ht="77.25" customHeight="1" thickBot="1" x14ac:dyDescent="0.2">
      <c r="A189" s="6"/>
      <c r="B189" s="7"/>
      <c r="C189" s="8"/>
      <c r="D189" s="7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10"/>
      <c r="P189" s="10"/>
      <c r="V189" s="11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3"/>
    </row>
    <row r="190" spans="1:34" ht="77.25" customHeight="1" thickBot="1" x14ac:dyDescent="0.2">
      <c r="A190" s="6"/>
      <c r="B190" s="7"/>
      <c r="C190" s="8"/>
      <c r="D190" s="7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10"/>
      <c r="P190" s="10"/>
      <c r="V190" s="11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3"/>
    </row>
    <row r="191" spans="1:34" ht="77.25" customHeight="1" thickBot="1" x14ac:dyDescent="0.2">
      <c r="A191" s="6"/>
      <c r="B191" s="7"/>
      <c r="C191" s="8"/>
      <c r="D191" s="7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10"/>
      <c r="P191" s="10"/>
      <c r="V191" s="11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3"/>
    </row>
    <row r="192" spans="1:34" ht="77.25" customHeight="1" thickBot="1" x14ac:dyDescent="0.2">
      <c r="A192" s="6"/>
      <c r="B192" s="7"/>
      <c r="C192" s="8"/>
      <c r="D192" s="7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10"/>
      <c r="P192" s="10"/>
      <c r="V192" s="11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3"/>
    </row>
    <row r="193" spans="1:34" ht="77.25" customHeight="1" thickBot="1" x14ac:dyDescent="0.2">
      <c r="A193" s="6"/>
      <c r="B193" s="7"/>
      <c r="C193" s="8"/>
      <c r="D193" s="7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10"/>
      <c r="P193" s="10"/>
      <c r="V193" s="11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3"/>
    </row>
    <row r="194" spans="1:34" ht="77.25" customHeight="1" thickBot="1" x14ac:dyDescent="0.2">
      <c r="A194" s="6"/>
      <c r="B194" s="7"/>
      <c r="C194" s="8"/>
      <c r="D194" s="7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10"/>
      <c r="P194" s="10"/>
      <c r="V194" s="11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3"/>
    </row>
    <row r="195" spans="1:34" ht="77.25" customHeight="1" thickBot="1" x14ac:dyDescent="0.2">
      <c r="A195" s="6"/>
      <c r="B195" s="7"/>
      <c r="C195" s="8"/>
      <c r="D195" s="7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10"/>
      <c r="P195" s="10"/>
      <c r="V195" s="11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3"/>
    </row>
    <row r="196" spans="1:34" ht="77.25" customHeight="1" thickBot="1" x14ac:dyDescent="0.2">
      <c r="A196" s="6"/>
      <c r="B196" s="7"/>
      <c r="C196" s="8"/>
      <c r="D196" s="7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10"/>
      <c r="P196" s="10"/>
      <c r="V196" s="11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3"/>
    </row>
    <row r="197" spans="1:34" ht="77.25" customHeight="1" thickBot="1" x14ac:dyDescent="0.2">
      <c r="A197" s="6"/>
      <c r="B197" s="7"/>
      <c r="C197" s="8"/>
      <c r="D197" s="7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10"/>
      <c r="P197" s="10"/>
      <c r="V197" s="11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3"/>
    </row>
    <row r="198" spans="1:34" ht="77.25" customHeight="1" thickBot="1" x14ac:dyDescent="0.2">
      <c r="A198" s="6"/>
      <c r="B198" s="7"/>
      <c r="C198" s="8"/>
      <c r="D198" s="7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10"/>
      <c r="P198" s="10"/>
      <c r="V198" s="11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3"/>
    </row>
    <row r="199" spans="1:34" ht="77.25" customHeight="1" thickBot="1" x14ac:dyDescent="0.2">
      <c r="A199" s="6"/>
      <c r="B199" s="7"/>
      <c r="C199" s="8"/>
      <c r="D199" s="7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10"/>
      <c r="P199" s="10"/>
      <c r="V199" s="11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3"/>
    </row>
    <row r="200" spans="1:34" ht="77.25" customHeight="1" thickBot="1" x14ac:dyDescent="0.2">
      <c r="A200" s="6"/>
      <c r="B200" s="7"/>
      <c r="C200" s="8"/>
      <c r="D200" s="7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10"/>
      <c r="P200" s="10"/>
      <c r="V200" s="11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3"/>
    </row>
    <row r="201" spans="1:34" ht="77.25" customHeight="1" thickBot="1" x14ac:dyDescent="0.2">
      <c r="A201" s="6"/>
      <c r="B201" s="7"/>
      <c r="C201" s="8"/>
      <c r="D201" s="7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10"/>
      <c r="P201" s="10"/>
      <c r="V201" s="11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3"/>
    </row>
    <row r="202" spans="1:34" ht="77.25" customHeight="1" thickBot="1" x14ac:dyDescent="0.2">
      <c r="A202" s="6"/>
      <c r="B202" s="7"/>
      <c r="C202" s="8"/>
      <c r="D202" s="7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10"/>
      <c r="P202" s="10"/>
      <c r="V202" s="11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3"/>
    </row>
    <row r="203" spans="1:34" ht="77.25" customHeight="1" thickBot="1" x14ac:dyDescent="0.2">
      <c r="A203" s="6"/>
      <c r="B203" s="7"/>
      <c r="C203" s="8"/>
      <c r="D203" s="7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10"/>
      <c r="P203" s="10"/>
      <c r="V203" s="11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3"/>
    </row>
    <row r="204" spans="1:34" ht="77.25" customHeight="1" thickBot="1" x14ac:dyDescent="0.2">
      <c r="A204" s="6"/>
      <c r="B204" s="7"/>
      <c r="C204" s="8"/>
      <c r="D204" s="7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10"/>
      <c r="P204" s="10"/>
      <c r="V204" s="11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3"/>
    </row>
    <row r="205" spans="1:34" ht="77.25" customHeight="1" thickBot="1" x14ac:dyDescent="0.2">
      <c r="A205" s="6"/>
      <c r="B205" s="7"/>
      <c r="C205" s="8"/>
      <c r="D205" s="7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10"/>
      <c r="P205" s="10"/>
      <c r="V205" s="11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3"/>
    </row>
    <row r="206" spans="1:34" ht="77.25" customHeight="1" thickBot="1" x14ac:dyDescent="0.2">
      <c r="A206" s="6"/>
      <c r="B206" s="7"/>
      <c r="C206" s="8"/>
      <c r="D206" s="7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10"/>
      <c r="P206" s="10"/>
      <c r="V206" s="11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3"/>
    </row>
    <row r="207" spans="1:34" ht="77.25" customHeight="1" thickBot="1" x14ac:dyDescent="0.2">
      <c r="A207" s="6"/>
      <c r="B207" s="7"/>
      <c r="C207" s="8"/>
      <c r="D207" s="7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10"/>
      <c r="P207" s="10"/>
      <c r="V207" s="11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3"/>
    </row>
    <row r="208" spans="1:34" ht="77.25" customHeight="1" thickBot="1" x14ac:dyDescent="0.2">
      <c r="A208" s="6"/>
      <c r="B208" s="7"/>
      <c r="C208" s="8"/>
      <c r="D208" s="7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10"/>
      <c r="P208" s="10"/>
      <c r="V208" s="11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3"/>
    </row>
    <row r="209" spans="1:34" ht="77.25" customHeight="1" thickBot="1" x14ac:dyDescent="0.2">
      <c r="A209" s="6"/>
      <c r="B209" s="7"/>
      <c r="C209" s="8"/>
      <c r="D209" s="7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10"/>
      <c r="P209" s="10"/>
      <c r="V209" s="11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3"/>
    </row>
    <row r="210" spans="1:34" ht="77.25" customHeight="1" thickBot="1" x14ac:dyDescent="0.2">
      <c r="A210" s="6"/>
      <c r="B210" s="7"/>
      <c r="C210" s="8"/>
      <c r="D210" s="7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10"/>
      <c r="P210" s="10"/>
      <c r="V210" s="11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3"/>
    </row>
    <row r="211" spans="1:34" ht="77.25" customHeight="1" thickBot="1" x14ac:dyDescent="0.2">
      <c r="A211" s="6"/>
      <c r="B211" s="7"/>
      <c r="C211" s="8"/>
      <c r="D211" s="7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10"/>
      <c r="P211" s="10"/>
      <c r="V211" s="11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3"/>
    </row>
    <row r="212" spans="1:34" ht="77.25" customHeight="1" thickBot="1" x14ac:dyDescent="0.2">
      <c r="A212" s="6"/>
      <c r="B212" s="7"/>
      <c r="C212" s="8"/>
      <c r="D212" s="7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10"/>
      <c r="P212" s="10"/>
      <c r="V212" s="11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3"/>
    </row>
    <row r="213" spans="1:34" ht="77.25" customHeight="1" thickBot="1" x14ac:dyDescent="0.2">
      <c r="A213" s="6"/>
      <c r="B213" s="7"/>
      <c r="C213" s="8"/>
      <c r="D213" s="7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10"/>
      <c r="P213" s="10"/>
      <c r="V213" s="11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3"/>
    </row>
    <row r="214" spans="1:34" ht="77.25" customHeight="1" thickBot="1" x14ac:dyDescent="0.2">
      <c r="A214" s="6"/>
      <c r="B214" s="7"/>
      <c r="C214" s="8"/>
      <c r="D214" s="7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10"/>
      <c r="P214" s="10"/>
      <c r="V214" s="11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3"/>
    </row>
    <row r="215" spans="1:34" ht="77.25" customHeight="1" thickBot="1" x14ac:dyDescent="0.2">
      <c r="A215" s="6"/>
      <c r="B215" s="7"/>
      <c r="C215" s="8"/>
      <c r="D215" s="7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10"/>
      <c r="P215" s="10"/>
      <c r="V215" s="11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3"/>
    </row>
    <row r="216" spans="1:34" ht="77.25" customHeight="1" thickBot="1" x14ac:dyDescent="0.2">
      <c r="A216" s="6"/>
      <c r="B216" s="7"/>
      <c r="C216" s="8"/>
      <c r="D216" s="7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10"/>
      <c r="P216" s="10"/>
      <c r="V216" s="11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3"/>
    </row>
    <row r="217" spans="1:34" ht="77.25" customHeight="1" thickBot="1" x14ac:dyDescent="0.2">
      <c r="A217" s="6"/>
      <c r="B217" s="7"/>
      <c r="C217" s="8"/>
      <c r="D217" s="7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10"/>
      <c r="P217" s="10"/>
      <c r="V217" s="11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3"/>
    </row>
    <row r="218" spans="1:34" ht="77.25" customHeight="1" thickBot="1" x14ac:dyDescent="0.2">
      <c r="A218" s="6"/>
      <c r="B218" s="7"/>
      <c r="C218" s="8"/>
      <c r="D218" s="7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10"/>
      <c r="P218" s="10"/>
      <c r="V218" s="11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3"/>
    </row>
    <row r="219" spans="1:34" ht="77.25" customHeight="1" thickBot="1" x14ac:dyDescent="0.2">
      <c r="A219" s="6"/>
      <c r="B219" s="7"/>
      <c r="C219" s="8"/>
      <c r="D219" s="7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10"/>
      <c r="P219" s="10"/>
      <c r="V219" s="11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3"/>
    </row>
    <row r="220" spans="1:34" ht="77.25" customHeight="1" thickBot="1" x14ac:dyDescent="0.2">
      <c r="A220" s="6"/>
      <c r="B220" s="7"/>
      <c r="C220" s="8"/>
      <c r="D220" s="7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10"/>
      <c r="P220" s="10"/>
      <c r="V220" s="11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3"/>
    </row>
    <row r="221" spans="1:34" ht="77.25" customHeight="1" thickBot="1" x14ac:dyDescent="0.2">
      <c r="A221" s="6"/>
      <c r="B221" s="7"/>
      <c r="C221" s="8"/>
      <c r="D221" s="7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10"/>
      <c r="P221" s="10"/>
      <c r="V221" s="11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3"/>
    </row>
    <row r="222" spans="1:34" ht="77.25" customHeight="1" thickBot="1" x14ac:dyDescent="0.2">
      <c r="A222" s="6"/>
      <c r="B222" s="7"/>
      <c r="C222" s="8"/>
      <c r="D222" s="7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10"/>
      <c r="P222" s="10"/>
      <c r="V222" s="11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3"/>
    </row>
    <row r="223" spans="1:34" ht="77.25" customHeight="1" thickBot="1" x14ac:dyDescent="0.2">
      <c r="A223" s="6"/>
      <c r="B223" s="7"/>
      <c r="C223" s="8"/>
      <c r="D223" s="7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10"/>
      <c r="P223" s="10"/>
      <c r="V223" s="11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3"/>
    </row>
    <row r="224" spans="1:34" ht="77.25" customHeight="1" thickBot="1" x14ac:dyDescent="0.2">
      <c r="A224" s="6"/>
      <c r="B224" s="7"/>
      <c r="C224" s="8"/>
      <c r="D224" s="7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10"/>
      <c r="P224" s="10"/>
      <c r="V224" s="11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3"/>
    </row>
    <row r="225" spans="1:34" ht="77.25" customHeight="1" thickBot="1" x14ac:dyDescent="0.2">
      <c r="A225" s="6"/>
      <c r="B225" s="7"/>
      <c r="C225" s="8"/>
      <c r="D225" s="7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10"/>
      <c r="P225" s="10"/>
      <c r="V225" s="11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3"/>
    </row>
    <row r="226" spans="1:34" ht="77.25" customHeight="1" thickBot="1" x14ac:dyDescent="0.2">
      <c r="A226" s="6"/>
      <c r="B226" s="7"/>
      <c r="C226" s="8"/>
      <c r="D226" s="7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10"/>
      <c r="P226" s="10"/>
      <c r="V226" s="11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3"/>
    </row>
    <row r="227" spans="1:34" ht="77.25" customHeight="1" thickBot="1" x14ac:dyDescent="0.2">
      <c r="A227" s="6"/>
      <c r="B227" s="7"/>
      <c r="C227" s="8"/>
      <c r="D227" s="7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10"/>
      <c r="P227" s="10"/>
      <c r="V227" s="11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3"/>
    </row>
    <row r="228" spans="1:34" ht="77.25" customHeight="1" thickBot="1" x14ac:dyDescent="0.2">
      <c r="A228" s="6"/>
      <c r="B228" s="7"/>
      <c r="C228" s="8"/>
      <c r="D228" s="7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10"/>
      <c r="P228" s="10"/>
      <c r="V228" s="11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3"/>
    </row>
    <row r="229" spans="1:34" ht="77.25" customHeight="1" thickBot="1" x14ac:dyDescent="0.2">
      <c r="A229" s="6"/>
      <c r="B229" s="7"/>
      <c r="C229" s="8"/>
      <c r="D229" s="7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10"/>
      <c r="P229" s="10"/>
      <c r="V229" s="11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3"/>
    </row>
    <row r="230" spans="1:34" ht="77.25" customHeight="1" thickBot="1" x14ac:dyDescent="0.2">
      <c r="A230" s="6"/>
      <c r="B230" s="7"/>
      <c r="C230" s="8"/>
      <c r="D230" s="7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10"/>
      <c r="P230" s="10"/>
      <c r="V230" s="11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3"/>
    </row>
    <row r="231" spans="1:34" ht="77.25" customHeight="1" thickBot="1" x14ac:dyDescent="0.2">
      <c r="A231" s="6"/>
      <c r="B231" s="7"/>
      <c r="C231" s="8"/>
      <c r="D231" s="7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10"/>
      <c r="P231" s="10"/>
      <c r="V231" s="11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3"/>
    </row>
    <row r="232" spans="1:34" ht="77.25" customHeight="1" thickBot="1" x14ac:dyDescent="0.2">
      <c r="A232" s="6"/>
      <c r="B232" s="7"/>
      <c r="C232" s="8"/>
      <c r="D232" s="7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10"/>
      <c r="P232" s="10"/>
      <c r="V232" s="11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3"/>
    </row>
    <row r="233" spans="1:34" ht="77.25" customHeight="1" thickBot="1" x14ac:dyDescent="0.2">
      <c r="A233" s="6"/>
      <c r="B233" s="7"/>
      <c r="C233" s="8"/>
      <c r="D233" s="7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10"/>
      <c r="P233" s="10"/>
      <c r="V233" s="11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3"/>
    </row>
    <row r="234" spans="1:34" ht="77.25" customHeight="1" thickBot="1" x14ac:dyDescent="0.2">
      <c r="A234" s="6"/>
      <c r="B234" s="7"/>
      <c r="C234" s="8"/>
      <c r="D234" s="7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10"/>
      <c r="P234" s="10"/>
      <c r="V234" s="11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3"/>
    </row>
    <row r="235" spans="1:34" ht="77.25" customHeight="1" thickBot="1" x14ac:dyDescent="0.2">
      <c r="A235" s="6"/>
      <c r="B235" s="7"/>
      <c r="C235" s="8"/>
      <c r="D235" s="7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10"/>
      <c r="P235" s="10"/>
      <c r="V235" s="11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3"/>
    </row>
    <row r="236" spans="1:34" ht="77.25" customHeight="1" thickBot="1" x14ac:dyDescent="0.2">
      <c r="A236" s="6"/>
      <c r="B236" s="7"/>
      <c r="C236" s="8"/>
      <c r="D236" s="7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10"/>
      <c r="P236" s="10"/>
      <c r="V236" s="11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3"/>
    </row>
    <row r="237" spans="1:34" ht="77.25" customHeight="1" thickBot="1" x14ac:dyDescent="0.2">
      <c r="A237" s="6"/>
      <c r="B237" s="7"/>
      <c r="C237" s="8"/>
      <c r="D237" s="7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10"/>
      <c r="P237" s="10"/>
      <c r="V237" s="11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3"/>
    </row>
    <row r="238" spans="1:34" ht="77.25" customHeight="1" thickBot="1" x14ac:dyDescent="0.2">
      <c r="A238" s="6"/>
      <c r="B238" s="7"/>
      <c r="C238" s="8"/>
      <c r="D238" s="7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10"/>
      <c r="P238" s="10"/>
      <c r="V238" s="11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3"/>
    </row>
    <row r="239" spans="1:34" ht="77.25" customHeight="1" thickBot="1" x14ac:dyDescent="0.2">
      <c r="A239" s="6"/>
      <c r="B239" s="7"/>
      <c r="C239" s="8"/>
      <c r="D239" s="7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10"/>
      <c r="P239" s="10"/>
      <c r="V239" s="11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3"/>
    </row>
    <row r="240" spans="1:34" ht="77.25" customHeight="1" thickBot="1" x14ac:dyDescent="0.2">
      <c r="A240" s="6"/>
      <c r="B240" s="7"/>
      <c r="C240" s="8"/>
      <c r="D240" s="7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10"/>
      <c r="P240" s="10"/>
      <c r="V240" s="11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3"/>
    </row>
    <row r="241" spans="1:34" ht="77.25" customHeight="1" thickBot="1" x14ac:dyDescent="0.2">
      <c r="A241" s="6"/>
      <c r="B241" s="7"/>
      <c r="C241" s="8"/>
      <c r="D241" s="7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10"/>
      <c r="P241" s="10"/>
      <c r="V241" s="11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3"/>
    </row>
    <row r="242" spans="1:34" ht="77.25" customHeight="1" thickBot="1" x14ac:dyDescent="0.2">
      <c r="A242" s="6"/>
      <c r="B242" s="7"/>
      <c r="C242" s="8"/>
      <c r="D242" s="7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10"/>
      <c r="P242" s="10"/>
      <c r="V242" s="11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3"/>
    </row>
    <row r="243" spans="1:34" ht="77.25" customHeight="1" thickBot="1" x14ac:dyDescent="0.2">
      <c r="A243" s="6"/>
      <c r="B243" s="7"/>
      <c r="C243" s="8"/>
      <c r="D243" s="7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10"/>
      <c r="P243" s="10"/>
      <c r="V243" s="11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3"/>
    </row>
    <row r="244" spans="1:34" ht="77.25" customHeight="1" thickBot="1" x14ac:dyDescent="0.2">
      <c r="A244" s="6"/>
      <c r="B244" s="7"/>
      <c r="C244" s="8"/>
      <c r="D244" s="7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10"/>
      <c r="P244" s="10"/>
      <c r="V244" s="11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3"/>
    </row>
    <row r="245" spans="1:34" ht="77.25" customHeight="1" thickBot="1" x14ac:dyDescent="0.2">
      <c r="A245" s="6"/>
      <c r="B245" s="7"/>
      <c r="C245" s="8"/>
      <c r="D245" s="7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10"/>
      <c r="P245" s="10"/>
      <c r="V245" s="11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3"/>
    </row>
    <row r="246" spans="1:34" ht="77.25" customHeight="1" thickBot="1" x14ac:dyDescent="0.2">
      <c r="A246" s="6"/>
      <c r="B246" s="7"/>
      <c r="C246" s="8"/>
      <c r="D246" s="7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10"/>
      <c r="P246" s="10"/>
      <c r="V246" s="11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3"/>
    </row>
    <row r="247" spans="1:34" ht="77.25" customHeight="1" thickBot="1" x14ac:dyDescent="0.2">
      <c r="A247" s="6"/>
      <c r="B247" s="7"/>
      <c r="C247" s="8"/>
      <c r="D247" s="7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10"/>
      <c r="P247" s="10"/>
      <c r="V247" s="11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3"/>
    </row>
    <row r="248" spans="1:34" ht="77.25" customHeight="1" thickBot="1" x14ac:dyDescent="0.2">
      <c r="A248" s="6"/>
      <c r="B248" s="7"/>
      <c r="C248" s="8"/>
      <c r="D248" s="7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10"/>
      <c r="P248" s="10"/>
      <c r="V248" s="11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3"/>
    </row>
    <row r="249" spans="1:34" ht="77.25" customHeight="1" thickBot="1" x14ac:dyDescent="0.2">
      <c r="A249" s="6"/>
      <c r="B249" s="7"/>
      <c r="C249" s="8"/>
      <c r="D249" s="7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10"/>
      <c r="P249" s="10"/>
      <c r="V249" s="11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3"/>
    </row>
    <row r="250" spans="1:34" ht="77.25" customHeight="1" thickBot="1" x14ac:dyDescent="0.2">
      <c r="A250" s="6"/>
      <c r="B250" s="7"/>
      <c r="C250" s="8"/>
      <c r="D250" s="7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10"/>
      <c r="P250" s="10"/>
      <c r="V250" s="11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3"/>
    </row>
    <row r="251" spans="1:34" ht="77.25" customHeight="1" thickBot="1" x14ac:dyDescent="0.2">
      <c r="A251" s="6"/>
      <c r="B251" s="7"/>
      <c r="C251" s="8"/>
      <c r="D251" s="7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10"/>
      <c r="P251" s="10"/>
      <c r="V251" s="11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3"/>
    </row>
    <row r="252" spans="1:34" ht="77.25" customHeight="1" thickBot="1" x14ac:dyDescent="0.2">
      <c r="A252" s="6"/>
      <c r="B252" s="7"/>
      <c r="C252" s="8"/>
      <c r="D252" s="7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10"/>
      <c r="P252" s="10"/>
      <c r="V252" s="11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3"/>
    </row>
    <row r="253" spans="1:34" ht="77.25" customHeight="1" thickBot="1" x14ac:dyDescent="0.2">
      <c r="A253" s="6"/>
      <c r="B253" s="7"/>
      <c r="C253" s="8"/>
      <c r="D253" s="7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10"/>
      <c r="P253" s="10"/>
      <c r="V253" s="11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3"/>
    </row>
    <row r="254" spans="1:34" ht="77.25" customHeight="1" thickBot="1" x14ac:dyDescent="0.2">
      <c r="A254" s="6"/>
      <c r="B254" s="7"/>
      <c r="C254" s="8"/>
      <c r="D254" s="7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10"/>
      <c r="P254" s="10"/>
      <c r="V254" s="11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3"/>
    </row>
    <row r="255" spans="1:34" ht="77.25" customHeight="1" thickBot="1" x14ac:dyDescent="0.2">
      <c r="A255" s="6"/>
      <c r="B255" s="7"/>
      <c r="C255" s="8"/>
      <c r="D255" s="7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10"/>
      <c r="P255" s="10"/>
      <c r="V255" s="11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3"/>
    </row>
    <row r="256" spans="1:34" ht="77.25" customHeight="1" thickBot="1" x14ac:dyDescent="0.2">
      <c r="A256" s="6"/>
      <c r="B256" s="7"/>
      <c r="C256" s="8"/>
      <c r="D256" s="7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10"/>
      <c r="P256" s="10"/>
      <c r="V256" s="11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3"/>
    </row>
    <row r="257" spans="1:34" ht="77.25" customHeight="1" thickBot="1" x14ac:dyDescent="0.2">
      <c r="A257" s="6"/>
      <c r="B257" s="7"/>
      <c r="C257" s="8"/>
      <c r="D257" s="7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10"/>
      <c r="P257" s="10"/>
      <c r="V257" s="11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3"/>
    </row>
    <row r="258" spans="1:34" ht="77.25" customHeight="1" thickBot="1" x14ac:dyDescent="0.2">
      <c r="A258" s="6"/>
      <c r="B258" s="7"/>
      <c r="C258" s="8"/>
      <c r="D258" s="7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10"/>
      <c r="P258" s="10"/>
      <c r="V258" s="11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3"/>
    </row>
    <row r="259" spans="1:34" ht="77.25" customHeight="1" thickBot="1" x14ac:dyDescent="0.2">
      <c r="A259" s="6"/>
      <c r="B259" s="7"/>
      <c r="C259" s="8"/>
      <c r="D259" s="7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10"/>
      <c r="P259" s="10"/>
      <c r="V259" s="11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3"/>
    </row>
    <row r="260" spans="1:34" ht="77.25" customHeight="1" thickBot="1" x14ac:dyDescent="0.2">
      <c r="A260" s="6"/>
      <c r="B260" s="7"/>
      <c r="C260" s="8"/>
      <c r="D260" s="7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10"/>
      <c r="P260" s="10"/>
      <c r="V260" s="11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3"/>
    </row>
    <row r="261" spans="1:34" ht="77.25" customHeight="1" thickBot="1" x14ac:dyDescent="0.2">
      <c r="A261" s="6"/>
      <c r="B261" s="7"/>
      <c r="C261" s="8"/>
      <c r="D261" s="7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10"/>
      <c r="P261" s="10"/>
      <c r="V261" s="11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3"/>
    </row>
    <row r="262" spans="1:34" ht="77.25" customHeight="1" thickBot="1" x14ac:dyDescent="0.2">
      <c r="A262" s="6"/>
      <c r="B262" s="7"/>
      <c r="C262" s="8"/>
      <c r="D262" s="7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10"/>
      <c r="P262" s="10"/>
      <c r="V262" s="11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3"/>
    </row>
    <row r="263" spans="1:34" ht="77.25" customHeight="1" thickBot="1" x14ac:dyDescent="0.2">
      <c r="A263" s="6"/>
      <c r="B263" s="7"/>
      <c r="C263" s="8"/>
      <c r="D263" s="7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10"/>
      <c r="P263" s="10"/>
      <c r="V263" s="11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3"/>
    </row>
    <row r="264" spans="1:34" ht="77.25" customHeight="1" thickBot="1" x14ac:dyDescent="0.2">
      <c r="A264" s="6"/>
      <c r="B264" s="7"/>
      <c r="C264" s="8"/>
      <c r="D264" s="7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10"/>
      <c r="P264" s="10"/>
      <c r="V264" s="11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3"/>
    </row>
    <row r="265" spans="1:34" ht="77.25" customHeight="1" thickBot="1" x14ac:dyDescent="0.2">
      <c r="A265" s="6"/>
      <c r="B265" s="7"/>
      <c r="C265" s="8"/>
      <c r="D265" s="7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10"/>
      <c r="P265" s="10"/>
      <c r="V265" s="11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3"/>
    </row>
    <row r="266" spans="1:34" ht="77.25" customHeight="1" thickBot="1" x14ac:dyDescent="0.2">
      <c r="A266" s="6"/>
      <c r="B266" s="7"/>
      <c r="C266" s="8"/>
      <c r="D266" s="7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10"/>
      <c r="P266" s="10"/>
      <c r="V266" s="11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3"/>
    </row>
    <row r="267" spans="1:34" ht="77.25" customHeight="1" thickBot="1" x14ac:dyDescent="0.2">
      <c r="A267" s="6"/>
      <c r="B267" s="7"/>
      <c r="C267" s="8"/>
      <c r="D267" s="7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10"/>
      <c r="P267" s="10"/>
      <c r="V267" s="11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3"/>
    </row>
    <row r="268" spans="1:34" ht="77.25" customHeight="1" thickBot="1" x14ac:dyDescent="0.2">
      <c r="A268" s="6"/>
      <c r="B268" s="7"/>
      <c r="C268" s="8"/>
      <c r="D268" s="7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10"/>
      <c r="P268" s="10"/>
      <c r="V268" s="11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3"/>
    </row>
    <row r="269" spans="1:34" ht="77.25" customHeight="1" thickBot="1" x14ac:dyDescent="0.2">
      <c r="A269" s="6"/>
      <c r="B269" s="7"/>
      <c r="C269" s="8"/>
      <c r="D269" s="7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10"/>
      <c r="P269" s="10"/>
      <c r="V269" s="11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3"/>
    </row>
    <row r="270" spans="1:34" ht="77.25" customHeight="1" thickBot="1" x14ac:dyDescent="0.2">
      <c r="A270" s="6"/>
      <c r="B270" s="7"/>
      <c r="C270" s="8"/>
      <c r="D270" s="7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10"/>
      <c r="P270" s="10"/>
      <c r="V270" s="11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3"/>
    </row>
    <row r="271" spans="1:34" ht="77.25" customHeight="1" thickBot="1" x14ac:dyDescent="0.2">
      <c r="A271" s="6"/>
      <c r="B271" s="7"/>
      <c r="C271" s="8"/>
      <c r="D271" s="7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10"/>
      <c r="P271" s="10"/>
      <c r="V271" s="11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3"/>
    </row>
    <row r="272" spans="1:34" ht="77.25" customHeight="1" thickBot="1" x14ac:dyDescent="0.2">
      <c r="A272" s="6"/>
      <c r="B272" s="7"/>
      <c r="C272" s="8"/>
      <c r="D272" s="7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10"/>
      <c r="P272" s="10"/>
      <c r="V272" s="11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3"/>
    </row>
    <row r="273" spans="1:34" ht="77.25" customHeight="1" thickBot="1" x14ac:dyDescent="0.2">
      <c r="A273" s="6"/>
      <c r="B273" s="7"/>
      <c r="C273" s="8"/>
      <c r="D273" s="7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10"/>
      <c r="P273" s="10"/>
      <c r="V273" s="11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3"/>
    </row>
    <row r="274" spans="1:34" ht="77.25" customHeight="1" thickBot="1" x14ac:dyDescent="0.2">
      <c r="A274" s="6"/>
      <c r="B274" s="7"/>
      <c r="C274" s="8"/>
      <c r="D274" s="7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10"/>
      <c r="P274" s="10"/>
      <c r="V274" s="11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3"/>
    </row>
    <row r="275" spans="1:34" ht="77.25" customHeight="1" thickBot="1" x14ac:dyDescent="0.2">
      <c r="A275" s="6"/>
      <c r="B275" s="7"/>
      <c r="C275" s="8"/>
      <c r="D275" s="7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10"/>
      <c r="P275" s="10"/>
      <c r="V275" s="11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3"/>
    </row>
    <row r="276" spans="1:34" ht="77.25" customHeight="1" thickBot="1" x14ac:dyDescent="0.2">
      <c r="A276" s="6"/>
      <c r="B276" s="7"/>
      <c r="C276" s="8"/>
      <c r="D276" s="7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10"/>
      <c r="P276" s="10"/>
      <c r="V276" s="11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3"/>
    </row>
    <row r="277" spans="1:34" ht="77.25" customHeight="1" thickBot="1" x14ac:dyDescent="0.2">
      <c r="A277" s="6"/>
      <c r="B277" s="7"/>
      <c r="C277" s="8"/>
      <c r="D277" s="7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10"/>
      <c r="P277" s="10"/>
      <c r="V277" s="11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3"/>
    </row>
    <row r="278" spans="1:34" ht="77.25" customHeight="1" thickBot="1" x14ac:dyDescent="0.2">
      <c r="A278" s="6"/>
      <c r="B278" s="7"/>
      <c r="C278" s="8"/>
      <c r="D278" s="7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10"/>
      <c r="P278" s="10"/>
      <c r="V278" s="11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3"/>
    </row>
    <row r="279" spans="1:34" ht="77.25" customHeight="1" thickBot="1" x14ac:dyDescent="0.2">
      <c r="A279" s="6"/>
      <c r="B279" s="7"/>
      <c r="C279" s="8"/>
      <c r="D279" s="7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10"/>
      <c r="P279" s="10"/>
      <c r="V279" s="11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3"/>
    </row>
    <row r="280" spans="1:34" ht="77.25" customHeight="1" thickBot="1" x14ac:dyDescent="0.2">
      <c r="A280" s="6"/>
      <c r="B280" s="7"/>
      <c r="C280" s="8"/>
      <c r="D280" s="7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10"/>
      <c r="P280" s="10"/>
      <c r="V280" s="11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3"/>
    </row>
    <row r="281" spans="1:34" ht="77.25" customHeight="1" thickBot="1" x14ac:dyDescent="0.2">
      <c r="A281" s="6"/>
      <c r="B281" s="7"/>
      <c r="C281" s="8"/>
      <c r="D281" s="7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10"/>
      <c r="P281" s="10"/>
      <c r="V281" s="11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3"/>
    </row>
    <row r="282" spans="1:34" ht="77.25" customHeight="1" thickBot="1" x14ac:dyDescent="0.2">
      <c r="A282" s="6"/>
      <c r="B282" s="7"/>
      <c r="C282" s="8"/>
      <c r="D282" s="7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10"/>
      <c r="P282" s="10"/>
      <c r="V282" s="11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3"/>
    </row>
    <row r="283" spans="1:34" ht="77.25" customHeight="1" thickBot="1" x14ac:dyDescent="0.2">
      <c r="A283" s="6"/>
      <c r="B283" s="7"/>
      <c r="C283" s="8"/>
      <c r="D283" s="7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10"/>
      <c r="P283" s="10"/>
      <c r="V283" s="11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3"/>
    </row>
    <row r="284" spans="1:34" ht="77.25" customHeight="1" thickBot="1" x14ac:dyDescent="0.2">
      <c r="A284" s="6"/>
      <c r="B284" s="7"/>
      <c r="C284" s="8"/>
      <c r="D284" s="7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10"/>
      <c r="P284" s="10"/>
      <c r="V284" s="11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3"/>
    </row>
    <row r="285" spans="1:34" ht="77.25" customHeight="1" thickBot="1" x14ac:dyDescent="0.2">
      <c r="A285" s="6"/>
      <c r="B285" s="7"/>
      <c r="C285" s="8"/>
      <c r="D285" s="7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10"/>
      <c r="P285" s="10"/>
      <c r="V285" s="11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3"/>
    </row>
    <row r="286" spans="1:34" ht="77.25" customHeight="1" thickBot="1" x14ac:dyDescent="0.2">
      <c r="A286" s="6"/>
      <c r="B286" s="7"/>
      <c r="C286" s="8"/>
      <c r="D286" s="7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10"/>
      <c r="P286" s="10"/>
      <c r="V286" s="11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3"/>
    </row>
    <row r="287" spans="1:34" ht="77.25" customHeight="1" thickBot="1" x14ac:dyDescent="0.2">
      <c r="A287" s="6"/>
      <c r="B287" s="7"/>
      <c r="C287" s="8"/>
      <c r="D287" s="7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10"/>
      <c r="P287" s="10"/>
      <c r="V287" s="11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3"/>
    </row>
    <row r="288" spans="1:34" ht="77.25" customHeight="1" thickBot="1" x14ac:dyDescent="0.2">
      <c r="A288" s="6"/>
      <c r="B288" s="7"/>
      <c r="C288" s="8"/>
      <c r="D288" s="7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10"/>
      <c r="P288" s="10"/>
      <c r="V288" s="11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3"/>
    </row>
    <row r="289" spans="1:34" ht="77.25" customHeight="1" thickBot="1" x14ac:dyDescent="0.2">
      <c r="A289" s="6"/>
      <c r="B289" s="7"/>
      <c r="C289" s="8"/>
      <c r="D289" s="7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10"/>
      <c r="P289" s="10"/>
      <c r="V289" s="11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3"/>
    </row>
    <row r="290" spans="1:34" ht="77.25" customHeight="1" thickBot="1" x14ac:dyDescent="0.2">
      <c r="A290" s="6"/>
      <c r="B290" s="7"/>
      <c r="C290" s="8"/>
      <c r="D290" s="7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10"/>
      <c r="P290" s="10"/>
      <c r="V290" s="11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3"/>
    </row>
    <row r="291" spans="1:34" ht="77.25" customHeight="1" thickBot="1" x14ac:dyDescent="0.2">
      <c r="A291" s="6"/>
      <c r="B291" s="7"/>
      <c r="C291" s="8"/>
      <c r="D291" s="7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10"/>
      <c r="P291" s="10"/>
      <c r="V291" s="11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3"/>
    </row>
    <row r="292" spans="1:34" ht="77.25" customHeight="1" thickBot="1" x14ac:dyDescent="0.2">
      <c r="A292" s="6"/>
      <c r="B292" s="7"/>
      <c r="C292" s="8"/>
      <c r="D292" s="7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10"/>
      <c r="P292" s="10"/>
      <c r="V292" s="11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3"/>
    </row>
    <row r="293" spans="1:34" ht="77.25" customHeight="1" thickBot="1" x14ac:dyDescent="0.2">
      <c r="A293" s="6"/>
      <c r="B293" s="7"/>
      <c r="C293" s="8"/>
      <c r="D293" s="7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10"/>
      <c r="P293" s="10"/>
      <c r="V293" s="11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3"/>
    </row>
    <row r="294" spans="1:34" ht="77.25" customHeight="1" thickBot="1" x14ac:dyDescent="0.2">
      <c r="A294" s="6"/>
      <c r="B294" s="7"/>
      <c r="C294" s="8"/>
      <c r="D294" s="7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10"/>
      <c r="P294" s="10"/>
      <c r="V294" s="11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3"/>
    </row>
    <row r="295" spans="1:34" ht="77.25" customHeight="1" thickBot="1" x14ac:dyDescent="0.2">
      <c r="A295" s="6"/>
      <c r="B295" s="7"/>
      <c r="C295" s="8"/>
      <c r="D295" s="7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10"/>
      <c r="P295" s="10"/>
      <c r="V295" s="11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3"/>
    </row>
    <row r="296" spans="1:34" ht="77.25" customHeight="1" thickBot="1" x14ac:dyDescent="0.2">
      <c r="A296" s="6"/>
      <c r="B296" s="7"/>
      <c r="C296" s="8"/>
      <c r="D296" s="7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10"/>
      <c r="P296" s="10"/>
      <c r="V296" s="11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3"/>
    </row>
    <row r="297" spans="1:34" ht="77.25" customHeight="1" thickBot="1" x14ac:dyDescent="0.2">
      <c r="A297" s="6"/>
      <c r="B297" s="7"/>
      <c r="C297" s="8"/>
      <c r="D297" s="7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10"/>
      <c r="P297" s="10"/>
      <c r="V297" s="11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3"/>
    </row>
    <row r="298" spans="1:34" ht="77.25" customHeight="1" thickBot="1" x14ac:dyDescent="0.2">
      <c r="A298" s="6"/>
      <c r="B298" s="7"/>
      <c r="C298" s="8"/>
      <c r="D298" s="7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10"/>
      <c r="P298" s="10"/>
      <c r="V298" s="11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3"/>
    </row>
    <row r="299" spans="1:34" ht="77.25" customHeight="1" thickBot="1" x14ac:dyDescent="0.2">
      <c r="A299" s="6"/>
      <c r="B299" s="7"/>
      <c r="C299" s="8"/>
      <c r="D299" s="7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10"/>
      <c r="P299" s="10"/>
      <c r="V299" s="11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3"/>
    </row>
    <row r="300" spans="1:34" ht="77.25" customHeight="1" thickBot="1" x14ac:dyDescent="0.2">
      <c r="A300" s="6"/>
      <c r="B300" s="7"/>
      <c r="C300" s="8"/>
      <c r="D300" s="7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10"/>
      <c r="P300" s="10"/>
      <c r="V300" s="11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3"/>
    </row>
    <row r="301" spans="1:34" ht="77.25" customHeight="1" thickBot="1" x14ac:dyDescent="0.2">
      <c r="A301" s="6"/>
      <c r="B301" s="7"/>
      <c r="C301" s="8"/>
      <c r="D301" s="7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10"/>
      <c r="P301" s="10"/>
      <c r="V301" s="11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3"/>
    </row>
    <row r="302" spans="1:34" ht="77.25" customHeight="1" thickBot="1" x14ac:dyDescent="0.2">
      <c r="A302" s="6"/>
      <c r="B302" s="7"/>
      <c r="C302" s="8"/>
      <c r="D302" s="7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10"/>
      <c r="P302" s="10"/>
      <c r="V302" s="11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3"/>
    </row>
    <row r="303" spans="1:34" ht="77.25" customHeight="1" thickBot="1" x14ac:dyDescent="0.2">
      <c r="A303" s="6"/>
      <c r="B303" s="7"/>
      <c r="C303" s="8"/>
      <c r="D303" s="7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10"/>
      <c r="P303" s="10"/>
      <c r="V303" s="11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3"/>
    </row>
    <row r="304" spans="1:34" ht="77.25" customHeight="1" thickBot="1" x14ac:dyDescent="0.2">
      <c r="A304" s="6"/>
      <c r="B304" s="7"/>
      <c r="C304" s="8"/>
      <c r="D304" s="7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10"/>
      <c r="P304" s="10"/>
      <c r="V304" s="11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3"/>
    </row>
    <row r="305" spans="1:34" ht="77.25" customHeight="1" thickBot="1" x14ac:dyDescent="0.2">
      <c r="A305" s="6"/>
      <c r="B305" s="7"/>
      <c r="C305" s="8"/>
      <c r="D305" s="7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10"/>
      <c r="P305" s="10"/>
      <c r="V305" s="11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3"/>
    </row>
    <row r="306" spans="1:34" ht="77.25" customHeight="1" thickBot="1" x14ac:dyDescent="0.2">
      <c r="A306" s="6"/>
      <c r="B306" s="7"/>
      <c r="C306" s="8"/>
      <c r="D306" s="7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10"/>
      <c r="P306" s="10"/>
      <c r="V306" s="11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3"/>
    </row>
    <row r="307" spans="1:34" ht="77.25" customHeight="1" thickBot="1" x14ac:dyDescent="0.2">
      <c r="A307" s="6"/>
      <c r="B307" s="7"/>
      <c r="C307" s="8"/>
      <c r="D307" s="7"/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10"/>
      <c r="P307" s="10"/>
      <c r="V307" s="11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3"/>
    </row>
    <row r="308" spans="1:34" ht="77.25" customHeight="1" thickBot="1" x14ac:dyDescent="0.2">
      <c r="A308" s="6"/>
      <c r="B308" s="7"/>
      <c r="C308" s="8"/>
      <c r="D308" s="7"/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10"/>
      <c r="P308" s="10"/>
      <c r="V308" s="11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3"/>
    </row>
    <row r="309" spans="1:34" ht="77.25" customHeight="1" thickBot="1" x14ac:dyDescent="0.2">
      <c r="A309" s="6"/>
      <c r="B309" s="7"/>
      <c r="C309" s="8"/>
      <c r="D309" s="7"/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10"/>
      <c r="P309" s="10"/>
      <c r="V309" s="11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3"/>
    </row>
    <row r="310" spans="1:34" ht="77.25" customHeight="1" thickBot="1" x14ac:dyDescent="0.2">
      <c r="A310" s="6"/>
      <c r="B310" s="7"/>
      <c r="C310" s="8"/>
      <c r="D310" s="7"/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10"/>
      <c r="P310" s="10"/>
      <c r="V310" s="11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3"/>
    </row>
    <row r="311" spans="1:34" ht="77.25" customHeight="1" thickBot="1" x14ac:dyDescent="0.2">
      <c r="A311" s="6"/>
      <c r="B311" s="7"/>
      <c r="C311" s="8"/>
      <c r="D311" s="7"/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10"/>
      <c r="P311" s="10"/>
      <c r="V311" s="11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3"/>
    </row>
    <row r="312" spans="1:34" ht="77.25" customHeight="1" thickBot="1" x14ac:dyDescent="0.2">
      <c r="A312" s="6"/>
      <c r="B312" s="7"/>
      <c r="C312" s="8"/>
      <c r="D312" s="7"/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10"/>
      <c r="P312" s="10"/>
      <c r="V312" s="11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3"/>
    </row>
    <row r="313" spans="1:34" ht="77.25" customHeight="1" thickBot="1" x14ac:dyDescent="0.2">
      <c r="A313" s="6"/>
      <c r="B313" s="7"/>
      <c r="C313" s="8"/>
      <c r="D313" s="7"/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10"/>
      <c r="P313" s="10"/>
      <c r="V313" s="11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3"/>
    </row>
    <row r="314" spans="1:34" ht="77.25" customHeight="1" thickBot="1" x14ac:dyDescent="0.2">
      <c r="A314" s="6"/>
      <c r="B314" s="7"/>
      <c r="C314" s="8"/>
      <c r="D314" s="7"/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10"/>
      <c r="P314" s="10"/>
      <c r="V314" s="11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3"/>
    </row>
    <row r="315" spans="1:34" ht="77.25" customHeight="1" thickBot="1" x14ac:dyDescent="0.2">
      <c r="A315" s="6"/>
      <c r="B315" s="7"/>
      <c r="C315" s="8"/>
      <c r="D315" s="7"/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10"/>
      <c r="P315" s="10"/>
      <c r="V315" s="11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3"/>
    </row>
    <row r="316" spans="1:34" ht="77.25" customHeight="1" thickBot="1" x14ac:dyDescent="0.2">
      <c r="A316" s="6"/>
      <c r="B316" s="7"/>
      <c r="C316" s="8"/>
      <c r="D316" s="7"/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10"/>
      <c r="P316" s="10"/>
      <c r="V316" s="11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3"/>
    </row>
    <row r="317" spans="1:34" ht="77.25" customHeight="1" thickBot="1" x14ac:dyDescent="0.2">
      <c r="A317" s="6"/>
      <c r="B317" s="7"/>
      <c r="C317" s="8"/>
      <c r="D317" s="7"/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10"/>
      <c r="P317" s="10"/>
      <c r="V317" s="11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3"/>
    </row>
    <row r="318" spans="1:34" ht="77.25" customHeight="1" thickBot="1" x14ac:dyDescent="0.2">
      <c r="A318" s="6"/>
      <c r="B318" s="7"/>
      <c r="C318" s="8"/>
      <c r="D318" s="7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10"/>
      <c r="P318" s="10"/>
      <c r="V318" s="11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3"/>
    </row>
    <row r="319" spans="1:34" ht="77.25" customHeight="1" thickBot="1" x14ac:dyDescent="0.2">
      <c r="A319" s="6"/>
      <c r="B319" s="7"/>
      <c r="C319" s="8"/>
      <c r="D319" s="7"/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10"/>
      <c r="P319" s="10"/>
      <c r="V319" s="11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3"/>
    </row>
    <row r="320" spans="1:34" ht="77.25" customHeight="1" thickBot="1" x14ac:dyDescent="0.2">
      <c r="A320" s="6"/>
      <c r="B320" s="7"/>
      <c r="C320" s="8"/>
      <c r="D320" s="7"/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10"/>
      <c r="P320" s="10"/>
      <c r="V320" s="11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3"/>
    </row>
    <row r="321" spans="1:34" ht="77.25" customHeight="1" thickBot="1" x14ac:dyDescent="0.2">
      <c r="A321" s="6"/>
      <c r="B321" s="7"/>
      <c r="C321" s="8"/>
      <c r="D321" s="7"/>
      <c r="E321" s="9"/>
      <c r="F321" s="7"/>
      <c r="G321" s="7"/>
      <c r="H321" s="7"/>
      <c r="I321" s="7"/>
      <c r="J321" s="7"/>
      <c r="K321" s="7"/>
      <c r="L321" s="7"/>
      <c r="M321" s="7"/>
      <c r="N321" s="7"/>
      <c r="O321" s="10"/>
      <c r="P321" s="10"/>
      <c r="V321" s="11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3"/>
    </row>
    <row r="322" spans="1:34" ht="77.25" customHeight="1" thickBot="1" x14ac:dyDescent="0.2">
      <c r="A322" s="6"/>
      <c r="B322" s="7"/>
      <c r="C322" s="8"/>
      <c r="D322" s="7"/>
      <c r="E322" s="9"/>
      <c r="F322" s="7"/>
      <c r="G322" s="7"/>
      <c r="H322" s="7"/>
      <c r="I322" s="7"/>
      <c r="J322" s="7"/>
      <c r="K322" s="7"/>
      <c r="L322" s="7"/>
      <c r="M322" s="7"/>
      <c r="N322" s="7"/>
      <c r="O322" s="10"/>
      <c r="P322" s="10"/>
      <c r="V322" s="11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3"/>
    </row>
    <row r="323" spans="1:34" ht="77.25" customHeight="1" thickBot="1" x14ac:dyDescent="0.2">
      <c r="A323" s="6"/>
      <c r="B323" s="7"/>
      <c r="C323" s="8"/>
      <c r="D323" s="7"/>
      <c r="E323" s="9"/>
      <c r="F323" s="7"/>
      <c r="G323" s="7"/>
      <c r="H323" s="7"/>
      <c r="I323" s="7"/>
      <c r="J323" s="7"/>
      <c r="K323" s="7"/>
      <c r="L323" s="7"/>
      <c r="M323" s="7"/>
      <c r="N323" s="7"/>
      <c r="O323" s="10"/>
      <c r="P323" s="10"/>
      <c r="V323" s="11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3"/>
    </row>
    <row r="324" spans="1:34" ht="77.25" customHeight="1" thickBot="1" x14ac:dyDescent="0.2">
      <c r="A324" s="6"/>
      <c r="B324" s="7"/>
      <c r="C324" s="8"/>
      <c r="D324" s="7"/>
      <c r="E324" s="9"/>
      <c r="F324" s="7"/>
      <c r="G324" s="7"/>
      <c r="H324" s="7"/>
      <c r="I324" s="7"/>
      <c r="J324" s="7"/>
      <c r="K324" s="7"/>
      <c r="L324" s="7"/>
      <c r="M324" s="7"/>
      <c r="N324" s="7"/>
      <c r="O324" s="10"/>
      <c r="P324" s="10"/>
      <c r="V324" s="11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3"/>
    </row>
    <row r="325" spans="1:34" ht="77.25" customHeight="1" thickBot="1" x14ac:dyDescent="0.2">
      <c r="A325" s="6"/>
      <c r="B325" s="7"/>
      <c r="C325" s="8"/>
      <c r="D325" s="7"/>
      <c r="E325" s="9"/>
      <c r="F325" s="7"/>
      <c r="G325" s="7"/>
      <c r="H325" s="7"/>
      <c r="I325" s="7"/>
      <c r="J325" s="7"/>
      <c r="K325" s="7"/>
      <c r="L325" s="7"/>
      <c r="M325" s="7"/>
      <c r="N325" s="7"/>
      <c r="O325" s="10"/>
      <c r="P325" s="10"/>
      <c r="V325" s="11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3"/>
    </row>
    <row r="326" spans="1:34" ht="77.25" customHeight="1" thickBot="1" x14ac:dyDescent="0.2">
      <c r="A326" s="6"/>
      <c r="B326" s="7"/>
      <c r="C326" s="8"/>
      <c r="D326" s="7"/>
      <c r="E326" s="9"/>
      <c r="F326" s="7"/>
      <c r="G326" s="7"/>
      <c r="H326" s="7"/>
      <c r="I326" s="7"/>
      <c r="J326" s="7"/>
      <c r="K326" s="7"/>
      <c r="L326" s="7"/>
      <c r="M326" s="7"/>
      <c r="N326" s="7"/>
      <c r="O326" s="10"/>
      <c r="P326" s="10"/>
      <c r="V326" s="11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3"/>
    </row>
    <row r="327" spans="1:34" ht="77.25" customHeight="1" thickBot="1" x14ac:dyDescent="0.2">
      <c r="A327" s="6"/>
      <c r="B327" s="7"/>
      <c r="C327" s="8"/>
      <c r="D327" s="7"/>
      <c r="E327" s="9"/>
      <c r="F327" s="7"/>
      <c r="G327" s="7"/>
      <c r="H327" s="7"/>
      <c r="I327" s="7"/>
      <c r="J327" s="7"/>
      <c r="K327" s="7"/>
      <c r="L327" s="7"/>
      <c r="M327" s="7"/>
      <c r="N327" s="7"/>
      <c r="O327" s="10"/>
      <c r="P327" s="10"/>
      <c r="V327" s="11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3"/>
    </row>
    <row r="328" spans="1:34" ht="77.25" customHeight="1" thickBot="1" x14ac:dyDescent="0.2">
      <c r="A328" s="6"/>
      <c r="B328" s="7"/>
      <c r="C328" s="8"/>
      <c r="D328" s="7"/>
      <c r="E328" s="9"/>
      <c r="F328" s="7"/>
      <c r="G328" s="7"/>
      <c r="H328" s="7"/>
      <c r="I328" s="7"/>
      <c r="J328" s="7"/>
      <c r="K328" s="7"/>
      <c r="L328" s="7"/>
      <c r="M328" s="7"/>
      <c r="N328" s="7"/>
      <c r="O328" s="10"/>
      <c r="P328" s="10"/>
      <c r="V328" s="11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3"/>
    </row>
    <row r="329" spans="1:34" ht="77.25" customHeight="1" thickBot="1" x14ac:dyDescent="0.2">
      <c r="A329" s="6"/>
      <c r="B329" s="7"/>
      <c r="C329" s="8"/>
      <c r="D329" s="7"/>
      <c r="E329" s="9"/>
      <c r="F329" s="7"/>
      <c r="G329" s="7"/>
      <c r="H329" s="7"/>
      <c r="I329" s="7"/>
      <c r="J329" s="7"/>
      <c r="K329" s="7"/>
      <c r="L329" s="7"/>
      <c r="M329" s="7"/>
      <c r="N329" s="7"/>
      <c r="O329" s="10"/>
      <c r="P329" s="10"/>
      <c r="V329" s="11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3"/>
    </row>
    <row r="330" spans="1:34" ht="77.25" customHeight="1" thickBot="1" x14ac:dyDescent="0.2">
      <c r="A330" s="6"/>
      <c r="B330" s="7"/>
      <c r="C330" s="8"/>
      <c r="D330" s="7"/>
      <c r="E330" s="9"/>
      <c r="F330" s="7"/>
      <c r="G330" s="7"/>
      <c r="H330" s="7"/>
      <c r="I330" s="7"/>
      <c r="J330" s="7"/>
      <c r="K330" s="7"/>
      <c r="L330" s="7"/>
      <c r="M330" s="7"/>
      <c r="N330" s="7"/>
      <c r="O330" s="10"/>
      <c r="P330" s="10"/>
      <c r="V330" s="11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3"/>
    </row>
    <row r="331" spans="1:34" ht="77.25" customHeight="1" thickBot="1" x14ac:dyDescent="0.2">
      <c r="A331" s="6"/>
      <c r="B331" s="7"/>
      <c r="C331" s="8"/>
      <c r="D331" s="7"/>
      <c r="E331" s="9"/>
      <c r="F331" s="7"/>
      <c r="G331" s="7"/>
      <c r="H331" s="7"/>
      <c r="I331" s="7"/>
      <c r="J331" s="7"/>
      <c r="K331" s="7"/>
      <c r="L331" s="7"/>
      <c r="M331" s="7"/>
      <c r="N331" s="7"/>
      <c r="O331" s="10"/>
      <c r="P331" s="10"/>
      <c r="V331" s="11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3"/>
    </row>
    <row r="332" spans="1:34" ht="77.25" customHeight="1" thickBot="1" x14ac:dyDescent="0.2">
      <c r="A332" s="6"/>
      <c r="B332" s="7"/>
      <c r="C332" s="8"/>
      <c r="D332" s="7"/>
      <c r="E332" s="9"/>
      <c r="F332" s="7"/>
      <c r="G332" s="7"/>
      <c r="H332" s="7"/>
      <c r="I332" s="7"/>
      <c r="J332" s="7"/>
      <c r="K332" s="7"/>
      <c r="L332" s="7"/>
      <c r="M332" s="7"/>
      <c r="N332" s="7"/>
      <c r="O332" s="10"/>
      <c r="P332" s="10"/>
      <c r="V332" s="11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3"/>
    </row>
    <row r="333" spans="1:34" ht="77.25" customHeight="1" thickBot="1" x14ac:dyDescent="0.2">
      <c r="A333" s="6"/>
      <c r="B333" s="7"/>
      <c r="C333" s="8"/>
      <c r="D333" s="7"/>
      <c r="E333" s="9"/>
      <c r="F333" s="7"/>
      <c r="G333" s="7"/>
      <c r="H333" s="7"/>
      <c r="I333" s="7"/>
      <c r="J333" s="7"/>
      <c r="K333" s="7"/>
      <c r="L333" s="7"/>
      <c r="M333" s="7"/>
      <c r="N333" s="7"/>
      <c r="O333" s="10"/>
      <c r="P333" s="10"/>
      <c r="V333" s="11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3"/>
    </row>
    <row r="334" spans="1:34" ht="77.25" customHeight="1" thickBot="1" x14ac:dyDescent="0.2">
      <c r="A334" s="6"/>
      <c r="B334" s="7"/>
      <c r="C334" s="8"/>
      <c r="D334" s="7"/>
      <c r="E334" s="9"/>
      <c r="F334" s="7"/>
      <c r="G334" s="7"/>
      <c r="H334" s="7"/>
      <c r="I334" s="7"/>
      <c r="J334" s="7"/>
      <c r="K334" s="7"/>
      <c r="L334" s="7"/>
      <c r="M334" s="7"/>
      <c r="N334" s="7"/>
      <c r="O334" s="10"/>
      <c r="P334" s="10"/>
      <c r="V334" s="11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3"/>
    </row>
    <row r="335" spans="1:34" ht="77.25" customHeight="1" thickBot="1" x14ac:dyDescent="0.2">
      <c r="A335" s="6"/>
      <c r="B335" s="7"/>
      <c r="C335" s="8"/>
      <c r="D335" s="7"/>
      <c r="E335" s="9"/>
      <c r="F335" s="7"/>
      <c r="G335" s="7"/>
      <c r="H335" s="7"/>
      <c r="I335" s="7"/>
      <c r="J335" s="7"/>
      <c r="K335" s="7"/>
      <c r="L335" s="7"/>
      <c r="M335" s="7"/>
      <c r="N335" s="7"/>
      <c r="O335" s="10"/>
      <c r="P335" s="10"/>
      <c r="V335" s="11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3"/>
    </row>
    <row r="336" spans="1:34" ht="77.25" customHeight="1" thickBot="1" x14ac:dyDescent="0.2">
      <c r="A336" s="6"/>
      <c r="B336" s="7"/>
      <c r="C336" s="8"/>
      <c r="D336" s="7"/>
      <c r="E336" s="9"/>
      <c r="F336" s="7"/>
      <c r="G336" s="7"/>
      <c r="H336" s="7"/>
      <c r="I336" s="7"/>
      <c r="J336" s="7"/>
      <c r="K336" s="7"/>
      <c r="L336" s="7"/>
      <c r="M336" s="7"/>
      <c r="N336" s="7"/>
      <c r="O336" s="10"/>
      <c r="P336" s="10"/>
      <c r="V336" s="11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3"/>
    </row>
    <row r="337" spans="1:34" ht="77.25" customHeight="1" thickBot="1" x14ac:dyDescent="0.2">
      <c r="A337" s="6"/>
      <c r="B337" s="7"/>
      <c r="C337" s="8"/>
      <c r="D337" s="7"/>
      <c r="E337" s="9"/>
      <c r="F337" s="7"/>
      <c r="G337" s="7"/>
      <c r="H337" s="7"/>
      <c r="I337" s="7"/>
      <c r="J337" s="7"/>
      <c r="K337" s="7"/>
      <c r="L337" s="7"/>
      <c r="M337" s="7"/>
      <c r="N337" s="7"/>
      <c r="O337" s="10"/>
      <c r="P337" s="10"/>
      <c r="V337" s="11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3"/>
    </row>
    <row r="338" spans="1:34" ht="77.25" customHeight="1" thickBot="1" x14ac:dyDescent="0.2">
      <c r="A338" s="6"/>
      <c r="B338" s="7"/>
      <c r="C338" s="8"/>
      <c r="D338" s="7"/>
      <c r="E338" s="9"/>
      <c r="F338" s="7"/>
      <c r="G338" s="7"/>
      <c r="H338" s="7"/>
      <c r="I338" s="7"/>
      <c r="J338" s="7"/>
      <c r="K338" s="7"/>
      <c r="L338" s="7"/>
      <c r="M338" s="7"/>
      <c r="N338" s="7"/>
      <c r="O338" s="10"/>
      <c r="P338" s="10"/>
      <c r="V338" s="11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3"/>
    </row>
    <row r="339" spans="1:34" ht="77.25" customHeight="1" thickBot="1" x14ac:dyDescent="0.2">
      <c r="A339" s="6"/>
      <c r="B339" s="7"/>
      <c r="C339" s="8"/>
      <c r="D339" s="7"/>
      <c r="E339" s="9"/>
      <c r="F339" s="7"/>
      <c r="G339" s="7"/>
      <c r="H339" s="7"/>
      <c r="I339" s="7"/>
      <c r="J339" s="7"/>
      <c r="K339" s="7"/>
      <c r="L339" s="7"/>
      <c r="M339" s="7"/>
      <c r="N339" s="7"/>
      <c r="O339" s="10"/>
      <c r="P339" s="10"/>
      <c r="V339" s="11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3"/>
    </row>
    <row r="340" spans="1:34" ht="77.25" customHeight="1" thickBot="1" x14ac:dyDescent="0.2">
      <c r="A340" s="6"/>
      <c r="B340" s="7"/>
      <c r="C340" s="8"/>
      <c r="D340" s="7"/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10"/>
      <c r="P340" s="10"/>
      <c r="V340" s="11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3"/>
    </row>
    <row r="341" spans="1:34" ht="77.25" customHeight="1" thickBot="1" x14ac:dyDescent="0.2">
      <c r="A341" s="6"/>
      <c r="B341" s="7"/>
      <c r="C341" s="8"/>
      <c r="D341" s="7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10"/>
      <c r="P341" s="10"/>
      <c r="V341" s="11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3"/>
    </row>
    <row r="342" spans="1:34" ht="77.25" customHeight="1" thickBot="1" x14ac:dyDescent="0.2">
      <c r="A342" s="6"/>
      <c r="B342" s="7"/>
      <c r="C342" s="8"/>
      <c r="D342" s="7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10"/>
      <c r="P342" s="10"/>
      <c r="V342" s="11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3"/>
    </row>
    <row r="343" spans="1:34" ht="77.25" customHeight="1" thickBot="1" x14ac:dyDescent="0.2">
      <c r="A343" s="6"/>
      <c r="B343" s="7"/>
      <c r="C343" s="8"/>
      <c r="D343" s="7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10"/>
      <c r="P343" s="10"/>
      <c r="V343" s="11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3"/>
    </row>
    <row r="344" spans="1:34" ht="77.25" customHeight="1" thickBot="1" x14ac:dyDescent="0.2">
      <c r="A344" s="6"/>
      <c r="B344" s="7"/>
      <c r="C344" s="8"/>
      <c r="D344" s="7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10"/>
      <c r="P344" s="10"/>
      <c r="V344" s="11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3"/>
    </row>
    <row r="345" spans="1:34" ht="77.25" customHeight="1" thickBot="1" x14ac:dyDescent="0.2">
      <c r="A345" s="6"/>
      <c r="B345" s="7"/>
      <c r="C345" s="8"/>
      <c r="D345" s="7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10"/>
      <c r="P345" s="10"/>
      <c r="V345" s="11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3"/>
    </row>
    <row r="346" spans="1:34" ht="77.25" customHeight="1" thickBot="1" x14ac:dyDescent="0.2">
      <c r="A346" s="6"/>
      <c r="B346" s="7"/>
      <c r="C346" s="8"/>
      <c r="D346" s="7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10"/>
      <c r="P346" s="10"/>
      <c r="V346" s="11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3"/>
    </row>
    <row r="347" spans="1:34" ht="77.25" customHeight="1" thickBot="1" x14ac:dyDescent="0.2">
      <c r="A347" s="6"/>
      <c r="B347" s="7"/>
      <c r="C347" s="8"/>
      <c r="D347" s="7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10"/>
      <c r="P347" s="10"/>
      <c r="V347" s="11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3"/>
    </row>
    <row r="348" spans="1:34" ht="77.25" customHeight="1" thickBot="1" x14ac:dyDescent="0.2">
      <c r="A348" s="6"/>
      <c r="B348" s="7"/>
      <c r="C348" s="8"/>
      <c r="D348" s="7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10"/>
      <c r="P348" s="10"/>
      <c r="V348" s="11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3"/>
    </row>
    <row r="349" spans="1:34" ht="77.25" customHeight="1" thickBot="1" x14ac:dyDescent="0.2">
      <c r="A349" s="6"/>
      <c r="B349" s="7"/>
      <c r="C349" s="8"/>
      <c r="D349" s="7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10"/>
      <c r="P349" s="10"/>
      <c r="V349" s="11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3"/>
    </row>
    <row r="350" spans="1:34" ht="77.25" customHeight="1" thickBot="1" x14ac:dyDescent="0.2">
      <c r="A350" s="6"/>
      <c r="B350" s="7"/>
      <c r="C350" s="8"/>
      <c r="D350" s="7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10"/>
      <c r="P350" s="10"/>
      <c r="V350" s="11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3"/>
    </row>
    <row r="351" spans="1:34" ht="77.25" customHeight="1" thickBot="1" x14ac:dyDescent="0.2">
      <c r="A351" s="6"/>
      <c r="B351" s="7"/>
      <c r="C351" s="8"/>
      <c r="D351" s="7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10"/>
      <c r="P351" s="10"/>
      <c r="V351" s="11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3"/>
    </row>
    <row r="352" spans="1:34" ht="77.25" customHeight="1" thickBot="1" x14ac:dyDescent="0.2">
      <c r="A352" s="6"/>
      <c r="B352" s="7"/>
      <c r="C352" s="8"/>
      <c r="D352" s="7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10"/>
      <c r="P352" s="10"/>
      <c r="V352" s="11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3"/>
    </row>
    <row r="353" spans="1:34" ht="77.25" customHeight="1" thickBot="1" x14ac:dyDescent="0.2">
      <c r="A353" s="6"/>
      <c r="B353" s="7"/>
      <c r="C353" s="8"/>
      <c r="D353" s="7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10"/>
      <c r="P353" s="10"/>
      <c r="V353" s="11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3"/>
    </row>
    <row r="354" spans="1:34" ht="77.25" customHeight="1" thickBot="1" x14ac:dyDescent="0.2">
      <c r="A354" s="6"/>
      <c r="B354" s="7"/>
      <c r="C354" s="8"/>
      <c r="D354" s="7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10"/>
      <c r="P354" s="10"/>
      <c r="V354" s="11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3"/>
    </row>
    <row r="355" spans="1:34" ht="77.25" customHeight="1" thickBot="1" x14ac:dyDescent="0.2">
      <c r="A355" s="6"/>
      <c r="B355" s="7"/>
      <c r="C355" s="8"/>
      <c r="D355" s="7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10"/>
      <c r="P355" s="10"/>
      <c r="V355" s="11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3"/>
    </row>
    <row r="356" spans="1:34" ht="77.25" customHeight="1" thickBot="1" x14ac:dyDescent="0.2">
      <c r="A356" s="6"/>
      <c r="B356" s="7"/>
      <c r="C356" s="8"/>
      <c r="D356" s="7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10"/>
      <c r="P356" s="10"/>
      <c r="V356" s="11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3"/>
    </row>
    <row r="357" spans="1:34" ht="77.25" customHeight="1" thickBot="1" x14ac:dyDescent="0.2">
      <c r="A357" s="6"/>
      <c r="B357" s="7"/>
      <c r="C357" s="8"/>
      <c r="D357" s="7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10"/>
      <c r="P357" s="10"/>
      <c r="V357" s="11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3"/>
    </row>
    <row r="358" spans="1:34" ht="77.25" customHeight="1" thickBot="1" x14ac:dyDescent="0.2">
      <c r="A358" s="6"/>
      <c r="B358" s="7"/>
      <c r="C358" s="8"/>
      <c r="D358" s="7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10"/>
      <c r="P358" s="10"/>
      <c r="V358" s="11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3"/>
    </row>
    <row r="359" spans="1:34" ht="77.25" customHeight="1" thickBot="1" x14ac:dyDescent="0.2">
      <c r="A359" s="6"/>
      <c r="B359" s="7"/>
      <c r="C359" s="8"/>
      <c r="D359" s="7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10"/>
      <c r="P359" s="10"/>
      <c r="V359" s="11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3"/>
    </row>
    <row r="360" spans="1:34" ht="77.25" customHeight="1" thickBot="1" x14ac:dyDescent="0.2">
      <c r="A360" s="6"/>
      <c r="B360" s="7"/>
      <c r="C360" s="8"/>
      <c r="D360" s="7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10"/>
      <c r="P360" s="10"/>
      <c r="V360" s="11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3"/>
    </row>
    <row r="361" spans="1:34" ht="77.25" customHeight="1" thickBot="1" x14ac:dyDescent="0.2">
      <c r="A361" s="6"/>
      <c r="B361" s="7"/>
      <c r="C361" s="8"/>
      <c r="D361" s="7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10"/>
      <c r="P361" s="10"/>
      <c r="V361" s="11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3"/>
    </row>
    <row r="362" spans="1:34" ht="77.25" customHeight="1" thickBot="1" x14ac:dyDescent="0.2">
      <c r="A362" s="6"/>
      <c r="B362" s="7"/>
      <c r="C362" s="8"/>
      <c r="D362" s="7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10"/>
      <c r="P362" s="10"/>
      <c r="V362" s="11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3"/>
    </row>
    <row r="363" spans="1:34" ht="77.25" customHeight="1" thickBot="1" x14ac:dyDescent="0.2">
      <c r="A363" s="6"/>
      <c r="B363" s="7"/>
      <c r="C363" s="8"/>
      <c r="D363" s="7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10"/>
      <c r="P363" s="10"/>
      <c r="V363" s="11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3"/>
    </row>
    <row r="364" spans="1:34" ht="77.25" customHeight="1" thickBot="1" x14ac:dyDescent="0.2">
      <c r="A364" s="6"/>
      <c r="B364" s="7"/>
      <c r="C364" s="8"/>
      <c r="D364" s="7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10"/>
      <c r="P364" s="10"/>
      <c r="V364" s="11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3"/>
    </row>
    <row r="365" spans="1:34" ht="77.25" customHeight="1" thickBot="1" x14ac:dyDescent="0.2">
      <c r="A365" s="6"/>
      <c r="B365" s="7"/>
      <c r="C365" s="8"/>
      <c r="D365" s="7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10"/>
      <c r="P365" s="10"/>
      <c r="V365" s="11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3"/>
    </row>
    <row r="366" spans="1:34" ht="77.25" customHeight="1" thickBot="1" x14ac:dyDescent="0.2">
      <c r="A366" s="6"/>
      <c r="B366" s="7"/>
      <c r="C366" s="8"/>
      <c r="D366" s="7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10"/>
      <c r="P366" s="10"/>
      <c r="V366" s="11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3"/>
    </row>
    <row r="367" spans="1:34" ht="77.25" customHeight="1" thickBot="1" x14ac:dyDescent="0.2">
      <c r="A367" s="6"/>
      <c r="B367" s="7"/>
      <c r="C367" s="8"/>
      <c r="D367" s="7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10"/>
      <c r="P367" s="10"/>
      <c r="V367" s="11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3"/>
    </row>
    <row r="368" spans="1:34" ht="77.25" customHeight="1" thickBot="1" x14ac:dyDescent="0.2">
      <c r="A368" s="6"/>
      <c r="B368" s="7"/>
      <c r="C368" s="8"/>
      <c r="D368" s="7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10"/>
      <c r="P368" s="10"/>
      <c r="V368" s="11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3"/>
    </row>
    <row r="369" spans="1:34" ht="77.25" customHeight="1" thickBot="1" x14ac:dyDescent="0.2">
      <c r="A369" s="6"/>
      <c r="B369" s="7"/>
      <c r="C369" s="8"/>
      <c r="D369" s="7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10"/>
      <c r="P369" s="10"/>
      <c r="V369" s="11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3"/>
    </row>
    <row r="370" spans="1:34" ht="77.25" customHeight="1" thickBot="1" x14ac:dyDescent="0.2">
      <c r="A370" s="6"/>
      <c r="B370" s="7"/>
      <c r="C370" s="8"/>
      <c r="D370" s="7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10"/>
      <c r="P370" s="10"/>
      <c r="V370" s="11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3"/>
    </row>
    <row r="371" spans="1:34" ht="77.25" customHeight="1" thickBot="1" x14ac:dyDescent="0.2">
      <c r="A371" s="6"/>
      <c r="B371" s="7"/>
      <c r="C371" s="8"/>
      <c r="D371" s="7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10"/>
      <c r="P371" s="10"/>
      <c r="V371" s="11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3"/>
    </row>
    <row r="372" spans="1:34" ht="77.25" customHeight="1" thickBot="1" x14ac:dyDescent="0.2">
      <c r="A372" s="6"/>
      <c r="B372" s="7"/>
      <c r="C372" s="8"/>
      <c r="D372" s="7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10"/>
      <c r="P372" s="10"/>
      <c r="V372" s="11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3"/>
    </row>
    <row r="373" spans="1:34" ht="77.25" customHeight="1" thickBot="1" x14ac:dyDescent="0.2">
      <c r="A373" s="6"/>
      <c r="B373" s="7"/>
      <c r="C373" s="8"/>
      <c r="D373" s="7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10"/>
      <c r="P373" s="10"/>
      <c r="V373" s="11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3"/>
    </row>
    <row r="374" spans="1:34" ht="77.25" customHeight="1" thickBot="1" x14ac:dyDescent="0.2">
      <c r="A374" s="6"/>
      <c r="B374" s="7"/>
      <c r="C374" s="8"/>
      <c r="D374" s="7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10"/>
      <c r="P374" s="10"/>
      <c r="V374" s="11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3"/>
    </row>
    <row r="375" spans="1:34" ht="77.25" customHeight="1" thickBot="1" x14ac:dyDescent="0.2">
      <c r="A375" s="6"/>
      <c r="B375" s="7"/>
      <c r="C375" s="8"/>
      <c r="D375" s="7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10"/>
      <c r="P375" s="10"/>
      <c r="V375" s="11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3"/>
    </row>
    <row r="376" spans="1:34" ht="77.25" customHeight="1" thickBot="1" x14ac:dyDescent="0.2">
      <c r="A376" s="6"/>
      <c r="B376" s="7"/>
      <c r="C376" s="8"/>
      <c r="D376" s="7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10"/>
      <c r="P376" s="10"/>
      <c r="V376" s="11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3"/>
    </row>
    <row r="377" spans="1:34" ht="77.25" customHeight="1" thickBot="1" x14ac:dyDescent="0.2">
      <c r="A377" s="6"/>
      <c r="B377" s="7"/>
      <c r="C377" s="8"/>
      <c r="D377" s="7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10"/>
      <c r="P377" s="10"/>
      <c r="V377" s="11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3"/>
    </row>
    <row r="378" spans="1:34" ht="77.25" customHeight="1" thickBot="1" x14ac:dyDescent="0.2">
      <c r="A378" s="6"/>
      <c r="B378" s="7"/>
      <c r="C378" s="8"/>
      <c r="D378" s="7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10"/>
      <c r="P378" s="10"/>
      <c r="V378" s="11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3"/>
    </row>
    <row r="379" spans="1:34" ht="77.25" customHeight="1" thickBot="1" x14ac:dyDescent="0.2">
      <c r="A379" s="6"/>
      <c r="B379" s="7"/>
      <c r="C379" s="8"/>
      <c r="D379" s="7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10"/>
      <c r="P379" s="10"/>
      <c r="V379" s="11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3"/>
    </row>
    <row r="380" spans="1:34" ht="77.25" customHeight="1" thickBot="1" x14ac:dyDescent="0.2">
      <c r="A380" s="6"/>
      <c r="B380" s="7"/>
      <c r="C380" s="8"/>
      <c r="D380" s="7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10"/>
      <c r="P380" s="10"/>
      <c r="V380" s="11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3"/>
    </row>
    <row r="381" spans="1:34" ht="77.25" customHeight="1" thickBot="1" x14ac:dyDescent="0.2">
      <c r="A381" s="6"/>
      <c r="B381" s="7"/>
      <c r="C381" s="8"/>
      <c r="D381" s="7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10"/>
      <c r="P381" s="10"/>
      <c r="V381" s="11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3"/>
    </row>
    <row r="382" spans="1:34" ht="77.25" customHeight="1" thickBot="1" x14ac:dyDescent="0.2">
      <c r="A382" s="6"/>
      <c r="B382" s="7"/>
      <c r="C382" s="8"/>
      <c r="D382" s="7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10"/>
      <c r="P382" s="10"/>
      <c r="V382" s="11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3"/>
    </row>
    <row r="383" spans="1:34" ht="77.25" customHeight="1" thickBot="1" x14ac:dyDescent="0.2">
      <c r="A383" s="6"/>
      <c r="B383" s="7"/>
      <c r="C383" s="8"/>
      <c r="D383" s="7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10"/>
      <c r="P383" s="10"/>
      <c r="V383" s="11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3"/>
    </row>
    <row r="384" spans="1:34" ht="77.25" customHeight="1" thickBot="1" x14ac:dyDescent="0.2">
      <c r="A384" s="6"/>
      <c r="B384" s="7"/>
      <c r="C384" s="8"/>
      <c r="D384" s="7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10"/>
      <c r="P384" s="10"/>
      <c r="V384" s="11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3"/>
    </row>
    <row r="385" spans="1:34" ht="77.25" customHeight="1" thickBot="1" x14ac:dyDescent="0.2">
      <c r="A385" s="6"/>
      <c r="B385" s="7"/>
      <c r="C385" s="8"/>
      <c r="D385" s="7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10"/>
      <c r="P385" s="10"/>
      <c r="V385" s="11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3"/>
    </row>
    <row r="386" spans="1:34" ht="77.25" customHeight="1" thickBot="1" x14ac:dyDescent="0.2">
      <c r="A386" s="6"/>
      <c r="B386" s="7"/>
      <c r="C386" s="8"/>
      <c r="D386" s="7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10"/>
      <c r="P386" s="10"/>
      <c r="V386" s="11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3"/>
    </row>
    <row r="387" spans="1:34" ht="77.25" customHeight="1" thickBot="1" x14ac:dyDescent="0.2">
      <c r="A387" s="6"/>
      <c r="B387" s="7"/>
      <c r="C387" s="8"/>
      <c r="D387" s="7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10"/>
      <c r="P387" s="10"/>
      <c r="V387" s="11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3"/>
    </row>
    <row r="388" spans="1:34" ht="77.25" customHeight="1" thickBot="1" x14ac:dyDescent="0.2">
      <c r="A388" s="6"/>
      <c r="B388" s="7"/>
      <c r="C388" s="8"/>
      <c r="D388" s="7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10"/>
      <c r="P388" s="10"/>
      <c r="V388" s="11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3"/>
    </row>
    <row r="389" spans="1:34" ht="77.25" customHeight="1" thickBot="1" x14ac:dyDescent="0.2">
      <c r="A389" s="6"/>
      <c r="B389" s="7"/>
      <c r="C389" s="8"/>
      <c r="D389" s="7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10"/>
      <c r="P389" s="10"/>
      <c r="V389" s="11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3"/>
    </row>
    <row r="390" spans="1:34" ht="77.25" customHeight="1" thickBot="1" x14ac:dyDescent="0.2">
      <c r="A390" s="6"/>
      <c r="B390" s="7"/>
      <c r="C390" s="8"/>
      <c r="D390" s="7"/>
      <c r="E390" s="9"/>
      <c r="F390" s="7"/>
      <c r="G390" s="7"/>
      <c r="H390" s="7"/>
      <c r="I390" s="7"/>
      <c r="J390" s="7"/>
      <c r="K390" s="7"/>
      <c r="L390" s="7"/>
      <c r="M390" s="7"/>
      <c r="N390" s="7"/>
      <c r="O390" s="10"/>
      <c r="P390" s="10"/>
      <c r="V390" s="11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3"/>
    </row>
    <row r="391" spans="1:34" ht="77.25" customHeight="1" thickBot="1" x14ac:dyDescent="0.2">
      <c r="A391" s="6"/>
      <c r="B391" s="7"/>
      <c r="C391" s="8"/>
      <c r="D391" s="7"/>
      <c r="E391" s="9"/>
      <c r="F391" s="7"/>
      <c r="G391" s="7"/>
      <c r="H391" s="7"/>
      <c r="I391" s="7"/>
      <c r="J391" s="7"/>
      <c r="K391" s="7"/>
      <c r="L391" s="7"/>
      <c r="M391" s="7"/>
      <c r="N391" s="7"/>
      <c r="O391" s="10"/>
      <c r="P391" s="10"/>
      <c r="V391" s="11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3"/>
    </row>
    <row r="392" spans="1:34" ht="77.25" customHeight="1" thickBot="1" x14ac:dyDescent="0.2">
      <c r="A392" s="6"/>
      <c r="B392" s="7"/>
      <c r="C392" s="8"/>
      <c r="D392" s="7"/>
      <c r="E392" s="9"/>
      <c r="F392" s="7"/>
      <c r="G392" s="7"/>
      <c r="H392" s="7"/>
      <c r="I392" s="7"/>
      <c r="J392" s="7"/>
      <c r="K392" s="7"/>
      <c r="L392" s="7"/>
      <c r="M392" s="7"/>
      <c r="N392" s="7"/>
      <c r="O392" s="10"/>
      <c r="P392" s="10"/>
      <c r="V392" s="11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3"/>
    </row>
    <row r="393" spans="1:34" ht="77.25" customHeight="1" thickBot="1" x14ac:dyDescent="0.2">
      <c r="A393" s="6"/>
      <c r="B393" s="7"/>
      <c r="C393" s="8"/>
      <c r="D393" s="7"/>
      <c r="E393" s="9"/>
      <c r="F393" s="7"/>
      <c r="G393" s="7"/>
      <c r="H393" s="7"/>
      <c r="I393" s="7"/>
      <c r="J393" s="7"/>
      <c r="K393" s="7"/>
      <c r="L393" s="7"/>
      <c r="M393" s="7"/>
      <c r="N393" s="7"/>
      <c r="O393" s="10"/>
      <c r="P393" s="10"/>
      <c r="V393" s="11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3"/>
    </row>
    <row r="394" spans="1:34" ht="77.25" customHeight="1" thickBot="1" x14ac:dyDescent="0.2">
      <c r="A394" s="6"/>
      <c r="B394" s="7"/>
      <c r="C394" s="8"/>
      <c r="D394" s="7"/>
      <c r="E394" s="9"/>
      <c r="F394" s="7"/>
      <c r="G394" s="7"/>
      <c r="H394" s="7"/>
      <c r="I394" s="7"/>
      <c r="J394" s="7"/>
      <c r="K394" s="7"/>
      <c r="L394" s="7"/>
      <c r="M394" s="7"/>
      <c r="N394" s="7"/>
      <c r="O394" s="10"/>
      <c r="P394" s="10"/>
      <c r="V394" s="11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3"/>
    </row>
    <row r="395" spans="1:34" ht="77.25" customHeight="1" thickBot="1" x14ac:dyDescent="0.2">
      <c r="A395" s="6"/>
      <c r="B395" s="7"/>
      <c r="C395" s="8"/>
      <c r="D395" s="7"/>
      <c r="E395" s="9"/>
      <c r="F395" s="7"/>
      <c r="G395" s="7"/>
      <c r="H395" s="7"/>
      <c r="I395" s="7"/>
      <c r="J395" s="7"/>
      <c r="K395" s="7"/>
      <c r="L395" s="7"/>
      <c r="M395" s="7"/>
      <c r="N395" s="7"/>
      <c r="O395" s="10"/>
      <c r="P395" s="10"/>
      <c r="V395" s="11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3"/>
    </row>
    <row r="396" spans="1:34" ht="77.25" customHeight="1" thickBot="1" x14ac:dyDescent="0.2">
      <c r="A396" s="6"/>
      <c r="B396" s="7"/>
      <c r="C396" s="8"/>
      <c r="D396" s="7"/>
      <c r="E396" s="9"/>
      <c r="F396" s="7"/>
      <c r="G396" s="7"/>
      <c r="H396" s="7"/>
      <c r="I396" s="7"/>
      <c r="J396" s="7"/>
      <c r="K396" s="7"/>
      <c r="L396" s="7"/>
      <c r="M396" s="7"/>
      <c r="N396" s="7"/>
      <c r="O396" s="10"/>
      <c r="P396" s="10"/>
      <c r="V396" s="11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3"/>
    </row>
    <row r="397" spans="1:34" ht="77.25" customHeight="1" thickBot="1" x14ac:dyDescent="0.2">
      <c r="A397" s="6"/>
      <c r="B397" s="7"/>
      <c r="C397" s="8"/>
      <c r="D397" s="7"/>
      <c r="E397" s="9"/>
      <c r="F397" s="7"/>
      <c r="G397" s="7"/>
      <c r="H397" s="7"/>
      <c r="I397" s="7"/>
      <c r="J397" s="7"/>
      <c r="K397" s="7"/>
      <c r="L397" s="7"/>
      <c r="M397" s="7"/>
      <c r="N397" s="7"/>
      <c r="O397" s="10"/>
      <c r="P397" s="10"/>
      <c r="V397" s="11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3"/>
    </row>
    <row r="398" spans="1:34" ht="77.25" customHeight="1" thickBot="1" x14ac:dyDescent="0.2">
      <c r="A398" s="6"/>
      <c r="B398" s="7"/>
      <c r="C398" s="8"/>
      <c r="D398" s="7"/>
      <c r="E398" s="9"/>
      <c r="F398" s="7"/>
      <c r="G398" s="7"/>
      <c r="H398" s="7"/>
      <c r="I398" s="7"/>
      <c r="J398" s="7"/>
      <c r="K398" s="7"/>
      <c r="L398" s="7"/>
      <c r="M398" s="7"/>
      <c r="N398" s="7"/>
      <c r="O398" s="10"/>
      <c r="P398" s="10"/>
      <c r="V398" s="11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3"/>
    </row>
    <row r="399" spans="1:34" ht="77.25" customHeight="1" thickBot="1" x14ac:dyDescent="0.2">
      <c r="A399" s="6"/>
      <c r="B399" s="7"/>
      <c r="C399" s="8"/>
      <c r="D399" s="7"/>
      <c r="E399" s="9"/>
      <c r="F399" s="7"/>
      <c r="G399" s="7"/>
      <c r="H399" s="7"/>
      <c r="I399" s="7"/>
      <c r="J399" s="7"/>
      <c r="K399" s="7"/>
      <c r="L399" s="7"/>
      <c r="M399" s="7"/>
      <c r="N399" s="7"/>
      <c r="O399" s="10"/>
      <c r="P399" s="10"/>
      <c r="V399" s="11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3"/>
    </row>
    <row r="400" spans="1:34" ht="77.25" customHeight="1" thickBot="1" x14ac:dyDescent="0.2">
      <c r="A400" s="6"/>
      <c r="B400" s="7"/>
      <c r="C400" s="8"/>
      <c r="D400" s="7"/>
      <c r="E400" s="9"/>
      <c r="F400" s="7"/>
      <c r="G400" s="7"/>
      <c r="H400" s="7"/>
      <c r="I400" s="7"/>
      <c r="J400" s="7"/>
      <c r="K400" s="7"/>
      <c r="L400" s="7"/>
      <c r="M400" s="7"/>
      <c r="N400" s="7"/>
      <c r="O400" s="10"/>
      <c r="P400" s="10"/>
      <c r="V400" s="11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3"/>
    </row>
    <row r="401" spans="1:34" ht="77.25" customHeight="1" thickBot="1" x14ac:dyDescent="0.2">
      <c r="A401" s="6"/>
      <c r="B401" s="7"/>
      <c r="C401" s="8"/>
      <c r="D401" s="7"/>
      <c r="E401" s="9"/>
      <c r="F401" s="7"/>
      <c r="G401" s="7"/>
      <c r="H401" s="7"/>
      <c r="I401" s="7"/>
      <c r="J401" s="7"/>
      <c r="K401" s="7"/>
      <c r="L401" s="7"/>
      <c r="M401" s="7"/>
      <c r="N401" s="7"/>
      <c r="O401" s="10"/>
      <c r="P401" s="10"/>
      <c r="V401" s="11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3"/>
    </row>
    <row r="402" spans="1:34" ht="77.25" customHeight="1" thickBot="1" x14ac:dyDescent="0.2">
      <c r="A402" s="6"/>
      <c r="B402" s="7"/>
      <c r="C402" s="8"/>
      <c r="D402" s="7"/>
      <c r="E402" s="9"/>
      <c r="F402" s="7"/>
      <c r="G402" s="7"/>
      <c r="H402" s="7"/>
      <c r="I402" s="7"/>
      <c r="J402" s="7"/>
      <c r="K402" s="7"/>
      <c r="L402" s="7"/>
      <c r="M402" s="7"/>
      <c r="N402" s="7"/>
      <c r="O402" s="10"/>
      <c r="P402" s="10"/>
      <c r="V402" s="11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3"/>
    </row>
    <row r="403" spans="1:34" ht="77.25" customHeight="1" thickBot="1" x14ac:dyDescent="0.2">
      <c r="A403" s="6"/>
      <c r="B403" s="7"/>
      <c r="C403" s="8"/>
      <c r="D403" s="7"/>
      <c r="E403" s="9"/>
      <c r="F403" s="7"/>
      <c r="G403" s="7"/>
      <c r="H403" s="7"/>
      <c r="I403" s="7"/>
      <c r="J403" s="7"/>
      <c r="K403" s="7"/>
      <c r="L403" s="7"/>
      <c r="M403" s="7"/>
      <c r="N403" s="7"/>
      <c r="O403" s="10"/>
      <c r="P403" s="10"/>
      <c r="V403" s="11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3"/>
    </row>
    <row r="404" spans="1:34" ht="77.25" customHeight="1" thickBot="1" x14ac:dyDescent="0.2">
      <c r="A404" s="6"/>
      <c r="B404" s="7"/>
      <c r="C404" s="8"/>
      <c r="D404" s="7"/>
      <c r="E404" s="9"/>
      <c r="F404" s="7"/>
      <c r="G404" s="7"/>
      <c r="H404" s="7"/>
      <c r="I404" s="7"/>
      <c r="J404" s="7"/>
      <c r="K404" s="7"/>
      <c r="L404" s="7"/>
      <c r="M404" s="7"/>
      <c r="N404" s="7"/>
      <c r="O404" s="10"/>
      <c r="P404" s="10"/>
      <c r="V404" s="11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3"/>
    </row>
    <row r="405" spans="1:34" ht="77.25" customHeight="1" thickBot="1" x14ac:dyDescent="0.2">
      <c r="A405" s="6"/>
      <c r="B405" s="7"/>
      <c r="C405" s="8"/>
      <c r="D405" s="7"/>
      <c r="E405" s="9"/>
      <c r="F405" s="7"/>
      <c r="G405" s="7"/>
      <c r="H405" s="7"/>
      <c r="I405" s="7"/>
      <c r="J405" s="7"/>
      <c r="K405" s="7"/>
      <c r="L405" s="7"/>
      <c r="M405" s="7"/>
      <c r="N405" s="7"/>
      <c r="O405" s="10"/>
      <c r="P405" s="10"/>
      <c r="V405" s="11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3"/>
    </row>
    <row r="406" spans="1:34" ht="77.25" customHeight="1" thickBot="1" x14ac:dyDescent="0.2">
      <c r="A406" s="6"/>
      <c r="B406" s="7"/>
      <c r="C406" s="8"/>
      <c r="D406" s="7"/>
      <c r="E406" s="9"/>
      <c r="F406" s="7"/>
      <c r="G406" s="7"/>
      <c r="H406" s="7"/>
      <c r="I406" s="7"/>
      <c r="J406" s="7"/>
      <c r="K406" s="7"/>
      <c r="L406" s="7"/>
      <c r="M406" s="7"/>
      <c r="N406" s="7"/>
      <c r="O406" s="10"/>
      <c r="P406" s="10"/>
      <c r="V406" s="11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3"/>
    </row>
    <row r="407" spans="1:34" ht="77.25" customHeight="1" thickBot="1" x14ac:dyDescent="0.2">
      <c r="A407" s="6"/>
      <c r="B407" s="7"/>
      <c r="C407" s="8"/>
      <c r="D407" s="7"/>
      <c r="E407" s="9"/>
      <c r="F407" s="7"/>
      <c r="G407" s="7"/>
      <c r="H407" s="7"/>
      <c r="I407" s="7"/>
      <c r="J407" s="7"/>
      <c r="K407" s="7"/>
      <c r="L407" s="7"/>
      <c r="M407" s="7"/>
      <c r="N407" s="7"/>
      <c r="O407" s="10"/>
      <c r="P407" s="10"/>
      <c r="V407" s="11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3"/>
    </row>
    <row r="408" spans="1:34" ht="77.25" customHeight="1" thickBot="1" x14ac:dyDescent="0.2">
      <c r="A408" s="6"/>
      <c r="B408" s="7"/>
      <c r="C408" s="8"/>
      <c r="D408" s="7"/>
      <c r="E408" s="9"/>
      <c r="F408" s="7"/>
      <c r="G408" s="7"/>
      <c r="H408" s="7"/>
      <c r="I408" s="7"/>
      <c r="J408" s="7"/>
      <c r="K408" s="7"/>
      <c r="L408" s="7"/>
      <c r="M408" s="7"/>
      <c r="N408" s="7"/>
      <c r="O408" s="10"/>
      <c r="P408" s="10"/>
      <c r="V408" s="11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3"/>
    </row>
    <row r="409" spans="1:34" ht="77.25" customHeight="1" thickBot="1" x14ac:dyDescent="0.2">
      <c r="A409" s="6"/>
      <c r="B409" s="7"/>
      <c r="C409" s="8"/>
      <c r="D409" s="7"/>
      <c r="E409" s="9"/>
      <c r="F409" s="7"/>
      <c r="G409" s="7"/>
      <c r="H409" s="7"/>
      <c r="I409" s="7"/>
      <c r="J409" s="7"/>
      <c r="K409" s="7"/>
      <c r="L409" s="7"/>
      <c r="M409" s="7"/>
      <c r="N409" s="7"/>
      <c r="O409" s="10"/>
      <c r="P409" s="10"/>
      <c r="V409" s="11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3"/>
    </row>
    <row r="410" spans="1:34" ht="77.25" customHeight="1" thickBot="1" x14ac:dyDescent="0.2">
      <c r="A410" s="6"/>
      <c r="B410" s="7"/>
      <c r="C410" s="8"/>
      <c r="D410" s="7"/>
      <c r="E410" s="9"/>
      <c r="F410" s="7"/>
      <c r="G410" s="7"/>
      <c r="H410" s="7"/>
      <c r="I410" s="7"/>
      <c r="J410" s="7"/>
      <c r="K410" s="7"/>
      <c r="L410" s="7"/>
      <c r="M410" s="7"/>
      <c r="N410" s="7"/>
      <c r="O410" s="10"/>
      <c r="P410" s="10"/>
      <c r="V410" s="11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3"/>
    </row>
    <row r="411" spans="1:34" ht="77.25" customHeight="1" thickBot="1" x14ac:dyDescent="0.2">
      <c r="A411" s="6"/>
      <c r="B411" s="7"/>
      <c r="C411" s="8"/>
      <c r="D411" s="7"/>
      <c r="E411" s="9"/>
      <c r="F411" s="7"/>
      <c r="G411" s="7"/>
      <c r="H411" s="7"/>
      <c r="I411" s="7"/>
      <c r="J411" s="7"/>
      <c r="K411" s="7"/>
      <c r="L411" s="7"/>
      <c r="M411" s="7"/>
      <c r="N411" s="7"/>
      <c r="O411" s="10"/>
      <c r="P411" s="10"/>
      <c r="V411" s="11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3"/>
    </row>
    <row r="412" spans="1:34" ht="77.25" customHeight="1" thickBot="1" x14ac:dyDescent="0.2">
      <c r="A412" s="6"/>
      <c r="B412" s="7"/>
      <c r="C412" s="8"/>
      <c r="D412" s="7"/>
      <c r="E412" s="9"/>
      <c r="F412" s="7"/>
      <c r="G412" s="7"/>
      <c r="H412" s="7"/>
      <c r="I412" s="7"/>
      <c r="J412" s="7"/>
      <c r="K412" s="7"/>
      <c r="L412" s="7"/>
      <c r="M412" s="7"/>
      <c r="N412" s="7"/>
      <c r="O412" s="10"/>
      <c r="P412" s="10"/>
      <c r="V412" s="11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3"/>
    </row>
    <row r="413" spans="1:34" ht="77.25" customHeight="1" thickBot="1" x14ac:dyDescent="0.2">
      <c r="A413" s="6"/>
      <c r="B413" s="7"/>
      <c r="C413" s="8"/>
      <c r="D413" s="7"/>
      <c r="E413" s="9"/>
      <c r="F413" s="7"/>
      <c r="G413" s="7"/>
      <c r="H413" s="7"/>
      <c r="I413" s="7"/>
      <c r="J413" s="7"/>
      <c r="K413" s="7"/>
      <c r="L413" s="7"/>
      <c r="M413" s="7"/>
      <c r="N413" s="7"/>
      <c r="O413" s="10"/>
      <c r="P413" s="10"/>
      <c r="V413" s="11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3"/>
    </row>
    <row r="414" spans="1:34" ht="77.25" customHeight="1" thickBot="1" x14ac:dyDescent="0.2">
      <c r="A414" s="6"/>
      <c r="B414" s="7"/>
      <c r="C414" s="8"/>
      <c r="D414" s="7"/>
      <c r="E414" s="9"/>
      <c r="F414" s="7"/>
      <c r="G414" s="7"/>
      <c r="H414" s="7"/>
      <c r="I414" s="7"/>
      <c r="J414" s="7"/>
      <c r="K414" s="7"/>
      <c r="L414" s="7"/>
      <c r="M414" s="7"/>
      <c r="N414" s="7"/>
      <c r="O414" s="10"/>
      <c r="P414" s="10"/>
      <c r="V414" s="11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3"/>
    </row>
    <row r="415" spans="1:34" ht="77.25" customHeight="1" thickBot="1" x14ac:dyDescent="0.2">
      <c r="A415" s="6"/>
      <c r="B415" s="7"/>
      <c r="C415" s="8"/>
      <c r="D415" s="7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10"/>
      <c r="P415" s="10"/>
      <c r="V415" s="11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3"/>
    </row>
    <row r="416" spans="1:34" ht="77.25" customHeight="1" thickBot="1" x14ac:dyDescent="0.2">
      <c r="A416" s="6"/>
      <c r="B416" s="7"/>
      <c r="C416" s="8"/>
      <c r="D416" s="7"/>
      <c r="E416" s="9"/>
      <c r="F416" s="7"/>
      <c r="G416" s="7"/>
      <c r="H416" s="7"/>
      <c r="I416" s="7"/>
      <c r="J416" s="7"/>
      <c r="K416" s="7"/>
      <c r="L416" s="7"/>
      <c r="M416" s="7"/>
      <c r="N416" s="7"/>
      <c r="O416" s="10"/>
      <c r="P416" s="10"/>
      <c r="V416" s="11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3"/>
    </row>
    <row r="417" spans="1:34" ht="77.25" customHeight="1" thickBot="1" x14ac:dyDescent="0.2">
      <c r="A417" s="6"/>
      <c r="B417" s="7"/>
      <c r="C417" s="8"/>
      <c r="D417" s="7"/>
      <c r="E417" s="9"/>
      <c r="F417" s="7"/>
      <c r="G417" s="7"/>
      <c r="H417" s="7"/>
      <c r="I417" s="7"/>
      <c r="J417" s="7"/>
      <c r="K417" s="7"/>
      <c r="L417" s="7"/>
      <c r="M417" s="7"/>
      <c r="N417" s="7"/>
      <c r="O417" s="10"/>
      <c r="P417" s="10"/>
      <c r="V417" s="11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3"/>
    </row>
    <row r="418" spans="1:34" ht="77.25" customHeight="1" thickBot="1" x14ac:dyDescent="0.2">
      <c r="A418" s="6"/>
      <c r="B418" s="7"/>
      <c r="C418" s="8"/>
      <c r="D418" s="7"/>
      <c r="E418" s="9"/>
      <c r="F418" s="7"/>
      <c r="G418" s="7"/>
      <c r="H418" s="7"/>
      <c r="I418" s="7"/>
      <c r="J418" s="7"/>
      <c r="K418" s="7"/>
      <c r="L418" s="7"/>
      <c r="M418" s="7"/>
      <c r="N418" s="7"/>
      <c r="O418" s="10"/>
      <c r="P418" s="10"/>
      <c r="V418" s="11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3"/>
    </row>
    <row r="419" spans="1:34" ht="77.25" customHeight="1" thickBot="1" x14ac:dyDescent="0.2">
      <c r="A419" s="6"/>
      <c r="B419" s="7"/>
      <c r="C419" s="8"/>
      <c r="D419" s="7"/>
      <c r="E419" s="9"/>
      <c r="F419" s="7"/>
      <c r="G419" s="7"/>
      <c r="H419" s="7"/>
      <c r="I419" s="7"/>
      <c r="J419" s="7"/>
      <c r="K419" s="7"/>
      <c r="L419" s="7"/>
      <c r="M419" s="7"/>
      <c r="N419" s="7"/>
      <c r="O419" s="10"/>
      <c r="P419" s="10"/>
      <c r="V419" s="11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3"/>
    </row>
    <row r="420" spans="1:34" ht="77.25" customHeight="1" thickBot="1" x14ac:dyDescent="0.2">
      <c r="A420" s="6"/>
      <c r="B420" s="7"/>
      <c r="C420" s="8"/>
      <c r="D420" s="7"/>
      <c r="E420" s="9"/>
      <c r="F420" s="7"/>
      <c r="G420" s="7"/>
      <c r="H420" s="7"/>
      <c r="I420" s="7"/>
      <c r="J420" s="7"/>
      <c r="K420" s="7"/>
      <c r="L420" s="7"/>
      <c r="M420" s="7"/>
      <c r="N420" s="7"/>
      <c r="O420" s="10"/>
      <c r="P420" s="10"/>
      <c r="V420" s="11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3"/>
    </row>
    <row r="421" spans="1:34" ht="77.25" customHeight="1" thickBot="1" x14ac:dyDescent="0.2">
      <c r="A421" s="6"/>
      <c r="B421" s="7"/>
      <c r="C421" s="8"/>
      <c r="D421" s="7"/>
      <c r="E421" s="9"/>
      <c r="F421" s="7"/>
      <c r="G421" s="7"/>
      <c r="H421" s="7"/>
      <c r="I421" s="7"/>
      <c r="J421" s="7"/>
      <c r="K421" s="7"/>
      <c r="L421" s="7"/>
      <c r="M421" s="7"/>
      <c r="N421" s="7"/>
      <c r="O421" s="10"/>
      <c r="P421" s="10"/>
      <c r="V421" s="11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3"/>
    </row>
    <row r="422" spans="1:34" ht="77.25" customHeight="1" thickBot="1" x14ac:dyDescent="0.2">
      <c r="A422" s="6"/>
      <c r="B422" s="7"/>
      <c r="C422" s="8"/>
      <c r="D422" s="7"/>
      <c r="E422" s="9"/>
      <c r="F422" s="7"/>
      <c r="G422" s="7"/>
      <c r="H422" s="7"/>
      <c r="I422" s="7"/>
      <c r="J422" s="7"/>
      <c r="K422" s="7"/>
      <c r="L422" s="7"/>
      <c r="M422" s="7"/>
      <c r="N422" s="7"/>
      <c r="O422" s="10"/>
      <c r="P422" s="10"/>
      <c r="V422" s="11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3"/>
    </row>
    <row r="423" spans="1:34" ht="77.25" customHeight="1" thickBot="1" x14ac:dyDescent="0.2">
      <c r="A423" s="6"/>
      <c r="B423" s="7"/>
      <c r="C423" s="8"/>
      <c r="D423" s="7"/>
      <c r="E423" s="9"/>
      <c r="F423" s="7"/>
      <c r="G423" s="7"/>
      <c r="H423" s="7"/>
      <c r="I423" s="7"/>
      <c r="J423" s="7"/>
      <c r="K423" s="7"/>
      <c r="L423" s="7"/>
      <c r="M423" s="7"/>
      <c r="N423" s="7"/>
      <c r="O423" s="10"/>
      <c r="P423" s="10"/>
      <c r="V423" s="11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3"/>
    </row>
    <row r="424" spans="1:34" ht="77.25" customHeight="1" thickBot="1" x14ac:dyDescent="0.2">
      <c r="A424" s="6"/>
      <c r="B424" s="7"/>
      <c r="C424" s="8"/>
      <c r="D424" s="7"/>
      <c r="E424" s="9"/>
      <c r="F424" s="7"/>
      <c r="G424" s="7"/>
      <c r="H424" s="7"/>
      <c r="I424" s="7"/>
      <c r="J424" s="7"/>
      <c r="K424" s="7"/>
      <c r="L424" s="7"/>
      <c r="M424" s="7"/>
      <c r="N424" s="7"/>
      <c r="O424" s="10"/>
      <c r="P424" s="10"/>
      <c r="V424" s="11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3"/>
    </row>
    <row r="425" spans="1:34" ht="77.25" customHeight="1" thickBot="1" x14ac:dyDescent="0.2">
      <c r="A425" s="6"/>
      <c r="B425" s="7"/>
      <c r="C425" s="8"/>
      <c r="D425" s="7"/>
      <c r="E425" s="9"/>
      <c r="F425" s="7"/>
      <c r="G425" s="7"/>
      <c r="H425" s="7"/>
      <c r="I425" s="7"/>
      <c r="J425" s="7"/>
      <c r="K425" s="7"/>
      <c r="L425" s="7"/>
      <c r="M425" s="7"/>
      <c r="N425" s="7"/>
      <c r="O425" s="10"/>
      <c r="P425" s="10"/>
      <c r="V425" s="11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3"/>
    </row>
    <row r="426" spans="1:34" ht="77.25" customHeight="1" thickBot="1" x14ac:dyDescent="0.2">
      <c r="A426" s="6"/>
      <c r="B426" s="7"/>
      <c r="C426" s="8"/>
      <c r="D426" s="7"/>
      <c r="E426" s="9"/>
      <c r="F426" s="7"/>
      <c r="G426" s="7"/>
      <c r="H426" s="7"/>
      <c r="I426" s="7"/>
      <c r="J426" s="7"/>
      <c r="K426" s="7"/>
      <c r="L426" s="7"/>
      <c r="M426" s="7"/>
      <c r="N426" s="7"/>
      <c r="O426" s="10"/>
      <c r="P426" s="10"/>
      <c r="V426" s="11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3"/>
    </row>
    <row r="427" spans="1:34" ht="77.25" customHeight="1" thickBot="1" x14ac:dyDescent="0.2">
      <c r="A427" s="6"/>
      <c r="B427" s="7"/>
      <c r="C427" s="8"/>
      <c r="D427" s="7"/>
      <c r="E427" s="9"/>
      <c r="F427" s="7"/>
      <c r="G427" s="7"/>
      <c r="H427" s="7"/>
      <c r="I427" s="7"/>
      <c r="J427" s="7"/>
      <c r="K427" s="7"/>
      <c r="L427" s="7"/>
      <c r="M427" s="7"/>
      <c r="N427" s="7"/>
      <c r="O427" s="10"/>
      <c r="P427" s="10"/>
      <c r="V427" s="11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3"/>
    </row>
    <row r="428" spans="1:34" ht="77.25" customHeight="1" thickBot="1" x14ac:dyDescent="0.2">
      <c r="A428" s="6"/>
      <c r="B428" s="7"/>
      <c r="C428" s="8"/>
      <c r="D428" s="7"/>
      <c r="E428" s="9"/>
      <c r="F428" s="7"/>
      <c r="G428" s="7"/>
      <c r="H428" s="7"/>
      <c r="I428" s="7"/>
      <c r="J428" s="7"/>
      <c r="K428" s="7"/>
      <c r="L428" s="7"/>
      <c r="M428" s="7"/>
      <c r="N428" s="7"/>
      <c r="O428" s="10"/>
      <c r="P428" s="10"/>
      <c r="V428" s="11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3"/>
    </row>
    <row r="429" spans="1:34" ht="77.25" customHeight="1" thickBot="1" x14ac:dyDescent="0.2">
      <c r="A429" s="6"/>
      <c r="B429" s="7"/>
      <c r="C429" s="8"/>
      <c r="D429" s="7"/>
      <c r="E429" s="9"/>
      <c r="F429" s="7"/>
      <c r="G429" s="7"/>
      <c r="H429" s="7"/>
      <c r="I429" s="7"/>
      <c r="J429" s="7"/>
      <c r="K429" s="7"/>
      <c r="L429" s="7"/>
      <c r="M429" s="7"/>
      <c r="N429" s="7"/>
      <c r="O429" s="10"/>
      <c r="P429" s="10"/>
      <c r="V429" s="11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3"/>
    </row>
    <row r="430" spans="1:34" ht="77.25" customHeight="1" thickBot="1" x14ac:dyDescent="0.2">
      <c r="A430" s="6"/>
      <c r="B430" s="7"/>
      <c r="C430" s="8"/>
      <c r="D430" s="7"/>
      <c r="E430" s="9"/>
      <c r="F430" s="7"/>
      <c r="G430" s="7"/>
      <c r="H430" s="7"/>
      <c r="I430" s="7"/>
      <c r="J430" s="7"/>
      <c r="K430" s="7"/>
      <c r="L430" s="7"/>
      <c r="M430" s="7"/>
      <c r="N430" s="7"/>
      <c r="O430" s="10"/>
      <c r="P430" s="10"/>
      <c r="V430" s="11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3"/>
    </row>
    <row r="431" spans="1:34" ht="77.25" customHeight="1" thickBot="1" x14ac:dyDescent="0.2">
      <c r="A431" s="6"/>
      <c r="B431" s="7"/>
      <c r="C431" s="8"/>
      <c r="D431" s="7"/>
      <c r="E431" s="9"/>
      <c r="F431" s="7"/>
      <c r="G431" s="7"/>
      <c r="H431" s="7"/>
      <c r="I431" s="7"/>
      <c r="J431" s="7"/>
      <c r="K431" s="7"/>
      <c r="L431" s="7"/>
      <c r="M431" s="7"/>
      <c r="N431" s="7"/>
      <c r="O431" s="10"/>
      <c r="P431" s="10"/>
      <c r="V431" s="11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3"/>
    </row>
    <row r="432" spans="1:34" ht="77.25" customHeight="1" thickBot="1" x14ac:dyDescent="0.2">
      <c r="A432" s="6"/>
      <c r="B432" s="7"/>
      <c r="C432" s="8"/>
      <c r="D432" s="7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10"/>
      <c r="P432" s="10"/>
      <c r="V432" s="11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3"/>
    </row>
    <row r="433" spans="1:34" ht="77.25" customHeight="1" thickBot="1" x14ac:dyDescent="0.2">
      <c r="A433" s="6"/>
      <c r="B433" s="7"/>
      <c r="C433" s="8"/>
      <c r="D433" s="7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10"/>
      <c r="P433" s="10"/>
      <c r="V433" s="11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3"/>
    </row>
    <row r="434" spans="1:34" ht="77.25" customHeight="1" thickBot="1" x14ac:dyDescent="0.2">
      <c r="A434" s="6"/>
      <c r="B434" s="7"/>
      <c r="C434" s="8"/>
      <c r="D434" s="7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10"/>
      <c r="P434" s="10"/>
      <c r="V434" s="11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3"/>
    </row>
    <row r="435" spans="1:34" ht="77.25" customHeight="1" thickBot="1" x14ac:dyDescent="0.2">
      <c r="A435" s="6"/>
      <c r="B435" s="7"/>
      <c r="C435" s="8"/>
      <c r="D435" s="7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10"/>
      <c r="P435" s="10"/>
      <c r="V435" s="11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3"/>
    </row>
    <row r="436" spans="1:34" ht="77.25" customHeight="1" thickBot="1" x14ac:dyDescent="0.2">
      <c r="A436" s="6"/>
      <c r="B436" s="7"/>
      <c r="C436" s="8"/>
      <c r="D436" s="7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10"/>
      <c r="P436" s="10"/>
      <c r="V436" s="11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3"/>
    </row>
    <row r="437" spans="1:34" ht="77.25" customHeight="1" thickBot="1" x14ac:dyDescent="0.2">
      <c r="A437" s="6"/>
      <c r="B437" s="7"/>
      <c r="C437" s="8"/>
      <c r="D437" s="7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10"/>
      <c r="P437" s="10"/>
      <c r="V437" s="11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3"/>
    </row>
    <row r="438" spans="1:34" ht="77.25" customHeight="1" thickBot="1" x14ac:dyDescent="0.2">
      <c r="A438" s="6"/>
      <c r="B438" s="7"/>
      <c r="C438" s="8"/>
      <c r="D438" s="7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10"/>
      <c r="P438" s="10"/>
      <c r="V438" s="11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3"/>
    </row>
    <row r="439" spans="1:34" ht="77.25" customHeight="1" thickBot="1" x14ac:dyDescent="0.2">
      <c r="A439" s="6"/>
      <c r="B439" s="7"/>
      <c r="C439" s="8"/>
      <c r="D439" s="7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10"/>
      <c r="P439" s="10"/>
      <c r="V439" s="11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3"/>
    </row>
    <row r="440" spans="1:34" ht="77.25" customHeight="1" thickBot="1" x14ac:dyDescent="0.2">
      <c r="A440" s="6"/>
      <c r="B440" s="7"/>
      <c r="C440" s="8"/>
      <c r="D440" s="7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10"/>
      <c r="P440" s="10"/>
      <c r="V440" s="11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3"/>
    </row>
    <row r="441" spans="1:34" ht="77.25" customHeight="1" thickBot="1" x14ac:dyDescent="0.2">
      <c r="A441" s="6"/>
      <c r="B441" s="7"/>
      <c r="C441" s="8"/>
      <c r="D441" s="7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10"/>
      <c r="P441" s="10"/>
      <c r="V441" s="11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3"/>
    </row>
    <row r="442" spans="1:34" ht="77.25" customHeight="1" thickBot="1" x14ac:dyDescent="0.2">
      <c r="A442" s="6"/>
      <c r="B442" s="7"/>
      <c r="C442" s="8"/>
      <c r="D442" s="7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10"/>
      <c r="P442" s="10"/>
      <c r="V442" s="11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3"/>
    </row>
    <row r="443" spans="1:34" ht="77.25" customHeight="1" thickBot="1" x14ac:dyDescent="0.2">
      <c r="A443" s="6"/>
      <c r="B443" s="7"/>
      <c r="C443" s="8"/>
      <c r="D443" s="7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10"/>
      <c r="P443" s="10"/>
      <c r="V443" s="11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3"/>
    </row>
    <row r="444" spans="1:34" ht="77.25" customHeight="1" thickBot="1" x14ac:dyDescent="0.2">
      <c r="A444" s="6"/>
      <c r="B444" s="7"/>
      <c r="C444" s="8"/>
      <c r="D444" s="7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10"/>
      <c r="P444" s="10"/>
      <c r="V444" s="11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3"/>
    </row>
    <row r="445" spans="1:34" ht="77.25" customHeight="1" thickBot="1" x14ac:dyDescent="0.2">
      <c r="A445" s="6"/>
      <c r="B445" s="7"/>
      <c r="C445" s="8"/>
      <c r="D445" s="7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10"/>
      <c r="P445" s="10"/>
      <c r="V445" s="11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3"/>
    </row>
    <row r="446" spans="1:34" ht="77.25" customHeight="1" thickBot="1" x14ac:dyDescent="0.2">
      <c r="A446" s="6"/>
      <c r="B446" s="7"/>
      <c r="C446" s="8"/>
      <c r="D446" s="7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10"/>
      <c r="P446" s="10"/>
      <c r="V446" s="11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3"/>
    </row>
    <row r="447" spans="1:34" ht="77.25" customHeight="1" thickBot="1" x14ac:dyDescent="0.2">
      <c r="A447" s="6"/>
      <c r="B447" s="7"/>
      <c r="C447" s="8"/>
      <c r="D447" s="7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10"/>
      <c r="P447" s="10"/>
      <c r="V447" s="11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3"/>
    </row>
    <row r="448" spans="1:34" ht="77.25" customHeight="1" thickBot="1" x14ac:dyDescent="0.2">
      <c r="A448" s="6"/>
      <c r="B448" s="7"/>
      <c r="C448" s="8"/>
      <c r="D448" s="7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10"/>
      <c r="P448" s="10"/>
      <c r="V448" s="11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3"/>
    </row>
    <row r="449" spans="1:34" ht="77.25" customHeight="1" thickBot="1" x14ac:dyDescent="0.2">
      <c r="A449" s="6"/>
      <c r="B449" s="7"/>
      <c r="C449" s="8"/>
      <c r="D449" s="7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10"/>
      <c r="P449" s="10"/>
      <c r="V449" s="11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3"/>
    </row>
    <row r="450" spans="1:34" ht="77.25" customHeight="1" thickBot="1" x14ac:dyDescent="0.2">
      <c r="A450" s="6"/>
      <c r="B450" s="7"/>
      <c r="C450" s="8"/>
      <c r="D450" s="7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10"/>
      <c r="P450" s="10"/>
      <c r="V450" s="11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3"/>
    </row>
    <row r="451" spans="1:34" ht="77.25" customHeight="1" thickBot="1" x14ac:dyDescent="0.2">
      <c r="A451" s="6"/>
      <c r="B451" s="7"/>
      <c r="C451" s="8"/>
      <c r="D451" s="7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10"/>
      <c r="P451" s="10"/>
      <c r="V451" s="11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3"/>
    </row>
    <row r="452" spans="1:34" ht="77.25" customHeight="1" thickBot="1" x14ac:dyDescent="0.2">
      <c r="A452" s="6"/>
      <c r="B452" s="7"/>
      <c r="C452" s="8"/>
      <c r="D452" s="7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10"/>
      <c r="P452" s="10"/>
      <c r="V452" s="11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3"/>
    </row>
    <row r="453" spans="1:34" ht="77.25" customHeight="1" thickBot="1" x14ac:dyDescent="0.2">
      <c r="A453" s="6"/>
      <c r="B453" s="7"/>
      <c r="C453" s="8"/>
      <c r="D453" s="7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10"/>
      <c r="P453" s="10"/>
      <c r="V453" s="11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3"/>
    </row>
    <row r="454" spans="1:34" ht="77.25" customHeight="1" thickBot="1" x14ac:dyDescent="0.2">
      <c r="A454" s="6"/>
      <c r="B454" s="7"/>
      <c r="C454" s="8"/>
      <c r="D454" s="7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10"/>
      <c r="P454" s="10"/>
      <c r="V454" s="11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3"/>
    </row>
    <row r="455" spans="1:34" ht="77.25" customHeight="1" thickBot="1" x14ac:dyDescent="0.2">
      <c r="A455" s="6"/>
      <c r="B455" s="7"/>
      <c r="C455" s="8"/>
      <c r="D455" s="7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10"/>
      <c r="P455" s="10"/>
      <c r="V455" s="11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3"/>
    </row>
    <row r="456" spans="1:34" ht="77.25" customHeight="1" thickBot="1" x14ac:dyDescent="0.2">
      <c r="A456" s="6"/>
      <c r="B456" s="7"/>
      <c r="C456" s="8"/>
      <c r="D456" s="7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10"/>
      <c r="P456" s="10"/>
      <c r="V456" s="11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3"/>
    </row>
    <row r="457" spans="1:34" ht="77.25" customHeight="1" thickBot="1" x14ac:dyDescent="0.2">
      <c r="A457" s="6"/>
      <c r="B457" s="7"/>
      <c r="C457" s="8"/>
      <c r="D457" s="7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10"/>
      <c r="P457" s="10"/>
      <c r="V457" s="11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3"/>
    </row>
    <row r="458" spans="1:34" ht="77.25" customHeight="1" thickBot="1" x14ac:dyDescent="0.2">
      <c r="A458" s="6"/>
      <c r="B458" s="7"/>
      <c r="C458" s="8"/>
      <c r="D458" s="7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10"/>
      <c r="P458" s="10"/>
      <c r="V458" s="11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3"/>
    </row>
    <row r="459" spans="1:34" ht="77.25" customHeight="1" thickBot="1" x14ac:dyDescent="0.2">
      <c r="A459" s="6"/>
      <c r="B459" s="7"/>
      <c r="C459" s="8"/>
      <c r="D459" s="7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10"/>
      <c r="P459" s="10"/>
      <c r="V459" s="11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3"/>
    </row>
    <row r="460" spans="1:34" ht="77.25" customHeight="1" thickBot="1" x14ac:dyDescent="0.2">
      <c r="A460" s="6"/>
      <c r="B460" s="7"/>
      <c r="C460" s="8"/>
      <c r="D460" s="7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10"/>
      <c r="P460" s="10"/>
      <c r="V460" s="11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3"/>
    </row>
    <row r="461" spans="1:34" ht="77.25" customHeight="1" thickBot="1" x14ac:dyDescent="0.2">
      <c r="A461" s="6"/>
      <c r="B461" s="7"/>
      <c r="C461" s="8"/>
      <c r="D461" s="7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10"/>
      <c r="P461" s="10"/>
      <c r="V461" s="11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3"/>
    </row>
    <row r="462" spans="1:34" ht="77.25" customHeight="1" thickBot="1" x14ac:dyDescent="0.2">
      <c r="A462" s="6"/>
      <c r="B462" s="7"/>
      <c r="C462" s="8"/>
      <c r="D462" s="7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10"/>
      <c r="P462" s="10"/>
      <c r="V462" s="11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3"/>
    </row>
    <row r="463" spans="1:34" ht="77.25" customHeight="1" thickBot="1" x14ac:dyDescent="0.2">
      <c r="A463" s="6"/>
      <c r="B463" s="7"/>
      <c r="C463" s="8"/>
      <c r="D463" s="7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10"/>
      <c r="P463" s="10"/>
      <c r="V463" s="11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3"/>
    </row>
    <row r="464" spans="1:34" ht="77.25" customHeight="1" thickBot="1" x14ac:dyDescent="0.2">
      <c r="A464" s="6"/>
      <c r="B464" s="7"/>
      <c r="C464" s="8"/>
      <c r="D464" s="7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10"/>
      <c r="P464" s="10"/>
      <c r="V464" s="11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3"/>
    </row>
    <row r="465" spans="1:34" ht="77.25" customHeight="1" thickBot="1" x14ac:dyDescent="0.2">
      <c r="A465" s="6"/>
      <c r="B465" s="7"/>
      <c r="C465" s="8"/>
      <c r="D465" s="7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10"/>
      <c r="P465" s="10"/>
      <c r="V465" s="11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3"/>
    </row>
    <row r="466" spans="1:34" ht="77.25" customHeight="1" thickBot="1" x14ac:dyDescent="0.2">
      <c r="A466" s="6"/>
      <c r="B466" s="7"/>
      <c r="C466" s="8"/>
      <c r="D466" s="7"/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10"/>
      <c r="P466" s="10"/>
      <c r="V466" s="11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3"/>
    </row>
    <row r="467" spans="1:34" ht="77.25" customHeight="1" thickBot="1" x14ac:dyDescent="0.2">
      <c r="A467" s="6"/>
      <c r="B467" s="7"/>
      <c r="C467" s="8"/>
      <c r="D467" s="7"/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10"/>
      <c r="P467" s="10"/>
      <c r="V467" s="11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3"/>
    </row>
    <row r="468" spans="1:34" ht="77.25" customHeight="1" thickBot="1" x14ac:dyDescent="0.2">
      <c r="A468" s="6"/>
      <c r="B468" s="7"/>
      <c r="C468" s="8"/>
      <c r="D468" s="7"/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10"/>
      <c r="P468" s="10"/>
      <c r="V468" s="11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3"/>
    </row>
    <row r="469" spans="1:34" ht="77.25" customHeight="1" thickBot="1" x14ac:dyDescent="0.2">
      <c r="A469" s="6"/>
      <c r="B469" s="7"/>
      <c r="C469" s="8"/>
      <c r="D469" s="7"/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10"/>
      <c r="P469" s="10"/>
      <c r="V469" s="11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3"/>
    </row>
    <row r="470" spans="1:34" ht="77.25" customHeight="1" thickBot="1" x14ac:dyDescent="0.2">
      <c r="A470" s="6"/>
      <c r="B470" s="7"/>
      <c r="C470" s="8"/>
      <c r="D470" s="7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10"/>
      <c r="P470" s="10"/>
      <c r="V470" s="11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3"/>
    </row>
    <row r="471" spans="1:34" ht="77.25" customHeight="1" thickBot="1" x14ac:dyDescent="0.2">
      <c r="A471" s="6"/>
      <c r="B471" s="7"/>
      <c r="C471" s="8"/>
      <c r="D471" s="7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10"/>
      <c r="P471" s="10"/>
      <c r="V471" s="11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3"/>
    </row>
    <row r="472" spans="1:34" ht="77.25" customHeight="1" thickBot="1" x14ac:dyDescent="0.2">
      <c r="A472" s="6"/>
      <c r="B472" s="7"/>
      <c r="C472" s="8"/>
      <c r="D472" s="7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10"/>
      <c r="P472" s="10"/>
      <c r="V472" s="11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3"/>
    </row>
    <row r="473" spans="1:34" ht="77.25" customHeight="1" thickBot="1" x14ac:dyDescent="0.2">
      <c r="A473" s="6"/>
      <c r="B473" s="7"/>
      <c r="C473" s="8"/>
      <c r="D473" s="7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10"/>
      <c r="P473" s="10"/>
      <c r="V473" s="11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3"/>
    </row>
    <row r="474" spans="1:34" ht="77.25" customHeight="1" thickBot="1" x14ac:dyDescent="0.2">
      <c r="A474" s="6"/>
      <c r="B474" s="7"/>
      <c r="C474" s="8"/>
      <c r="D474" s="7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10"/>
      <c r="P474" s="10"/>
      <c r="V474" s="11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3"/>
    </row>
    <row r="475" spans="1:34" ht="77.25" customHeight="1" thickBot="1" x14ac:dyDescent="0.2">
      <c r="A475" s="6"/>
      <c r="B475" s="7"/>
      <c r="C475" s="8"/>
      <c r="D475" s="7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10"/>
      <c r="P475" s="10"/>
      <c r="V475" s="11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3"/>
    </row>
    <row r="476" spans="1:34" ht="77.25" customHeight="1" thickBot="1" x14ac:dyDescent="0.2">
      <c r="A476" s="6"/>
      <c r="B476" s="7"/>
      <c r="C476" s="8"/>
      <c r="D476" s="7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10"/>
      <c r="P476" s="10"/>
      <c r="V476" s="11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3"/>
    </row>
    <row r="477" spans="1:34" ht="77.25" customHeight="1" thickBot="1" x14ac:dyDescent="0.2">
      <c r="A477" s="6"/>
      <c r="B477" s="7"/>
      <c r="C477" s="8"/>
      <c r="D477" s="7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10"/>
      <c r="P477" s="10"/>
      <c r="V477" s="11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3"/>
    </row>
    <row r="478" spans="1:34" ht="77.25" customHeight="1" thickBot="1" x14ac:dyDescent="0.2">
      <c r="A478" s="6"/>
      <c r="B478" s="7"/>
      <c r="C478" s="8"/>
      <c r="D478" s="7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10"/>
      <c r="P478" s="10"/>
      <c r="V478" s="11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3"/>
    </row>
    <row r="479" spans="1:34" ht="77.25" customHeight="1" thickBot="1" x14ac:dyDescent="0.2">
      <c r="A479" s="6"/>
      <c r="B479" s="7"/>
      <c r="C479" s="8"/>
      <c r="D479" s="7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10"/>
      <c r="P479" s="10"/>
      <c r="V479" s="11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3"/>
    </row>
    <row r="480" spans="1:34" ht="77.25" customHeight="1" thickBot="1" x14ac:dyDescent="0.2">
      <c r="A480" s="6"/>
      <c r="B480" s="7"/>
      <c r="C480" s="8"/>
      <c r="D480" s="7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10"/>
      <c r="P480" s="10"/>
      <c r="V480" s="11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3"/>
    </row>
    <row r="481" spans="1:34" ht="77.25" customHeight="1" thickBot="1" x14ac:dyDescent="0.2">
      <c r="A481" s="6"/>
      <c r="B481" s="7"/>
      <c r="C481" s="8"/>
      <c r="D481" s="7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10"/>
      <c r="P481" s="10"/>
      <c r="V481" s="11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3"/>
    </row>
    <row r="482" spans="1:34" ht="77.25" customHeight="1" thickBot="1" x14ac:dyDescent="0.2">
      <c r="A482" s="6"/>
      <c r="B482" s="7"/>
      <c r="C482" s="8"/>
      <c r="D482" s="7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10"/>
      <c r="P482" s="10"/>
      <c r="V482" s="11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3"/>
    </row>
    <row r="483" spans="1:34" ht="77.25" customHeight="1" thickBot="1" x14ac:dyDescent="0.2">
      <c r="A483" s="6"/>
      <c r="B483" s="7"/>
      <c r="C483" s="8"/>
      <c r="D483" s="7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10"/>
      <c r="P483" s="10"/>
      <c r="V483" s="11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3"/>
    </row>
    <row r="484" spans="1:34" ht="77.25" customHeight="1" thickBot="1" x14ac:dyDescent="0.2">
      <c r="A484" s="6"/>
      <c r="B484" s="7"/>
      <c r="C484" s="8"/>
      <c r="D484" s="7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10"/>
      <c r="P484" s="10"/>
      <c r="V484" s="11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3"/>
    </row>
    <row r="485" spans="1:34" ht="77.25" customHeight="1" thickBot="1" x14ac:dyDescent="0.2">
      <c r="A485" s="6"/>
      <c r="B485" s="7"/>
      <c r="C485" s="8"/>
      <c r="D485" s="7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10"/>
      <c r="P485" s="10"/>
      <c r="V485" s="11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3"/>
    </row>
    <row r="486" spans="1:34" ht="77.25" customHeight="1" thickBot="1" x14ac:dyDescent="0.2">
      <c r="A486" s="6"/>
      <c r="B486" s="7"/>
      <c r="C486" s="8"/>
      <c r="D486" s="7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10"/>
      <c r="P486" s="10"/>
      <c r="V486" s="11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3"/>
    </row>
    <row r="487" spans="1:34" ht="77.25" customHeight="1" thickBot="1" x14ac:dyDescent="0.2">
      <c r="A487" s="6"/>
      <c r="B487" s="7"/>
      <c r="C487" s="8"/>
      <c r="D487" s="7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10"/>
      <c r="P487" s="10"/>
      <c r="V487" s="11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3"/>
    </row>
    <row r="488" spans="1:34" ht="77.25" customHeight="1" thickBot="1" x14ac:dyDescent="0.2">
      <c r="A488" s="6"/>
      <c r="B488" s="7"/>
      <c r="C488" s="8"/>
      <c r="D488" s="7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10"/>
      <c r="P488" s="10"/>
      <c r="V488" s="11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3"/>
    </row>
    <row r="489" spans="1:34" ht="77.25" customHeight="1" thickBot="1" x14ac:dyDescent="0.2">
      <c r="A489" s="6"/>
      <c r="B489" s="7"/>
      <c r="C489" s="8"/>
      <c r="D489" s="7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10"/>
      <c r="P489" s="10"/>
      <c r="V489" s="11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3"/>
    </row>
    <row r="490" spans="1:34" ht="77.25" customHeight="1" thickBot="1" x14ac:dyDescent="0.2">
      <c r="A490" s="6"/>
      <c r="B490" s="7"/>
      <c r="C490" s="8"/>
      <c r="D490" s="7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10"/>
      <c r="P490" s="10"/>
      <c r="V490" s="11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3"/>
    </row>
    <row r="491" spans="1:34" ht="77.25" customHeight="1" thickBot="1" x14ac:dyDescent="0.2">
      <c r="A491" s="6"/>
      <c r="B491" s="7"/>
      <c r="C491" s="8"/>
      <c r="D491" s="7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10"/>
      <c r="P491" s="10"/>
      <c r="V491" s="11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3"/>
    </row>
    <row r="492" spans="1:34" ht="77.25" customHeight="1" thickBot="1" x14ac:dyDescent="0.2">
      <c r="A492" s="6"/>
      <c r="B492" s="7"/>
      <c r="C492" s="8"/>
      <c r="D492" s="7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10"/>
      <c r="P492" s="10"/>
      <c r="V492" s="11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3"/>
    </row>
    <row r="493" spans="1:34" ht="77.25" customHeight="1" thickBot="1" x14ac:dyDescent="0.2">
      <c r="A493" s="6"/>
      <c r="B493" s="7"/>
      <c r="C493" s="8"/>
      <c r="D493" s="7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10"/>
      <c r="P493" s="10"/>
      <c r="V493" s="11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3"/>
    </row>
    <row r="494" spans="1:34" ht="77.25" customHeight="1" thickBot="1" x14ac:dyDescent="0.2">
      <c r="A494" s="6"/>
      <c r="B494" s="7"/>
      <c r="C494" s="8"/>
      <c r="D494" s="7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10"/>
      <c r="P494" s="10"/>
      <c r="V494" s="11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3"/>
    </row>
    <row r="495" spans="1:34" ht="77.25" customHeight="1" thickBot="1" x14ac:dyDescent="0.2">
      <c r="A495" s="6"/>
      <c r="B495" s="7"/>
      <c r="C495" s="8"/>
      <c r="D495" s="7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10"/>
      <c r="P495" s="10"/>
      <c r="V495" s="11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3"/>
    </row>
    <row r="496" spans="1:34" ht="77.25" customHeight="1" thickBot="1" x14ac:dyDescent="0.2">
      <c r="A496" s="6"/>
      <c r="B496" s="7"/>
      <c r="C496" s="8"/>
      <c r="D496" s="7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10"/>
      <c r="P496" s="10"/>
      <c r="V496" s="11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3"/>
    </row>
    <row r="497" spans="1:34" ht="77.25" customHeight="1" thickBot="1" x14ac:dyDescent="0.2">
      <c r="A497" s="6"/>
      <c r="B497" s="7"/>
      <c r="C497" s="8"/>
      <c r="D497" s="7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10"/>
      <c r="P497" s="10"/>
      <c r="V497" s="11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3"/>
    </row>
    <row r="498" spans="1:34" ht="77.25" customHeight="1" thickBot="1" x14ac:dyDescent="0.2">
      <c r="A498" s="6"/>
      <c r="B498" s="7"/>
      <c r="C498" s="8"/>
      <c r="D498" s="7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10"/>
      <c r="P498" s="10"/>
      <c r="V498" s="11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3"/>
    </row>
    <row r="499" spans="1:34" ht="77.25" customHeight="1" thickBot="1" x14ac:dyDescent="0.2">
      <c r="A499" s="6"/>
      <c r="B499" s="7"/>
      <c r="C499" s="8"/>
      <c r="D499" s="7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10"/>
      <c r="P499" s="10"/>
      <c r="V499" s="11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3"/>
    </row>
    <row r="500" spans="1:34" ht="77.25" customHeight="1" thickBot="1" x14ac:dyDescent="0.2">
      <c r="A500" s="6"/>
      <c r="B500" s="7"/>
      <c r="C500" s="8"/>
      <c r="D500" s="7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10"/>
      <c r="P500" s="10"/>
      <c r="V500" s="11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3"/>
    </row>
    <row r="501" spans="1:34" ht="77.25" customHeight="1" thickBot="1" x14ac:dyDescent="0.2">
      <c r="A501" s="6"/>
      <c r="B501" s="7"/>
      <c r="C501" s="8"/>
      <c r="D501" s="7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10"/>
      <c r="P501" s="10"/>
      <c r="V501" s="11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3"/>
    </row>
    <row r="502" spans="1:34" ht="77.25" customHeight="1" thickBot="1" x14ac:dyDescent="0.2">
      <c r="A502" s="6"/>
      <c r="B502" s="7"/>
      <c r="C502" s="8"/>
      <c r="D502" s="7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10"/>
      <c r="P502" s="10"/>
      <c r="V502" s="11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3"/>
    </row>
    <row r="503" spans="1:34" ht="77.25" customHeight="1" thickBot="1" x14ac:dyDescent="0.2">
      <c r="A503" s="6"/>
      <c r="B503" s="7"/>
      <c r="C503" s="8"/>
      <c r="D503" s="7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10"/>
      <c r="P503" s="10"/>
      <c r="V503" s="11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3"/>
    </row>
    <row r="504" spans="1:34" ht="77.25" customHeight="1" thickBot="1" x14ac:dyDescent="0.2">
      <c r="A504" s="6"/>
      <c r="B504" s="7"/>
      <c r="C504" s="8"/>
      <c r="D504" s="7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10"/>
      <c r="P504" s="10"/>
      <c r="V504" s="11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3"/>
    </row>
    <row r="505" spans="1:34" ht="77.25" customHeight="1" thickBot="1" x14ac:dyDescent="0.2">
      <c r="A505" s="6"/>
      <c r="B505" s="7"/>
      <c r="C505" s="8"/>
      <c r="D505" s="7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10"/>
      <c r="P505" s="10"/>
      <c r="V505" s="11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3"/>
    </row>
    <row r="506" spans="1:34" ht="77.25" customHeight="1" thickBot="1" x14ac:dyDescent="0.2">
      <c r="A506" s="6"/>
      <c r="B506" s="7"/>
      <c r="C506" s="8"/>
      <c r="D506" s="7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10"/>
      <c r="P506" s="10"/>
      <c r="V506" s="11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3"/>
    </row>
    <row r="507" spans="1:34" ht="77.25" customHeight="1" thickBot="1" x14ac:dyDescent="0.2">
      <c r="A507" s="6"/>
      <c r="B507" s="7"/>
      <c r="C507" s="8"/>
      <c r="D507" s="7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10"/>
      <c r="P507" s="10"/>
      <c r="V507" s="11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3"/>
    </row>
    <row r="508" spans="1:34" ht="77.25" customHeight="1" thickBot="1" x14ac:dyDescent="0.2">
      <c r="A508" s="6"/>
      <c r="B508" s="7"/>
      <c r="C508" s="8"/>
      <c r="D508" s="7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10"/>
      <c r="P508" s="10"/>
      <c r="V508" s="11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3"/>
    </row>
    <row r="509" spans="1:34" ht="77.25" customHeight="1" thickBot="1" x14ac:dyDescent="0.2">
      <c r="A509" s="6"/>
      <c r="B509" s="7"/>
      <c r="C509" s="8"/>
      <c r="D509" s="7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10"/>
      <c r="P509" s="10"/>
      <c r="V509" s="11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3"/>
    </row>
    <row r="510" spans="1:34" ht="77.25" customHeight="1" thickBot="1" x14ac:dyDescent="0.2">
      <c r="A510" s="6"/>
      <c r="B510" s="7"/>
      <c r="C510" s="8"/>
      <c r="D510" s="7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10"/>
      <c r="P510" s="10"/>
      <c r="V510" s="11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3"/>
    </row>
    <row r="511" spans="1:34" ht="77.25" customHeight="1" thickBot="1" x14ac:dyDescent="0.2">
      <c r="A511" s="6"/>
      <c r="B511" s="7"/>
      <c r="C511" s="8"/>
      <c r="D511" s="7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10"/>
      <c r="P511" s="10"/>
      <c r="V511" s="11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3"/>
    </row>
    <row r="512" spans="1:34" ht="77.25" customHeight="1" thickBot="1" x14ac:dyDescent="0.2">
      <c r="A512" s="6"/>
      <c r="B512" s="7"/>
      <c r="C512" s="8"/>
      <c r="D512" s="7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10"/>
      <c r="P512" s="10"/>
      <c r="V512" s="11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3"/>
    </row>
    <row r="513" spans="1:34" ht="77.25" customHeight="1" thickBot="1" x14ac:dyDescent="0.2">
      <c r="A513" s="6"/>
      <c r="B513" s="7"/>
      <c r="C513" s="8"/>
      <c r="D513" s="7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10"/>
      <c r="P513" s="10"/>
      <c r="V513" s="11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3"/>
    </row>
    <row r="514" spans="1:34" ht="77.25" customHeight="1" thickBot="1" x14ac:dyDescent="0.2">
      <c r="A514" s="6"/>
      <c r="B514" s="7"/>
      <c r="C514" s="8"/>
      <c r="D514" s="7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10"/>
      <c r="P514" s="10"/>
      <c r="V514" s="11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3"/>
    </row>
    <row r="515" spans="1:34" ht="77.25" customHeight="1" thickBot="1" x14ac:dyDescent="0.2">
      <c r="A515" s="6"/>
      <c r="B515" s="7"/>
      <c r="C515" s="8"/>
      <c r="D515" s="7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10"/>
      <c r="P515" s="10"/>
      <c r="V515" s="11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3"/>
    </row>
    <row r="516" spans="1:34" ht="77.25" customHeight="1" thickBot="1" x14ac:dyDescent="0.2">
      <c r="A516" s="6"/>
      <c r="B516" s="7"/>
      <c r="C516" s="8"/>
      <c r="D516" s="7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10"/>
      <c r="P516" s="10"/>
      <c r="V516" s="11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3"/>
    </row>
    <row r="517" spans="1:34" ht="77.25" customHeight="1" thickBot="1" x14ac:dyDescent="0.2">
      <c r="A517" s="6"/>
      <c r="B517" s="7"/>
      <c r="C517" s="8"/>
      <c r="D517" s="7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10"/>
      <c r="P517" s="10"/>
      <c r="V517" s="11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3"/>
    </row>
    <row r="518" spans="1:34" ht="77.25" customHeight="1" thickBot="1" x14ac:dyDescent="0.2">
      <c r="A518" s="6"/>
      <c r="B518" s="7"/>
      <c r="C518" s="8"/>
      <c r="D518" s="7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10"/>
      <c r="P518" s="10"/>
      <c r="V518" s="11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3"/>
    </row>
    <row r="519" spans="1:34" ht="77.25" customHeight="1" thickBot="1" x14ac:dyDescent="0.2">
      <c r="A519" s="6"/>
      <c r="B519" s="7"/>
      <c r="C519" s="8"/>
      <c r="D519" s="7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10"/>
      <c r="P519" s="10"/>
      <c r="V519" s="11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3"/>
    </row>
    <row r="520" spans="1:34" ht="77.25" customHeight="1" thickBot="1" x14ac:dyDescent="0.2">
      <c r="A520" s="6"/>
      <c r="B520" s="7"/>
      <c r="C520" s="8"/>
      <c r="D520" s="7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10"/>
      <c r="P520" s="10"/>
      <c r="V520" s="11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3"/>
    </row>
    <row r="521" spans="1:34" ht="77.25" customHeight="1" thickBot="1" x14ac:dyDescent="0.2">
      <c r="A521" s="6"/>
      <c r="B521" s="7"/>
      <c r="C521" s="8"/>
      <c r="D521" s="7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10"/>
      <c r="P521" s="10"/>
      <c r="V521" s="11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3"/>
    </row>
    <row r="522" spans="1:34" ht="77.25" customHeight="1" thickBot="1" x14ac:dyDescent="0.2">
      <c r="A522" s="6"/>
      <c r="B522" s="7"/>
      <c r="C522" s="8"/>
      <c r="D522" s="7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10"/>
      <c r="P522" s="10"/>
      <c r="V522" s="11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3"/>
    </row>
    <row r="523" spans="1:34" ht="77.25" customHeight="1" thickBot="1" x14ac:dyDescent="0.2">
      <c r="A523" s="6"/>
      <c r="B523" s="7"/>
      <c r="C523" s="8"/>
      <c r="D523" s="7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10"/>
      <c r="P523" s="10"/>
      <c r="V523" s="11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3"/>
    </row>
    <row r="524" spans="1:34" ht="77.25" customHeight="1" thickBot="1" x14ac:dyDescent="0.2">
      <c r="A524" s="6"/>
      <c r="B524" s="7"/>
      <c r="C524" s="8"/>
      <c r="D524" s="7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10"/>
      <c r="P524" s="10"/>
      <c r="V524" s="11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3"/>
    </row>
    <row r="525" spans="1:34" ht="77.25" customHeight="1" thickBot="1" x14ac:dyDescent="0.2">
      <c r="A525" s="6"/>
      <c r="B525" s="7"/>
      <c r="C525" s="8"/>
      <c r="D525" s="7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10"/>
      <c r="P525" s="10"/>
      <c r="V525" s="11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3"/>
    </row>
    <row r="526" spans="1:34" ht="77.25" customHeight="1" thickBot="1" x14ac:dyDescent="0.2">
      <c r="A526" s="6"/>
      <c r="B526" s="7"/>
      <c r="C526" s="8"/>
      <c r="D526" s="7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10"/>
      <c r="P526" s="10"/>
      <c r="V526" s="11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3"/>
    </row>
    <row r="527" spans="1:34" ht="77.25" customHeight="1" thickBot="1" x14ac:dyDescent="0.2">
      <c r="A527" s="6"/>
      <c r="B527" s="7"/>
      <c r="C527" s="8"/>
      <c r="D527" s="7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10"/>
      <c r="P527" s="10"/>
      <c r="V527" s="11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3"/>
    </row>
    <row r="528" spans="1:34" ht="77.25" customHeight="1" thickBot="1" x14ac:dyDescent="0.2">
      <c r="A528" s="6"/>
      <c r="B528" s="7"/>
      <c r="C528" s="8"/>
      <c r="D528" s="7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10"/>
      <c r="P528" s="10"/>
      <c r="V528" s="11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3"/>
    </row>
    <row r="529" spans="1:34" ht="77.25" customHeight="1" thickBot="1" x14ac:dyDescent="0.2">
      <c r="A529" s="6"/>
      <c r="B529" s="7"/>
      <c r="C529" s="8"/>
      <c r="D529" s="7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10"/>
      <c r="P529" s="10"/>
      <c r="V529" s="11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3"/>
    </row>
    <row r="530" spans="1:34" ht="77.25" customHeight="1" thickBot="1" x14ac:dyDescent="0.2">
      <c r="A530" s="6"/>
      <c r="B530" s="7"/>
      <c r="C530" s="8"/>
      <c r="D530" s="7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10"/>
      <c r="P530" s="10"/>
      <c r="V530" s="11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3"/>
    </row>
    <row r="531" spans="1:34" ht="77.25" customHeight="1" thickBot="1" x14ac:dyDescent="0.2">
      <c r="A531" s="6"/>
      <c r="B531" s="7"/>
      <c r="C531" s="8"/>
      <c r="D531" s="7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10"/>
      <c r="P531" s="10"/>
      <c r="V531" s="11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3"/>
    </row>
    <row r="532" spans="1:34" ht="77.25" customHeight="1" thickBot="1" x14ac:dyDescent="0.2">
      <c r="A532" s="6"/>
      <c r="B532" s="7"/>
      <c r="C532" s="8"/>
      <c r="D532" s="7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10"/>
      <c r="P532" s="10"/>
      <c r="V532" s="11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3"/>
    </row>
    <row r="533" spans="1:34" ht="77.25" customHeight="1" thickBot="1" x14ac:dyDescent="0.2">
      <c r="A533" s="6"/>
      <c r="B533" s="7"/>
      <c r="C533" s="8"/>
      <c r="D533" s="7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10"/>
      <c r="P533" s="10"/>
      <c r="V533" s="11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3"/>
    </row>
    <row r="534" spans="1:34" ht="77.25" customHeight="1" thickBot="1" x14ac:dyDescent="0.2">
      <c r="A534" s="6"/>
      <c r="B534" s="7"/>
      <c r="C534" s="8"/>
      <c r="D534" s="7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10"/>
      <c r="P534" s="10"/>
      <c r="V534" s="11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3"/>
    </row>
    <row r="535" spans="1:34" ht="77.25" customHeight="1" thickBot="1" x14ac:dyDescent="0.2">
      <c r="A535" s="6"/>
      <c r="B535" s="7"/>
      <c r="C535" s="8"/>
      <c r="D535" s="7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10"/>
      <c r="P535" s="10"/>
      <c r="V535" s="11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3"/>
    </row>
    <row r="536" spans="1:34" ht="77.25" customHeight="1" thickBot="1" x14ac:dyDescent="0.2">
      <c r="A536" s="6"/>
      <c r="B536" s="7"/>
      <c r="C536" s="8"/>
      <c r="D536" s="7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10"/>
      <c r="P536" s="10"/>
      <c r="V536" s="11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3"/>
    </row>
    <row r="537" spans="1:34" ht="77.25" customHeight="1" thickBot="1" x14ac:dyDescent="0.2">
      <c r="A537" s="6"/>
      <c r="B537" s="7"/>
      <c r="C537" s="8"/>
      <c r="D537" s="7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10"/>
      <c r="P537" s="10"/>
      <c r="V537" s="11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3"/>
    </row>
    <row r="538" spans="1:34" ht="77.25" customHeight="1" thickBot="1" x14ac:dyDescent="0.2">
      <c r="A538" s="6"/>
      <c r="B538" s="7"/>
      <c r="C538" s="8"/>
      <c r="D538" s="7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10"/>
      <c r="P538" s="10"/>
      <c r="V538" s="11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3"/>
    </row>
    <row r="539" spans="1:34" ht="77.25" customHeight="1" thickBot="1" x14ac:dyDescent="0.2">
      <c r="A539" s="6"/>
      <c r="B539" s="7"/>
      <c r="C539" s="8"/>
      <c r="D539" s="7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10"/>
      <c r="P539" s="10"/>
      <c r="V539" s="11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3"/>
    </row>
    <row r="540" spans="1:34" ht="77.25" customHeight="1" thickBot="1" x14ac:dyDescent="0.2">
      <c r="A540" s="6"/>
      <c r="B540" s="7"/>
      <c r="C540" s="8"/>
      <c r="D540" s="7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10"/>
      <c r="P540" s="10"/>
      <c r="V540" s="11">
        <v>2</v>
      </c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3"/>
    </row>
    <row r="541" spans="1:34" ht="77.25" customHeight="1" thickBot="1" x14ac:dyDescent="0.2">
      <c r="A541" s="6"/>
      <c r="B541" s="7"/>
      <c r="C541" s="8"/>
      <c r="D541" s="7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10"/>
      <c r="P541" s="10"/>
      <c r="V541" s="11">
        <v>3</v>
      </c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3"/>
    </row>
    <row r="542" spans="1:34" ht="77.25" customHeight="1" thickBot="1" x14ac:dyDescent="0.2">
      <c r="A542" s="6"/>
      <c r="B542" s="7"/>
      <c r="C542" s="8"/>
      <c r="D542" s="7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10"/>
      <c r="P542" s="10"/>
      <c r="V542" s="11">
        <v>4</v>
      </c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3"/>
    </row>
    <row r="543" spans="1:34" ht="77.25" customHeight="1" thickBot="1" x14ac:dyDescent="0.2">
      <c r="A543" s="6"/>
      <c r="B543" s="7"/>
      <c r="C543" s="8"/>
      <c r="D543" s="7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10"/>
      <c r="P543" s="10"/>
      <c r="V543" s="11">
        <v>5</v>
      </c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3"/>
    </row>
    <row r="544" spans="1:34" ht="77.25" customHeight="1" thickBot="1" x14ac:dyDescent="0.2">
      <c r="A544" s="6"/>
      <c r="B544" s="7"/>
      <c r="C544" s="8"/>
      <c r="D544" s="7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10"/>
      <c r="P544" s="10"/>
      <c r="V544" s="11">
        <v>6</v>
      </c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3"/>
    </row>
    <row r="545" spans="1:34" ht="77.25" customHeight="1" thickBot="1" x14ac:dyDescent="0.2">
      <c r="A545" s="6"/>
      <c r="B545" s="7"/>
      <c r="C545" s="8"/>
      <c r="D545" s="7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10"/>
      <c r="P545" s="10"/>
      <c r="V545" s="11">
        <v>7</v>
      </c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3"/>
    </row>
    <row r="546" spans="1:34" ht="77.25" customHeight="1" thickBot="1" x14ac:dyDescent="0.2">
      <c r="A546" s="6"/>
      <c r="B546" s="7"/>
      <c r="C546" s="8"/>
      <c r="D546" s="7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10"/>
      <c r="P546" s="10"/>
      <c r="V546" s="11">
        <v>8</v>
      </c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3"/>
    </row>
    <row r="547" spans="1:34" ht="77.25" customHeight="1" thickBot="1" x14ac:dyDescent="0.2">
      <c r="A547" s="6"/>
      <c r="B547" s="7"/>
      <c r="C547" s="8"/>
      <c r="D547" s="7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10"/>
      <c r="P547" s="10"/>
      <c r="V547" s="11">
        <v>9</v>
      </c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3"/>
    </row>
    <row r="548" spans="1:34" ht="77.25" customHeight="1" thickBot="1" x14ac:dyDescent="0.2">
      <c r="A548" s="6"/>
      <c r="B548" s="7"/>
      <c r="C548" s="8"/>
      <c r="D548" s="7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10"/>
      <c r="P548" s="10"/>
      <c r="V548" s="11">
        <v>10</v>
      </c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3"/>
    </row>
    <row r="549" spans="1:34" ht="77.25" customHeight="1" x14ac:dyDescent="0.15">
      <c r="A549" s="6"/>
      <c r="B549" s="7"/>
      <c r="C549" s="8"/>
      <c r="D549" s="7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10"/>
      <c r="P549" s="10"/>
    </row>
    <row r="550" spans="1:34" ht="77.25" customHeight="1" x14ac:dyDescent="0.15">
      <c r="A550" s="6"/>
      <c r="B550" s="7"/>
      <c r="C550" s="8"/>
      <c r="D550" s="7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10"/>
      <c r="P550" s="10"/>
    </row>
    <row r="551" spans="1:34" ht="77.25" customHeight="1" x14ac:dyDescent="0.15">
      <c r="A551" s="6"/>
      <c r="B551" s="7"/>
      <c r="C551" s="8"/>
      <c r="D551" s="7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10"/>
      <c r="P551" s="10"/>
    </row>
    <row r="552" spans="1:34" ht="77.25" customHeight="1" x14ac:dyDescent="0.15">
      <c r="A552" s="6"/>
      <c r="B552" s="7"/>
      <c r="C552" s="8"/>
      <c r="D552" s="7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10"/>
      <c r="P552" s="10"/>
    </row>
    <row r="553" spans="1:34" ht="77.25" customHeight="1" x14ac:dyDescent="0.15">
      <c r="A553" s="6"/>
      <c r="B553" s="7"/>
      <c r="C553" s="8"/>
      <c r="D553" s="7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10"/>
      <c r="P553" s="10"/>
    </row>
    <row r="554" spans="1:34" ht="77.25" customHeight="1" x14ac:dyDescent="0.15">
      <c r="A554" s="6"/>
      <c r="B554" s="7"/>
      <c r="C554" s="8"/>
      <c r="D554" s="7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10"/>
      <c r="P554" s="10"/>
    </row>
    <row r="555" spans="1:34" ht="77.25" customHeight="1" x14ac:dyDescent="0.15">
      <c r="A555" s="6"/>
      <c r="B555" s="7"/>
      <c r="C555" s="8"/>
      <c r="D555" s="7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10"/>
      <c r="P555" s="10"/>
    </row>
    <row r="556" spans="1:34" ht="77.25" customHeight="1" x14ac:dyDescent="0.15">
      <c r="A556" s="6"/>
      <c r="B556" s="7"/>
      <c r="C556" s="8"/>
      <c r="D556" s="7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10"/>
      <c r="P556" s="10"/>
    </row>
    <row r="557" spans="1:34" ht="77.25" customHeight="1" x14ac:dyDescent="0.15">
      <c r="A557" s="6"/>
      <c r="B557" s="7"/>
      <c r="C557" s="8"/>
      <c r="D557" s="7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10"/>
      <c r="P557" s="10"/>
    </row>
    <row r="558" spans="1:34" ht="77.25" customHeight="1" x14ac:dyDescent="0.15">
      <c r="A558" s="6"/>
      <c r="B558" s="7"/>
      <c r="C558" s="8"/>
      <c r="D558" s="7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10"/>
      <c r="P558" s="10"/>
    </row>
    <row r="559" spans="1:34" ht="77.25" customHeight="1" x14ac:dyDescent="0.15">
      <c r="A559" s="6"/>
      <c r="B559" s="7"/>
      <c r="C559" s="8"/>
      <c r="D559" s="7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10"/>
      <c r="P559" s="10"/>
    </row>
    <row r="560" spans="1:34" ht="77.25" customHeight="1" x14ac:dyDescent="0.15">
      <c r="A560" s="6"/>
      <c r="B560" s="7"/>
      <c r="C560" s="8"/>
      <c r="D560" s="7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10"/>
      <c r="P560" s="10"/>
    </row>
    <row r="561" spans="1:16" ht="77.25" customHeight="1" x14ac:dyDescent="0.15">
      <c r="A561" s="6"/>
      <c r="B561" s="7"/>
      <c r="C561" s="8"/>
      <c r="D561" s="7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10"/>
      <c r="P561" s="10"/>
    </row>
    <row r="562" spans="1:16" ht="77.25" customHeight="1" x14ac:dyDescent="0.15">
      <c r="A562" s="6"/>
      <c r="B562" s="7"/>
      <c r="C562" s="8"/>
      <c r="D562" s="7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10"/>
      <c r="P562" s="10"/>
    </row>
    <row r="563" spans="1:16" ht="77.25" customHeight="1" x14ac:dyDescent="0.15">
      <c r="A563" s="6"/>
      <c r="B563" s="7"/>
      <c r="C563" s="8"/>
      <c r="D563" s="7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10"/>
      <c r="P563" s="10"/>
    </row>
    <row r="564" spans="1:16" ht="77.25" customHeight="1" x14ac:dyDescent="0.15">
      <c r="A564" s="6"/>
      <c r="B564" s="7"/>
      <c r="C564" s="8"/>
      <c r="D564" s="7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10"/>
      <c r="P564" s="10"/>
    </row>
    <row r="565" spans="1:16" ht="77.25" customHeight="1" x14ac:dyDescent="0.15">
      <c r="A565" s="6"/>
      <c r="B565" s="7"/>
      <c r="C565" s="8"/>
      <c r="D565" s="7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10"/>
      <c r="P565" s="10"/>
    </row>
    <row r="566" spans="1:16" ht="77.25" customHeight="1" x14ac:dyDescent="0.15">
      <c r="A566" s="6"/>
      <c r="B566" s="7"/>
      <c r="C566" s="8"/>
      <c r="D566" s="7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10"/>
      <c r="P566" s="10"/>
    </row>
    <row r="567" spans="1:16" ht="77.25" customHeight="1" x14ac:dyDescent="0.15">
      <c r="A567" s="6"/>
      <c r="B567" s="7"/>
      <c r="C567" s="8"/>
      <c r="D567" s="7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10"/>
      <c r="P567" s="10"/>
    </row>
    <row r="568" spans="1:16" ht="77.25" customHeight="1" x14ac:dyDescent="0.15">
      <c r="A568" s="6"/>
      <c r="B568" s="7"/>
      <c r="C568" s="8"/>
      <c r="D568" s="7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10"/>
      <c r="P568" s="10"/>
    </row>
    <row r="569" spans="1:16" ht="77.25" customHeight="1" x14ac:dyDescent="0.15">
      <c r="A569" s="6"/>
      <c r="B569" s="7"/>
      <c r="C569" s="8"/>
      <c r="D569" s="7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10"/>
      <c r="P569" s="10"/>
    </row>
    <row r="570" spans="1:16" ht="77.25" customHeight="1" x14ac:dyDescent="0.15">
      <c r="A570" s="6"/>
      <c r="B570" s="7"/>
      <c r="C570" s="8"/>
      <c r="D570" s="7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10"/>
      <c r="P570" s="10"/>
    </row>
    <row r="571" spans="1:16" ht="77.25" customHeight="1" x14ac:dyDescent="0.15">
      <c r="A571" s="6"/>
      <c r="B571" s="7"/>
      <c r="C571" s="8"/>
      <c r="D571" s="7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10"/>
      <c r="P571" s="10"/>
    </row>
    <row r="572" spans="1:16" ht="77.25" customHeight="1" x14ac:dyDescent="0.15">
      <c r="A572" s="6"/>
      <c r="B572" s="7"/>
      <c r="C572" s="8"/>
      <c r="D572" s="7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10"/>
      <c r="P572" s="10"/>
    </row>
    <row r="573" spans="1:16" ht="77.25" customHeight="1" x14ac:dyDescent="0.15">
      <c r="A573" s="6"/>
      <c r="B573" s="7"/>
      <c r="C573" s="8"/>
      <c r="D573" s="7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10"/>
      <c r="P573" s="10"/>
    </row>
    <row r="574" spans="1:16" ht="77.25" customHeight="1" x14ac:dyDescent="0.15">
      <c r="A574" s="6"/>
      <c r="B574" s="7"/>
      <c r="C574" s="8"/>
      <c r="D574" s="7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10"/>
      <c r="P574" s="10"/>
    </row>
    <row r="575" spans="1:16" ht="77.25" customHeight="1" x14ac:dyDescent="0.15">
      <c r="A575" s="6"/>
      <c r="B575" s="7"/>
      <c r="C575" s="8"/>
      <c r="D575" s="7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10"/>
      <c r="P575" s="10"/>
    </row>
    <row r="576" spans="1:16" ht="77.25" customHeight="1" x14ac:dyDescent="0.15">
      <c r="A576" s="6"/>
      <c r="B576" s="7"/>
      <c r="C576" s="8"/>
      <c r="D576" s="7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10"/>
      <c r="P576" s="10"/>
    </row>
    <row r="577" spans="1:16" ht="77.25" customHeight="1" x14ac:dyDescent="0.15">
      <c r="A577" s="6"/>
      <c r="B577" s="7"/>
      <c r="C577" s="8"/>
      <c r="D577" s="7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10"/>
      <c r="P577" s="10"/>
    </row>
    <row r="578" spans="1:16" ht="77.25" customHeight="1" x14ac:dyDescent="0.15">
      <c r="A578" s="6"/>
      <c r="B578" s="7"/>
      <c r="C578" s="8"/>
      <c r="D578" s="7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10"/>
      <c r="P578" s="10"/>
    </row>
    <row r="579" spans="1:16" ht="77.25" customHeight="1" x14ac:dyDescent="0.15">
      <c r="A579" s="6"/>
      <c r="B579" s="7"/>
      <c r="C579" s="8"/>
      <c r="D579" s="7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10"/>
      <c r="P579" s="10"/>
    </row>
    <row r="580" spans="1:16" ht="77.25" customHeight="1" x14ac:dyDescent="0.15">
      <c r="A580" s="6"/>
      <c r="B580" s="7"/>
      <c r="C580" s="8"/>
      <c r="D580" s="7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10"/>
      <c r="P580" s="10"/>
    </row>
    <row r="581" spans="1:16" ht="77.25" customHeight="1" x14ac:dyDescent="0.15">
      <c r="A581" s="6"/>
      <c r="B581" s="7"/>
      <c r="C581" s="8"/>
      <c r="D581" s="7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10"/>
      <c r="P581" s="10"/>
    </row>
    <row r="582" spans="1:16" ht="77.25" customHeight="1" x14ac:dyDescent="0.15">
      <c r="A582" s="6"/>
      <c r="B582" s="7"/>
      <c r="C582" s="8"/>
      <c r="D582" s="7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10"/>
      <c r="P582" s="10"/>
    </row>
    <row r="583" spans="1:16" ht="77.25" customHeight="1" x14ac:dyDescent="0.15">
      <c r="A583" s="6"/>
      <c r="B583" s="7"/>
      <c r="C583" s="8"/>
      <c r="D583" s="7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10"/>
      <c r="P583" s="10"/>
    </row>
    <row r="584" spans="1:16" ht="77.25" customHeight="1" x14ac:dyDescent="0.15">
      <c r="A584" s="6"/>
      <c r="B584" s="7"/>
      <c r="C584" s="8"/>
      <c r="D584" s="7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10"/>
      <c r="P584" s="10"/>
    </row>
    <row r="585" spans="1:16" ht="77.25" customHeight="1" x14ac:dyDescent="0.15">
      <c r="A585" s="6"/>
      <c r="B585" s="7"/>
      <c r="C585" s="8"/>
      <c r="D585" s="7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10"/>
      <c r="P585" s="10"/>
    </row>
    <row r="586" spans="1:16" ht="77.25" customHeight="1" x14ac:dyDescent="0.15">
      <c r="A586" s="6"/>
      <c r="B586" s="7"/>
      <c r="C586" s="8"/>
      <c r="D586" s="7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10"/>
      <c r="P586" s="10"/>
    </row>
    <row r="587" spans="1:16" ht="77.25" customHeight="1" x14ac:dyDescent="0.15">
      <c r="A587" s="6"/>
      <c r="B587" s="7"/>
      <c r="C587" s="8"/>
      <c r="D587" s="7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10"/>
      <c r="P587" s="10"/>
    </row>
    <row r="588" spans="1:16" ht="77.25" customHeight="1" x14ac:dyDescent="0.15">
      <c r="A588" s="6"/>
      <c r="B588" s="7"/>
      <c r="C588" s="8"/>
      <c r="D588" s="7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10"/>
      <c r="P588" s="10"/>
    </row>
    <row r="589" spans="1:16" ht="77.25" customHeight="1" x14ac:dyDescent="0.15">
      <c r="A589" s="6"/>
      <c r="B589" s="7"/>
      <c r="C589" s="8"/>
      <c r="D589" s="7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10"/>
      <c r="P589" s="10"/>
    </row>
    <row r="590" spans="1:16" ht="77.25" customHeight="1" x14ac:dyDescent="0.15">
      <c r="A590" s="6"/>
      <c r="B590" s="7"/>
      <c r="C590" s="8"/>
      <c r="D590" s="7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10"/>
      <c r="P590" s="10"/>
    </row>
    <row r="591" spans="1:16" ht="77.25" customHeight="1" x14ac:dyDescent="0.15">
      <c r="A591" s="6"/>
      <c r="B591" s="7"/>
      <c r="C591" s="8"/>
      <c r="D591" s="7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10"/>
      <c r="P591" s="10"/>
    </row>
    <row r="592" spans="1:16" ht="77.25" customHeight="1" x14ac:dyDescent="0.15">
      <c r="A592" s="6"/>
      <c r="B592" s="7"/>
      <c r="C592" s="8"/>
      <c r="D592" s="7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10"/>
      <c r="P592" s="10"/>
    </row>
    <row r="593" spans="1:16" ht="77.25" customHeight="1" x14ac:dyDescent="0.15">
      <c r="A593" s="6"/>
      <c r="B593" s="7"/>
      <c r="C593" s="8"/>
      <c r="D593" s="7"/>
      <c r="E593" s="9"/>
      <c r="F593" s="7"/>
      <c r="G593" s="7"/>
      <c r="H593" s="7"/>
      <c r="I593" s="7"/>
      <c r="L593" s="7"/>
      <c r="M593" s="7"/>
      <c r="N593" s="7"/>
      <c r="O593" s="10"/>
      <c r="P593" s="10"/>
    </row>
    <row r="594" spans="1:16" ht="77.25" customHeight="1" x14ac:dyDescent="0.15">
      <c r="A594" s="6"/>
      <c r="B594" s="7"/>
      <c r="C594" s="8"/>
      <c r="D594" s="7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10"/>
      <c r="P594" s="10"/>
    </row>
    <row r="595" spans="1:16" ht="77.25" customHeight="1" x14ac:dyDescent="0.15">
      <c r="A595" s="6"/>
      <c r="B595" s="7"/>
      <c r="C595" s="8"/>
      <c r="D595" s="7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10"/>
      <c r="P595" s="10"/>
    </row>
    <row r="596" spans="1:16" ht="77.25" customHeight="1" x14ac:dyDescent="0.15">
      <c r="A596" s="6"/>
      <c r="B596" s="7"/>
      <c r="C596" s="8"/>
      <c r="D596" s="7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10"/>
      <c r="P596" s="10"/>
    </row>
    <row r="597" spans="1:16" ht="77.25" customHeight="1" x14ac:dyDescent="0.15">
      <c r="A597" s="6"/>
      <c r="B597" s="7"/>
      <c r="C597" s="8"/>
      <c r="D597" s="7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10"/>
      <c r="P597" s="10"/>
    </row>
    <row r="598" spans="1:16" ht="77.25" customHeight="1" x14ac:dyDescent="0.15">
      <c r="A598" s="6"/>
      <c r="B598" s="7"/>
      <c r="C598" s="8"/>
      <c r="D598" s="7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10"/>
      <c r="P598" s="10"/>
    </row>
    <row r="599" spans="1:16" ht="77.25" customHeight="1" x14ac:dyDescent="0.15">
      <c r="A599" s="6"/>
      <c r="B599" s="7"/>
      <c r="C599" s="8"/>
      <c r="D599" s="7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10"/>
      <c r="P599" s="10"/>
    </row>
    <row r="600" spans="1:16" ht="77.25" customHeight="1" x14ac:dyDescent="0.15">
      <c r="A600" s="6"/>
      <c r="B600" s="7"/>
      <c r="C600" s="8"/>
      <c r="D600" s="7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10"/>
      <c r="P600" s="10"/>
    </row>
    <row r="601" spans="1:16" ht="77.25" customHeight="1" x14ac:dyDescent="0.15">
      <c r="A601" s="6"/>
      <c r="B601" s="7"/>
      <c r="C601" s="8"/>
      <c r="D601" s="7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10"/>
      <c r="P601" s="10"/>
    </row>
    <row r="602" spans="1:16" ht="77.25" customHeight="1" x14ac:dyDescent="0.15">
      <c r="A602" s="6"/>
      <c r="B602" s="7"/>
      <c r="C602" s="8"/>
      <c r="D602" s="7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10"/>
      <c r="P602" s="10"/>
    </row>
    <row r="603" spans="1:16" ht="77.25" customHeight="1" x14ac:dyDescent="0.15">
      <c r="A603" s="6"/>
      <c r="B603" s="7"/>
      <c r="C603" s="8"/>
      <c r="D603" s="7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10"/>
      <c r="P603" s="10"/>
    </row>
    <row r="604" spans="1:16" ht="77.25" customHeight="1" x14ac:dyDescent="0.15">
      <c r="A604" s="6"/>
      <c r="B604" s="7"/>
      <c r="C604" s="8"/>
      <c r="D604" s="7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10"/>
      <c r="P604" s="10"/>
    </row>
    <row r="605" spans="1:16" ht="77.25" customHeight="1" x14ac:dyDescent="0.15">
      <c r="A605" s="6"/>
      <c r="B605" s="15"/>
      <c r="C605" s="16"/>
      <c r="D605" s="15"/>
      <c r="E605" s="17"/>
      <c r="F605" s="15"/>
      <c r="G605" s="15"/>
      <c r="H605" s="15"/>
      <c r="I605" s="15"/>
      <c r="J605" s="15"/>
      <c r="K605" s="15"/>
      <c r="L605" s="15"/>
      <c r="M605" s="15"/>
      <c r="N605" s="15"/>
      <c r="O605" s="18"/>
      <c r="P605" s="10"/>
    </row>
    <row r="606" spans="1:16" ht="77.25" customHeight="1" x14ac:dyDescent="0.15">
      <c r="A606" s="6"/>
      <c r="B606" s="7"/>
      <c r="C606" s="8"/>
      <c r="D606" s="7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10"/>
      <c r="P606" s="10"/>
    </row>
    <row r="607" spans="1:16" ht="77.25" customHeight="1" x14ac:dyDescent="0.15">
      <c r="A607" s="6"/>
      <c r="B607" s="7"/>
      <c r="C607" s="8"/>
      <c r="D607" s="7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10"/>
      <c r="P607" s="10"/>
    </row>
    <row r="608" spans="1:16" ht="77.25" customHeight="1" x14ac:dyDescent="0.15">
      <c r="A608" s="6"/>
      <c r="B608" s="7"/>
      <c r="C608" s="8"/>
      <c r="D608" s="7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10"/>
      <c r="P608" s="10"/>
    </row>
    <row r="609" spans="1:16" ht="77.25" customHeight="1" x14ac:dyDescent="0.15">
      <c r="A609" s="6"/>
      <c r="B609" s="7"/>
      <c r="C609" s="8"/>
      <c r="D609" s="7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10"/>
      <c r="P609" s="10"/>
    </row>
    <row r="610" spans="1:16" ht="77.25" customHeight="1" x14ac:dyDescent="0.15">
      <c r="A610" s="6"/>
      <c r="B610" s="7"/>
      <c r="C610" s="8"/>
      <c r="D610" s="7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10"/>
      <c r="P610" s="10"/>
    </row>
    <row r="611" spans="1:16" ht="77.25" customHeight="1" x14ac:dyDescent="0.15">
      <c r="A611" s="6"/>
      <c r="B611" s="7"/>
      <c r="C611" s="8"/>
      <c r="D611" s="7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10"/>
      <c r="P611" s="10"/>
    </row>
    <row r="612" spans="1:16" ht="77.25" customHeight="1" x14ac:dyDescent="0.15">
      <c r="A612" s="6"/>
      <c r="B612" s="7"/>
      <c r="C612" s="8"/>
      <c r="D612" s="7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10"/>
      <c r="P612" s="10"/>
    </row>
    <row r="613" spans="1:16" ht="77.25" customHeight="1" x14ac:dyDescent="0.15">
      <c r="A613" s="6"/>
      <c r="B613" s="7"/>
      <c r="C613" s="8"/>
      <c r="D613" s="7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10"/>
      <c r="P613" s="10"/>
    </row>
    <row r="614" spans="1:16" ht="77.25" customHeight="1" x14ac:dyDescent="0.15">
      <c r="A614" s="6"/>
      <c r="B614" s="7"/>
      <c r="C614" s="8"/>
      <c r="D614" s="7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10"/>
      <c r="P614" s="10"/>
    </row>
    <row r="615" spans="1:16" ht="77.25" customHeight="1" x14ac:dyDescent="0.15">
      <c r="A615" s="6"/>
      <c r="B615" s="7"/>
      <c r="C615" s="8"/>
      <c r="D615" s="7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10"/>
      <c r="P615" s="10"/>
    </row>
    <row r="616" spans="1:16" ht="77.25" customHeight="1" x14ac:dyDescent="0.15">
      <c r="A616" s="6"/>
      <c r="B616" s="7"/>
      <c r="C616" s="8"/>
      <c r="D616" s="7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10"/>
      <c r="P616" s="10"/>
    </row>
    <row r="617" spans="1:16" ht="77.25" customHeight="1" x14ac:dyDescent="0.15">
      <c r="A617" s="6"/>
      <c r="B617" s="7"/>
      <c r="C617" s="8"/>
      <c r="D617" s="7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10"/>
      <c r="P617" s="10"/>
    </row>
    <row r="618" spans="1:16" ht="77.25" customHeight="1" x14ac:dyDescent="0.15">
      <c r="A618" s="6"/>
      <c r="B618" s="7"/>
      <c r="C618" s="8"/>
      <c r="D618" s="7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10"/>
      <c r="P618" s="10"/>
    </row>
    <row r="619" spans="1:16" ht="77.25" customHeight="1" x14ac:dyDescent="0.15">
      <c r="A619" s="6"/>
      <c r="B619" s="7"/>
      <c r="C619" s="8"/>
      <c r="D619" s="7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10"/>
      <c r="P619" s="10"/>
    </row>
    <row r="620" spans="1:16" ht="77.25" customHeight="1" x14ac:dyDescent="0.15">
      <c r="A620" s="6"/>
      <c r="B620" s="7"/>
      <c r="C620" s="8"/>
      <c r="D620" s="7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10"/>
      <c r="P620" s="10"/>
    </row>
    <row r="621" spans="1:16" ht="77.25" customHeight="1" x14ac:dyDescent="0.15">
      <c r="A621" s="6"/>
      <c r="B621" s="7"/>
      <c r="C621" s="8"/>
      <c r="D621" s="7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10"/>
      <c r="P621" s="10"/>
    </row>
    <row r="622" spans="1:16" ht="77.25" customHeight="1" x14ac:dyDescent="0.15">
      <c r="A622" s="6"/>
      <c r="B622" s="7"/>
      <c r="C622" s="8"/>
      <c r="D622" s="7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10"/>
      <c r="P622" s="10"/>
    </row>
    <row r="623" spans="1:16" ht="77.25" customHeight="1" x14ac:dyDescent="0.15">
      <c r="A623" s="6"/>
      <c r="B623" s="7"/>
      <c r="C623" s="8"/>
      <c r="D623" s="7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10"/>
      <c r="P623" s="10"/>
    </row>
    <row r="624" spans="1:16" ht="77.25" customHeight="1" x14ac:dyDescent="0.15">
      <c r="A624" s="6"/>
      <c r="B624" s="7"/>
      <c r="C624" s="8"/>
      <c r="D624" s="7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10"/>
      <c r="P624" s="10"/>
    </row>
    <row r="625" spans="1:16" ht="77.25" customHeight="1" x14ac:dyDescent="0.15">
      <c r="A625" s="6"/>
      <c r="B625" s="7"/>
      <c r="C625" s="8"/>
      <c r="D625" s="7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10"/>
      <c r="P625" s="10"/>
    </row>
    <row r="626" spans="1:16" ht="77.25" customHeight="1" x14ac:dyDescent="0.15">
      <c r="A626" s="6"/>
      <c r="B626" s="7"/>
      <c r="C626" s="8"/>
      <c r="D626" s="7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10"/>
      <c r="P626" s="10"/>
    </row>
    <row r="627" spans="1:16" ht="77.25" customHeight="1" x14ac:dyDescent="0.15">
      <c r="A627" s="6"/>
      <c r="B627" s="7"/>
      <c r="C627" s="8"/>
      <c r="D627" s="7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10"/>
      <c r="P627" s="10"/>
    </row>
    <row r="628" spans="1:16" ht="77.25" customHeight="1" x14ac:dyDescent="0.15">
      <c r="A628" s="6"/>
      <c r="B628" s="7"/>
      <c r="C628" s="8"/>
      <c r="D628" s="7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10"/>
      <c r="P628" s="10"/>
    </row>
    <row r="629" spans="1:16" ht="77.25" customHeight="1" x14ac:dyDescent="0.15">
      <c r="A629" s="6"/>
      <c r="B629" s="7"/>
      <c r="C629" s="8"/>
      <c r="D629" s="7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10"/>
      <c r="P629" s="10"/>
    </row>
    <row r="630" spans="1:16" ht="77.25" customHeight="1" x14ac:dyDescent="0.15">
      <c r="A630" s="6"/>
      <c r="B630" s="7"/>
      <c r="C630" s="8"/>
      <c r="D630" s="7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10"/>
      <c r="P630" s="10"/>
    </row>
    <row r="631" spans="1:16" ht="77.25" customHeight="1" x14ac:dyDescent="0.15">
      <c r="A631" s="6"/>
      <c r="B631" s="7"/>
      <c r="C631" s="8"/>
      <c r="D631" s="7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10"/>
      <c r="P631" s="10"/>
    </row>
    <row r="632" spans="1:16" ht="77.25" customHeight="1" x14ac:dyDescent="0.15">
      <c r="A632" s="6"/>
      <c r="B632" s="7"/>
      <c r="C632" s="8"/>
      <c r="D632" s="7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10"/>
      <c r="P632" s="10"/>
    </row>
    <row r="633" spans="1:16" ht="77.25" customHeight="1" x14ac:dyDescent="0.15">
      <c r="A633" s="6"/>
      <c r="B633" s="7"/>
      <c r="C633" s="8"/>
      <c r="D633" s="7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10"/>
      <c r="P633" s="10"/>
    </row>
    <row r="634" spans="1:16" ht="77.25" customHeight="1" x14ac:dyDescent="0.15">
      <c r="A634" s="6"/>
      <c r="B634" s="7"/>
      <c r="C634" s="8"/>
      <c r="D634" s="7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10"/>
      <c r="P634" s="10"/>
    </row>
    <row r="635" spans="1:16" ht="77.25" customHeight="1" x14ac:dyDescent="0.15">
      <c r="A635" s="6"/>
      <c r="B635" s="7"/>
      <c r="C635" s="8"/>
      <c r="D635" s="7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10"/>
      <c r="P635" s="10"/>
    </row>
    <row r="636" spans="1:16" ht="77.25" customHeight="1" x14ac:dyDescent="0.15">
      <c r="A636" s="6"/>
      <c r="B636" s="7"/>
      <c r="C636" s="8"/>
      <c r="D636" s="7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10"/>
      <c r="P636" s="10"/>
    </row>
    <row r="637" spans="1:16" ht="77.25" customHeight="1" x14ac:dyDescent="0.15">
      <c r="A637" s="6"/>
      <c r="B637" s="7"/>
      <c r="C637" s="8"/>
      <c r="D637" s="7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10"/>
      <c r="P637" s="10"/>
    </row>
    <row r="638" spans="1:16" ht="77.25" customHeight="1" x14ac:dyDescent="0.15">
      <c r="A638" s="6"/>
      <c r="B638" s="7"/>
      <c r="C638" s="8"/>
      <c r="D638" s="7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10"/>
      <c r="P638" s="10"/>
    </row>
    <row r="639" spans="1:16" ht="77.25" customHeight="1" x14ac:dyDescent="0.15">
      <c r="A639" s="6"/>
      <c r="B639" s="7"/>
      <c r="C639" s="8"/>
      <c r="D639" s="7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10"/>
      <c r="P639" s="10"/>
    </row>
    <row r="640" spans="1:16" ht="77.25" customHeight="1" x14ac:dyDescent="0.15">
      <c r="A640" s="6"/>
      <c r="B640" s="7"/>
      <c r="C640" s="8"/>
      <c r="D640" s="7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10"/>
      <c r="P640" s="10"/>
    </row>
    <row r="641" spans="1:16" ht="77.25" customHeight="1" x14ac:dyDescent="0.15">
      <c r="A641" s="6"/>
      <c r="B641" s="7"/>
      <c r="C641" s="8"/>
      <c r="D641" s="7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10"/>
      <c r="P641" s="10"/>
    </row>
    <row r="642" spans="1:16" ht="77.25" customHeight="1" x14ac:dyDescent="0.15">
      <c r="A642" s="6"/>
      <c r="B642" s="7"/>
      <c r="C642" s="8"/>
      <c r="D642" s="7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10"/>
      <c r="P642" s="10"/>
    </row>
    <row r="643" spans="1:16" ht="77.25" customHeight="1" x14ac:dyDescent="0.15">
      <c r="A643" s="6"/>
      <c r="B643" s="7"/>
      <c r="C643" s="8"/>
      <c r="D643" s="7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10"/>
      <c r="P643" s="10"/>
    </row>
    <row r="644" spans="1:16" ht="77" customHeight="1" x14ac:dyDescent="0.15">
      <c r="A644" s="6"/>
      <c r="B644" s="7"/>
      <c r="C644" s="8"/>
      <c r="D644" s="7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10"/>
      <c r="P644" s="10"/>
    </row>
    <row r="645" spans="1:16" ht="77.25" customHeight="1" x14ac:dyDescent="0.15">
      <c r="A645" s="6"/>
      <c r="B645" s="7"/>
      <c r="C645" s="8"/>
      <c r="D645" s="7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10"/>
      <c r="P645" s="10"/>
    </row>
    <row r="646" spans="1:16" ht="77" customHeight="1" x14ac:dyDescent="0.15">
      <c r="A646" s="6"/>
      <c r="B646" s="7"/>
      <c r="C646" s="8"/>
      <c r="D646" s="7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10"/>
      <c r="P646" s="10"/>
    </row>
    <row r="647" spans="1:16" ht="77.25" customHeight="1" x14ac:dyDescent="0.15">
      <c r="A647" s="19"/>
      <c r="B647" s="20"/>
      <c r="C647" s="21"/>
      <c r="D647" s="20"/>
      <c r="E647" s="22"/>
      <c r="F647" s="20"/>
      <c r="G647" s="20"/>
      <c r="H647" s="20"/>
      <c r="I647" s="20"/>
      <c r="J647" s="20"/>
      <c r="K647" s="20"/>
      <c r="L647" s="20"/>
      <c r="M647" s="20"/>
      <c r="N647" s="20"/>
      <c r="O647" s="23"/>
      <c r="P647" s="23"/>
    </row>
  </sheetData>
  <mergeCells count="13">
    <mergeCell ref="A1:P2"/>
    <mergeCell ref="AD2:AE2"/>
    <mergeCell ref="AF2:AG2"/>
    <mergeCell ref="Z2:Z3"/>
    <mergeCell ref="AA2:AA3"/>
    <mergeCell ref="AB2:AB3"/>
    <mergeCell ref="V2:V3"/>
    <mergeCell ref="AC2:AC3"/>
    <mergeCell ref="X2:X3"/>
    <mergeCell ref="V1:AH1"/>
    <mergeCell ref="AH2:AH3"/>
    <mergeCell ref="Y2:Y3"/>
    <mergeCell ref="W2:W3"/>
  </mergeCells>
  <dataValidations count="3">
    <dataValidation type="list" allowBlank="1" showInputMessage="1" showErrorMessage="1" sqref="A4:A1048576" xr:uid="{00000000-0002-0000-0700-000000000000}">
      <formula1>"M1-1,M2-1,M3-2,M4-2,M5-3,M6-3,M7-3,M8-4,M9-5,M10-6,M18-13,M11-7,M12-7,M13-8,M14-9,M15-10,M16-11,M17-12"</formula1>
    </dataValidation>
    <dataValidation type="list" allowBlank="1" showInputMessage="1" showErrorMessage="1" sqref="B4:B1048576" xr:uid="{00000000-0002-0000-0700-000001000000}">
      <formula1>"الجمعة,السبت,الأحد,الإثنين,الثلاثاء,الأربعاء,الخميس"</formula1>
    </dataValidation>
    <dataValidation type="list" allowBlank="1" showInputMessage="1" showErrorMessage="1" sqref="D4:D1048576" xr:uid="{00000000-0002-0000-0700-000002000000}">
      <formula1>"I,II"</formula1>
    </dataValidation>
  </dataValidation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أوراق العمل</vt:lpstr>
      </vt:variant>
      <vt:variant>
        <vt:i4>8</vt:i4>
      </vt:variant>
      <vt:variant>
        <vt:lpstr>النطاقات المسماة</vt:lpstr>
      </vt:variant>
      <vt:variant>
        <vt:i4>2</vt:i4>
      </vt:variant>
    </vt:vector>
  </HeadingPairs>
  <TitlesOfParts>
    <vt:vector size="10" baseType="lpstr">
      <vt:lpstr>Quality Control Dashboard   </vt:lpstr>
      <vt:lpstr>QC Record Production Hall 1</vt:lpstr>
      <vt:lpstr>QC Deviation Record Hall 1 </vt:lpstr>
      <vt:lpstr>QC Record Production Hall 2</vt:lpstr>
      <vt:lpstr>QC Deviation Record Hall 2</vt:lpstr>
      <vt:lpstr>QC Record Production Hall 3</vt:lpstr>
      <vt:lpstr>QC Deviation Record Hall 3</vt:lpstr>
      <vt:lpstr>CAPA</vt:lpstr>
      <vt:lpstr>Data</vt:lpstr>
      <vt:lpstr>'Quality Control Dashboard 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ji 25958</cp:lastModifiedBy>
  <cp:lastPrinted>2026-05-03T13:28:29Z</cp:lastPrinted>
  <dcterms:created xsi:type="dcterms:W3CDTF">2026-03-04T03:44:29Z</dcterms:created>
  <dcterms:modified xsi:type="dcterms:W3CDTF">2026-05-25T20:54:59Z</dcterms:modified>
</cp:coreProperties>
</file>